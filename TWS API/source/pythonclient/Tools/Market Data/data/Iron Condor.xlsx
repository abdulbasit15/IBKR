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Cloud\Personal\Trade\"/>
    </mc:Choice>
  </mc:AlternateContent>
  <xr:revisionPtr revIDLastSave="0" documentId="13_ncr:1_{9093B286-3157-4ECC-9AE1-0A333482B5FE}" xr6:coauthVersionLast="47" xr6:coauthVersionMax="47" xr10:uidLastSave="{00000000-0000-0000-0000-000000000000}"/>
  <bookViews>
    <workbookView xWindow="28680" yWindow="-120" windowWidth="29040" windowHeight="15720" xr2:uid="{AF60F1C8-77F8-4276-9A48-378BB13DA4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I16" i="1"/>
  <c r="D4" i="1"/>
  <c r="D5" i="1"/>
  <c r="D6" i="1"/>
  <c r="D7" i="1"/>
  <c r="D8" i="1"/>
  <c r="D9" i="1"/>
  <c r="D10" i="1"/>
  <c r="D11" i="1"/>
  <c r="D12" i="1"/>
  <c r="D3" i="1"/>
  <c r="I10" i="1"/>
  <c r="I11" i="1"/>
  <c r="I12" i="1"/>
  <c r="I4" i="1"/>
  <c r="I5" i="1"/>
  <c r="I6" i="1"/>
  <c r="I7" i="1"/>
  <c r="I8" i="1"/>
  <c r="I9" i="1"/>
  <c r="F3" i="1"/>
  <c r="I3" i="1"/>
</calcChain>
</file>

<file path=xl/sharedStrings.xml><?xml version="1.0" encoding="utf-8"?>
<sst xmlns="http://schemas.openxmlformats.org/spreadsheetml/2006/main" count="11" uniqueCount="11">
  <si>
    <t>Strike</t>
  </si>
  <si>
    <t>DTE</t>
  </si>
  <si>
    <t>Ticker</t>
  </si>
  <si>
    <t>SPY</t>
  </si>
  <si>
    <t>Reward/Risk</t>
  </si>
  <si>
    <t>Reward(in k)</t>
  </si>
  <si>
    <t>Risk(in -k)</t>
  </si>
  <si>
    <t>width(%)</t>
  </si>
  <si>
    <t>Width</t>
  </si>
  <si>
    <t>Inner leg(Put-Sell)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</si>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</sst>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10" fontId="2" fillId="0" borderId="1" xfId="1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FC55-B96B-4D3C-BA85-8E6DE6B09F35}">
  <dimension ref="A1:J16"/>
  <sheetViews>
    <sheetView tabSelected="1" workbookViewId="0">
      <selection activeCell="D12" sqref="D12"/>
    </sheetView>
  </sheetViews>
  <sheetFormatPr defaultRowHeight="15" x14ac:dyDescent="0.25"/>
  <cols>
    <col min="4" max="4" width="23.140625" customWidth="1"/>
    <col min="6" max="6" width="14.5703125" customWidth="1"/>
    <col min="7" max="7" width="21.28515625" customWidth="1"/>
    <col min="8" max="8" width="16.85546875" customWidth="1"/>
    <col min="9" max="9" width="17.5703125" customWidth="1"/>
  </cols>
  <sheetData>
    <row r="1" spans="1:10" ht="42.75" thickBot="1" x14ac:dyDescent="0.3">
      <c r="A1" s="1" t="s">
        <v>2</v>
      </c>
      <c r="B1" s="1" t="s">
        <v>0</v>
      </c>
      <c r="C1" s="1" t="s">
        <v>1</v>
      </c>
      <c r="D1" s="1" t="s">
        <v>9</v>
      </c>
      <c r="E1" s="1" t="s">
        <v>8</v>
      </c>
      <c r="F1" s="1" t="s">
        <v>7</v>
      </c>
      <c r="G1" s="1" t="s">
        <v>5</v>
      </c>
      <c r="H1" s="1" t="s">
        <v>6</v>
      </c>
      <c r="I1" s="1" t="s">
        <v>4</v>
      </c>
      <c r="J1" s="1" t="s">
        <v>10</v>
      </c>
    </row>
    <row r="2" spans="1:10" ht="21.75" thickBot="1" x14ac:dyDescent="0.3">
      <c r="A2" s="1" t="s">
        <v>3</v>
      </c>
      <c r="B2" s="1">
        <v>520</v>
      </c>
      <c r="C2" s="1"/>
      <c r="D2" s="1"/>
      <c r="E2" s="1"/>
      <c r="F2" s="1"/>
      <c r="G2" s="1"/>
      <c r="H2" s="1"/>
      <c r="I2" s="1"/>
      <c r="J2" s="1"/>
    </row>
    <row r="3" spans="1:10" ht="21.75" thickBot="1" x14ac:dyDescent="0.3">
      <c r="A3" s="1"/>
      <c r="B3" s="1"/>
      <c r="C3" s="1">
        <v>42</v>
      </c>
      <c r="D3" s="1">
        <f>$B$2+E3</f>
        <v>521</v>
      </c>
      <c r="E3" s="1">
        <v>1</v>
      </c>
      <c r="F3" s="2">
        <f>(E3/$B$2)</f>
        <v>1.9230769230769232E-3</v>
      </c>
      <c r="G3" s="1">
        <v>9</v>
      </c>
      <c r="H3" s="1">
        <v>1.1000000000000001</v>
      </c>
      <c r="I3" s="1">
        <f>G3/H3</f>
        <v>8.1818181818181817</v>
      </c>
      <c r="J3" s="1"/>
    </row>
    <row r="4" spans="1:10" ht="21.75" thickBot="1" x14ac:dyDescent="0.3">
      <c r="A4" s="1"/>
      <c r="B4" s="1"/>
      <c r="C4" s="1">
        <v>42</v>
      </c>
      <c r="D4" s="1">
        <f t="shared" ref="D4:D12" si="0">$B$2+E4</f>
        <v>522</v>
      </c>
      <c r="E4" s="1">
        <v>2</v>
      </c>
      <c r="F4" s="2">
        <f t="shared" ref="F4:F12" si="1">(E4/$B$2)</f>
        <v>3.8461538461538464E-3</v>
      </c>
      <c r="G4" s="1">
        <v>8</v>
      </c>
      <c r="H4" s="1">
        <v>1.5</v>
      </c>
      <c r="I4" s="1">
        <f t="shared" ref="I4:I12" si="2">G4/H4</f>
        <v>5.333333333333333</v>
      </c>
      <c r="J4" s="1"/>
    </row>
    <row r="5" spans="1:10" ht="21.75" thickBot="1" x14ac:dyDescent="0.3">
      <c r="A5" s="1"/>
      <c r="B5" s="1"/>
      <c r="C5" s="1">
        <v>42</v>
      </c>
      <c r="D5" s="1">
        <f t="shared" si="0"/>
        <v>523</v>
      </c>
      <c r="E5" s="1">
        <v>3</v>
      </c>
      <c r="F5" s="2">
        <f t="shared" si="1"/>
        <v>5.7692307692307696E-3</v>
      </c>
      <c r="G5" s="1">
        <v>8</v>
      </c>
      <c r="H5" s="1">
        <v>1.9</v>
      </c>
      <c r="I5" s="1">
        <f t="shared" si="2"/>
        <v>4.2105263157894735</v>
      </c>
      <c r="J5" s="1"/>
    </row>
    <row r="6" spans="1:10" ht="21.75" thickBot="1" x14ac:dyDescent="0.3">
      <c r="A6" s="1"/>
      <c r="B6" s="1"/>
      <c r="C6" s="1">
        <v>42</v>
      </c>
      <c r="D6" s="1">
        <f t="shared" si="0"/>
        <v>524</v>
      </c>
      <c r="E6" s="1">
        <v>4</v>
      </c>
      <c r="F6" s="2">
        <f t="shared" si="1"/>
        <v>7.6923076923076927E-3</v>
      </c>
      <c r="G6" s="1">
        <v>8</v>
      </c>
      <c r="H6" s="1">
        <v>2.2999999999999998</v>
      </c>
      <c r="I6" s="1">
        <f t="shared" si="2"/>
        <v>3.4782608695652177</v>
      </c>
      <c r="J6" s="1"/>
    </row>
    <row r="7" spans="1:10" ht="21.75" thickBot="1" x14ac:dyDescent="0.3">
      <c r="A7" s="1"/>
      <c r="B7" s="1"/>
      <c r="C7" s="1">
        <v>42</v>
      </c>
      <c r="D7" s="1">
        <f t="shared" si="0"/>
        <v>525</v>
      </c>
      <c r="E7" s="1">
        <v>5</v>
      </c>
      <c r="F7" s="2">
        <f t="shared" si="1"/>
        <v>9.6153846153846159E-3</v>
      </c>
      <c r="G7" s="1">
        <v>8</v>
      </c>
      <c r="H7" s="1">
        <v>2.5</v>
      </c>
      <c r="I7" s="1">
        <f t="shared" si="2"/>
        <v>3.2</v>
      </c>
      <c r="J7" s="1"/>
    </row>
    <row r="8" spans="1:10" ht="21.75" thickBot="1" x14ac:dyDescent="0.3">
      <c r="A8" s="1"/>
      <c r="B8" s="1"/>
      <c r="C8" s="1">
        <v>42</v>
      </c>
      <c r="D8" s="1">
        <f t="shared" si="0"/>
        <v>526</v>
      </c>
      <c r="E8" s="1">
        <v>6</v>
      </c>
      <c r="F8" s="2">
        <f t="shared" si="1"/>
        <v>1.1538461538461539E-2</v>
      </c>
      <c r="G8" s="1">
        <v>7</v>
      </c>
      <c r="H8" s="1">
        <v>3.1</v>
      </c>
      <c r="I8" s="1">
        <f t="shared" si="2"/>
        <v>2.258064516129032</v>
      </c>
      <c r="J8" s="1"/>
    </row>
    <row r="9" spans="1:10" ht="21.75" thickBot="1" x14ac:dyDescent="0.3">
      <c r="A9" s="1"/>
      <c r="B9" s="1"/>
      <c r="C9" s="1">
        <v>42</v>
      </c>
      <c r="D9" s="1">
        <f t="shared" si="0"/>
        <v>527</v>
      </c>
      <c r="E9" s="1">
        <v>7</v>
      </c>
      <c r="F9" s="2">
        <f t="shared" si="1"/>
        <v>1.3461538461538462E-2</v>
      </c>
      <c r="G9" s="1">
        <v>7</v>
      </c>
      <c r="H9" s="1">
        <v>3.5</v>
      </c>
      <c r="I9" s="1">
        <f t="shared" si="2"/>
        <v>2</v>
      </c>
      <c r="J9" s="1"/>
    </row>
    <row r="10" spans="1:10" ht="21.75" thickBot="1" x14ac:dyDescent="0.3">
      <c r="A10" s="1"/>
      <c r="B10" s="1"/>
      <c r="C10" s="1">
        <v>42</v>
      </c>
      <c r="D10" s="1">
        <f t="shared" si="0"/>
        <v>528</v>
      </c>
      <c r="E10" s="1">
        <v>8</v>
      </c>
      <c r="F10" s="2">
        <f t="shared" si="1"/>
        <v>1.5384615384615385E-2</v>
      </c>
      <c r="G10" s="1">
        <v>6</v>
      </c>
      <c r="H10" s="1">
        <v>3.9</v>
      </c>
      <c r="I10" s="1">
        <f t="shared" si="2"/>
        <v>1.5384615384615385</v>
      </c>
      <c r="J10" s="1"/>
    </row>
    <row r="11" spans="1:10" ht="21.75" thickBot="1" x14ac:dyDescent="0.3">
      <c r="A11" s="1"/>
      <c r="B11" s="1"/>
      <c r="C11" s="1">
        <v>42</v>
      </c>
      <c r="D11" s="1">
        <f t="shared" si="0"/>
        <v>529</v>
      </c>
      <c r="E11" s="1">
        <v>9</v>
      </c>
      <c r="F11" s="2">
        <f t="shared" si="1"/>
        <v>1.7307692307692309E-2</v>
      </c>
      <c r="G11" s="1">
        <v>6</v>
      </c>
      <c r="H11" s="1">
        <v>4.2</v>
      </c>
      <c r="I11" s="1">
        <f t="shared" si="2"/>
        <v>1.4285714285714286</v>
      </c>
      <c r="J11" s="1"/>
    </row>
    <row r="12" spans="1:10" ht="21.75" thickBot="1" x14ac:dyDescent="0.3">
      <c r="A12" s="1"/>
      <c r="B12" s="1"/>
      <c r="C12" s="1">
        <v>42</v>
      </c>
      <c r="D12" s="1">
        <f t="shared" si="0"/>
        <v>530</v>
      </c>
      <c r="E12" s="1">
        <v>10</v>
      </c>
      <c r="F12" s="2">
        <f t="shared" si="1"/>
        <v>1.9230769230769232E-2</v>
      </c>
      <c r="G12" s="1">
        <v>5</v>
      </c>
      <c r="H12" s="1">
        <v>4.5999999999999996</v>
      </c>
      <c r="I12" s="1">
        <f t="shared" si="2"/>
        <v>1.0869565217391306</v>
      </c>
      <c r="J12" s="1">
        <v>0.27</v>
      </c>
    </row>
    <row r="13" spans="1:10" ht="21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1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1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1.75" thickBot="1" x14ac:dyDescent="0.3">
      <c r="A16" s="1"/>
      <c r="B16" s="1"/>
      <c r="C16" s="1"/>
      <c r="D16" s="1"/>
      <c r="E16" s="1"/>
      <c r="F16" s="1"/>
      <c r="G16" s="1">
        <v>115</v>
      </c>
      <c r="H16" s="1">
        <v>385</v>
      </c>
      <c r="I16" s="1">
        <f t="shared" ref="I16" si="3">G16/H16</f>
        <v>0.29870129870129869</v>
      </c>
      <c r="J16" s="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Abdul Basit</cp:lastModifiedBy>
  <dcterms:created xsi:type="dcterms:W3CDTF">2024-05-10T21:21:40Z</dcterms:created>
  <dcterms:modified xsi:type="dcterms:W3CDTF">2024-05-13T01:20:05Z</dcterms:modified>
</cp:coreProperties>
</file>