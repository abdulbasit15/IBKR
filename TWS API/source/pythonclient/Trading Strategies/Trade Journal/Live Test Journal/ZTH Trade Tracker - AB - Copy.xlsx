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>
        <is>
          <t>Break and Retest</t>
        </is>
      </c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inlineStr">
        <is>
          <t>Overtraded</t>
        </is>
      </c>
      <c r="W113" s="5" t="n"/>
      <c r="X113" s="5" t="n"/>
      <c r="Y113" s="5" t="n"/>
      <c r="Z113" s="5" t="n"/>
      <c r="AA113" s="5" t="n"/>
    </row>
    <row r="114" ht="15.75" customHeight="1">
      <c r="A114" s="5" t="n">
        <v>121</v>
      </c>
      <c r="B114" s="22" t="n">
        <v>46267</v>
      </c>
      <c r="C114" s="10" t="n">
        <v>0.4250578703703703</v>
      </c>
      <c r="D114" s="5" t="inlineStr">
        <is>
          <t>MGC</t>
        </is>
      </c>
      <c r="E114" s="5" t="inlineStr">
        <is>
          <t>Long</t>
        </is>
      </c>
      <c r="F114" s="5" t="n">
        <v>4436.666667</v>
      </c>
      <c r="G114" s="5" t="n">
        <v>4430.633333</v>
      </c>
      <c r="H114" s="5" t="n">
        <v>3</v>
      </c>
      <c r="I114" s="5" t="n">
        <v>4425.6</v>
      </c>
      <c r="J114" s="5" t="n"/>
      <c r="K114" s="8">
        <f>IF(AND(I114&lt;&gt;"",J114&lt;&gt;"",F114&lt;&gt;""), (J114-F114)/(F114-I114), "")</f>
        <v/>
      </c>
      <c r="L114" s="8">
        <f>IF(AND(F114&lt;&gt;"",G114&lt;&gt;"",I114&lt;&gt;""), (G114-F114)/(F114-I114), "")</f>
        <v/>
      </c>
      <c r="M114" s="5">
        <f>IF(N114&gt;0,"Win",IF(N114&lt;0,"Loss",""))</f>
        <v/>
      </c>
      <c r="N114" s="16">
        <f>IF(AND(F114&lt;&gt;"",G114&lt;&gt;"",H114&lt;&gt;"",D114&lt;&gt;""), IF(E114="Long", (G114-F114)*H114*VLOOKUP(D114,Multipliers!A:B,2,FALSE), (F114-G114)*H114*VLOOKUP(D114,Multipliers!A:B,2,FALSE)), "")</f>
        <v/>
      </c>
      <c r="O114" s="9">
        <f>IF(AND(N114&lt;&gt;"",F114&lt;&gt;"",H114&lt;&gt;"",D114&lt;&gt;""), N114/(F114*H114*VLOOKUP(D114,Multipliers!A:B,2,FALSE)), "")</f>
        <v/>
      </c>
      <c r="P114" s="5">
        <f>P113+N114</f>
        <v/>
      </c>
      <c r="Q114" s="5" t="inlineStr">
        <is>
          <t>Break and Retest</t>
        </is>
      </c>
      <c r="R114" s="5" t="inlineStr">
        <is>
          <t>Imported from Tradovate</t>
        </is>
      </c>
      <c r="S114" s="5" t="inlineStr">
        <is>
          <t>MGC</t>
        </is>
      </c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>
        <v>122</v>
      </c>
      <c r="B115" s="22" t="n">
        <v>46267</v>
      </c>
      <c r="C115" s="10" t="n">
        <v>0.4597222222222222</v>
      </c>
      <c r="D115" s="5" t="inlineStr">
        <is>
          <t>MGC</t>
        </is>
      </c>
      <c r="E115" s="5" t="inlineStr">
        <is>
          <t>Long</t>
        </is>
      </c>
      <c r="F115" s="5" t="n">
        <v>4421.8</v>
      </c>
      <c r="G115" s="5" t="n">
        <v>4414.3</v>
      </c>
      <c r="H115" s="5" t="n">
        <v>2</v>
      </c>
      <c r="I115" s="5" t="n">
        <v>4414.3</v>
      </c>
      <c r="J115" s="5" t="n">
        <v>4422.2</v>
      </c>
      <c r="K115" s="8">
        <f>IF(AND(I115&lt;&gt;"",J115&lt;&gt;"",F115&lt;&gt;""), (J115-F115)/(F115-I115), "")</f>
        <v/>
      </c>
      <c r="L115" s="8">
        <f>IF(AND(F115&lt;&gt;"",G115&lt;&gt;"",I115&lt;&gt;""), (G115-F115)/(F115-I115), "")</f>
        <v/>
      </c>
      <c r="M115" s="5">
        <f>IF(N115&gt;0,"Win",IF(N115&lt;0,"Loss",""))</f>
        <v/>
      </c>
      <c r="N115" s="16">
        <f>IF(AND(F115&lt;&gt;"",G115&lt;&gt;"",H115&lt;&gt;"",D115&lt;&gt;""), IF(E115="Long", (G115-F115)*H115*VLOOKUP(D115,Multipliers!A:B,2,FALSE), (F115-G115)*H115*VLOOKUP(D115,Multipliers!A:B,2,FALSE)), "")</f>
        <v/>
      </c>
      <c r="O115" s="9">
        <f>IF(AND(N115&lt;&gt;"",F115&lt;&gt;"",H115&lt;&gt;"",D115&lt;&gt;""), N115/(F115*H115*VLOOKUP(D115,Multipliers!A:B,2,FALSE)), "")</f>
        <v/>
      </c>
      <c r="P115" s="5">
        <f>P114+N115</f>
        <v/>
      </c>
      <c r="Q115" s="5" t="inlineStr">
        <is>
          <t>Break and Retest</t>
        </is>
      </c>
      <c r="R115" s="5" t="inlineStr">
        <is>
          <t>Imported from Tradovate</t>
        </is>
      </c>
      <c r="S115" s="5" t="inlineStr">
        <is>
          <t>MGC</t>
        </is>
      </c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>
        <v>123</v>
      </c>
      <c r="B116" s="22" t="n">
        <v>46267</v>
      </c>
      <c r="C116" s="10" t="n">
        <v>0.5905787037037037</v>
      </c>
      <c r="D116" s="5" t="inlineStr">
        <is>
          <t>MGC</t>
        </is>
      </c>
      <c r="E116" s="5" t="inlineStr">
        <is>
          <t>Short</t>
        </is>
      </c>
      <c r="F116" s="5" t="n">
        <v>4417.95</v>
      </c>
      <c r="G116" s="5" t="n">
        <v>4425</v>
      </c>
      <c r="H116" s="5" t="n">
        <v>2</v>
      </c>
      <c r="I116" s="5" t="n">
        <v>4425.5</v>
      </c>
      <c r="J116" s="5" t="n">
        <v>4413.5</v>
      </c>
      <c r="K116" s="8">
        <f>IF(AND(I116&lt;&gt;"",J116&lt;&gt;"",F116&lt;&gt;""), (J116-F116)/(F116-I116), "")</f>
        <v/>
      </c>
      <c r="L116" s="8">
        <f>IF(AND(F116&lt;&gt;"",G116&lt;&gt;"",I116&lt;&gt;""), (G116-F116)/(F116-I116), "")</f>
        <v/>
      </c>
      <c r="M116" s="5">
        <f>IF(N116&gt;0,"Win",IF(N116&lt;0,"Loss",""))</f>
        <v/>
      </c>
      <c r="N116" s="16">
        <f>IF(AND(F116&lt;&gt;"",G116&lt;&gt;"",H116&lt;&gt;"",D116&lt;&gt;""), IF(E116="Long", (G116-F116)*H116*VLOOKUP(D116,Multipliers!A:B,2,FALSE), (F116-G116)*H116*VLOOKUP(D116,Multipliers!A:B,2,FALSE)), "")</f>
        <v/>
      </c>
      <c r="O116" s="9">
        <f>IF(AND(N116&lt;&gt;"",F116&lt;&gt;"",H116&lt;&gt;"",D116&lt;&gt;""), N116/(F116*H116*VLOOKUP(D116,Multipliers!A:B,2,FALSE)), "")</f>
        <v/>
      </c>
      <c r="P116" s="5">
        <f>P115+N116</f>
        <v/>
      </c>
      <c r="Q116" s="5" t="inlineStr">
        <is>
          <t>Break and Retest</t>
        </is>
      </c>
      <c r="R116" s="5" t="inlineStr">
        <is>
          <t>Imported from Tradovate</t>
        </is>
      </c>
      <c r="S116" s="5" t="inlineStr">
        <is>
          <t>MGC</t>
        </is>
      </c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>
        <v>124</v>
      </c>
      <c r="B117" s="22" t="n">
        <v>46267</v>
      </c>
      <c r="C117" s="10" t="n">
        <v>0.5995486111111111</v>
      </c>
      <c r="D117" s="5" t="inlineStr">
        <is>
          <t>MNQ</t>
        </is>
      </c>
      <c r="E117" s="5" t="inlineStr">
        <is>
          <t>Long</t>
        </is>
      </c>
      <c r="F117" s="5" t="n">
        <v>29166.625</v>
      </c>
      <c r="G117" s="5" t="n">
        <v>29171.875</v>
      </c>
      <c r="H117" s="5" t="n">
        <v>2</v>
      </c>
      <c r="I117" s="5" t="n">
        <v>29150.5</v>
      </c>
      <c r="J117" s="5" t="n">
        <v>29173</v>
      </c>
      <c r="K117" s="8">
        <f>IF(AND(I117&lt;&gt;"",J117&lt;&gt;"",F117&lt;&gt;""), (J117-F117)/(F117-I117), "")</f>
        <v/>
      </c>
      <c r="L117" s="8">
        <f>IF(AND(F117&lt;&gt;"",G117&lt;&gt;"",I117&lt;&gt;""), (G117-F117)/(F117-I117), "")</f>
        <v/>
      </c>
      <c r="M117" s="5">
        <f>IF(N117&gt;0,"Win",IF(N117&lt;0,"Loss",""))</f>
        <v/>
      </c>
      <c r="N117" s="16">
        <f>IF(AND(F117&lt;&gt;"",G117&lt;&gt;"",H117&lt;&gt;"",D117&lt;&gt;""), IF(E117="Long", (G117-F117)*H117*VLOOKUP(D117,Multipliers!A:B,2,FALSE), (F117-G117)*H117*VLOOKUP(D117,Multipliers!A:B,2,FALSE)), "")</f>
        <v/>
      </c>
      <c r="O117" s="9">
        <f>IF(AND(N117&lt;&gt;"",F117&lt;&gt;"",H117&lt;&gt;"",D117&lt;&gt;""), N117/(F117*H117*VLOOKUP(D117,Multipliers!A:B,2,FALSE)), "")</f>
        <v/>
      </c>
      <c r="P117" s="5">
        <f>P116+N117</f>
        <v/>
      </c>
      <c r="Q117" s="5" t="inlineStr">
        <is>
          <t>Break and Retest</t>
        </is>
      </c>
      <c r="R117" s="5" t="inlineStr">
        <is>
          <t>Imported from Tradovate</t>
        </is>
      </c>
      <c r="S117" s="5" t="inlineStr">
        <is>
          <t>MNQ</t>
        </is>
      </c>
      <c r="T117" s="5" t="n"/>
      <c r="U117" s="5" t="n"/>
      <c r="V117" s="5" t="inlineStr">
        <is>
          <t>Revenge trade</t>
        </is>
      </c>
      <c r="W117" s="5" t="n"/>
      <c r="X117" s="5" t="n"/>
      <c r="Y117" s="5" t="n"/>
      <c r="Z117" s="5" t="n"/>
      <c r="AA117" s="5" t="n"/>
    </row>
    <row r="118" ht="15.75" customHeight="1">
      <c r="A118" s="5" t="n">
        <v>125</v>
      </c>
      <c r="B118" s="22" t="n">
        <v>46267</v>
      </c>
      <c r="C118" s="10" t="n">
        <v>0.6571643518518518</v>
      </c>
      <c r="D118" s="5" t="inlineStr">
        <is>
          <t>MGC</t>
        </is>
      </c>
      <c r="E118" s="5" t="inlineStr">
        <is>
          <t>Short</t>
        </is>
      </c>
      <c r="F118" s="5" t="n">
        <v>4432.3</v>
      </c>
      <c r="G118" s="5" t="n">
        <v>4435.9</v>
      </c>
      <c r="H118" s="5" t="n">
        <v>1</v>
      </c>
      <c r="I118" s="5" t="n">
        <v>4438.2</v>
      </c>
      <c r="J118" s="5" t="n"/>
      <c r="K118" s="8">
        <f>IF(AND(I118&lt;&gt;"",J118&lt;&gt;"",F118&lt;&gt;""), (J118-F118)/(F118-I118), "")</f>
        <v/>
      </c>
      <c r="L118" s="8">
        <f>IF(AND(F118&lt;&gt;"",G118&lt;&gt;"",I118&lt;&gt;""), (G118-F118)/(F118-I118), "")</f>
        <v/>
      </c>
      <c r="M118" s="5">
        <f>IF(N118&gt;0,"Win",IF(N118&lt;0,"Loss",""))</f>
        <v/>
      </c>
      <c r="N118" s="16">
        <f>IF(AND(F118&lt;&gt;"",G118&lt;&gt;"",H118&lt;&gt;"",D118&lt;&gt;""), IF(E118="Long", (G118-F118)*H118*VLOOKUP(D118,Multipliers!A:B,2,FALSE), (F118-G118)*H118*VLOOKUP(D118,Multipliers!A:B,2,FALSE)), "")</f>
        <v/>
      </c>
      <c r="O118" s="9">
        <f>IF(AND(N118&lt;&gt;"",F118&lt;&gt;"",H118&lt;&gt;"",D118&lt;&gt;""), N118/(F118*H118*VLOOKUP(D118,Multipliers!A:B,2,FALSE)), "")</f>
        <v/>
      </c>
      <c r="P118" s="5">
        <f>P117+N118</f>
        <v/>
      </c>
      <c r="Q118" s="5" t="inlineStr">
        <is>
          <t>Break and Retest</t>
        </is>
      </c>
      <c r="R118" s="5" t="inlineStr">
        <is>
          <t>Imported from Tradovate</t>
        </is>
      </c>
      <c r="S118" s="5" t="inlineStr">
        <is>
          <t>MGC</t>
        </is>
      </c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>
        <v>126</v>
      </c>
      <c r="B119" s="22" t="n">
        <v>46268</v>
      </c>
      <c r="C119" s="10" t="n">
        <v>0.3698032407407407</v>
      </c>
      <c r="D119" s="5" t="inlineStr">
        <is>
          <t>MGC</t>
        </is>
      </c>
      <c r="E119" s="5" t="inlineStr">
        <is>
          <t>Long</t>
        </is>
      </c>
      <c r="F119" s="5" t="n">
        <v>4536.966667</v>
      </c>
      <c r="G119" s="5" t="n">
        <v>4539.9</v>
      </c>
      <c r="H119" s="5" t="n">
        <v>3</v>
      </c>
      <c r="I119" s="5" t="n">
        <v>4525.9</v>
      </c>
      <c r="J119" s="5" t="n">
        <v>4541.7</v>
      </c>
      <c r="K119" s="8">
        <f>IF(AND(I119&lt;&gt;"",J119&lt;&gt;"",F119&lt;&gt;""), (J119-F119)/(F119-I119), "")</f>
        <v/>
      </c>
      <c r="L119" s="8">
        <f>IF(AND(F119&lt;&gt;"",G119&lt;&gt;"",I119&lt;&gt;""), (G119-F119)/(F119-I119), "")</f>
        <v/>
      </c>
      <c r="M119" s="5">
        <f>IF(N119&gt;0,"Win",IF(N119&lt;0,"Loss",""))</f>
        <v/>
      </c>
      <c r="N119" s="16">
        <f>IF(AND(F119&lt;&gt;"",G119&lt;&gt;"",H119&lt;&gt;"",D119&lt;&gt;""), IF(E119="Long", (G119-F119)*H119*VLOOKUP(D119,Multipliers!A:B,2,FALSE), (F119-G119)*H119*VLOOKUP(D119,Multipliers!A:B,2,FALSE)), "")</f>
        <v/>
      </c>
      <c r="O119" s="9">
        <f>IF(AND(N119&lt;&gt;"",F119&lt;&gt;"",H119&lt;&gt;"",D119&lt;&gt;""), N119/(F119*H119*VLOOKUP(D119,Multipliers!A:B,2,FALSE)), "")</f>
        <v/>
      </c>
      <c r="P119" s="5">
        <f>P118+N119</f>
        <v/>
      </c>
      <c r="Q119" s="5" t="inlineStr">
        <is>
          <t>Break and Retest</t>
        </is>
      </c>
      <c r="R119" s="5" t="inlineStr">
        <is>
          <t>Imported from Tradovate</t>
        </is>
      </c>
      <c r="S119" s="5" t="inlineStr">
        <is>
          <t>MGC</t>
        </is>
      </c>
      <c r="T119" s="5" t="n"/>
      <c r="U119" s="5" t="n"/>
      <c r="V119" s="5" t="inlineStr">
        <is>
          <t>Overtraded</t>
        </is>
      </c>
      <c r="W119" s="5" t="n"/>
      <c r="X119" s="5" t="n"/>
      <c r="Y119" s="5" t="n"/>
      <c r="Z119" s="5" t="n"/>
      <c r="AA119" s="5" t="n"/>
    </row>
    <row r="120" ht="15.75" customHeight="1">
      <c r="A120" s="5" t="n">
        <v>127</v>
      </c>
      <c r="B120" s="22" t="n">
        <v>46268</v>
      </c>
      <c r="C120" s="10" t="n">
        <v>0.390625</v>
      </c>
      <c r="D120" s="5" t="inlineStr">
        <is>
          <t>MGC</t>
        </is>
      </c>
      <c r="E120" s="5" t="inlineStr">
        <is>
          <t>Long</t>
        </is>
      </c>
      <c r="F120" s="5" t="n">
        <v>4527.95</v>
      </c>
      <c r="G120" s="5" t="n">
        <v>4527.2</v>
      </c>
      <c r="H120" s="5" t="n">
        <v>2</v>
      </c>
      <c r="I120" s="5" t="n">
        <v>4520.3</v>
      </c>
      <c r="J120" s="5" t="n">
        <v>4528.5</v>
      </c>
      <c r="K120" s="8">
        <f>IF(AND(I120&lt;&gt;"",J120&lt;&gt;"",F120&lt;&gt;""), (J120-F120)/(F120-I120), "")</f>
        <v/>
      </c>
      <c r="L120" s="8">
        <f>IF(AND(F120&lt;&gt;"",G120&lt;&gt;"",I120&lt;&gt;""), (G120-F120)/(F120-I120), "")</f>
        <v/>
      </c>
      <c r="M120" s="5">
        <f>IF(N120&gt;0,"Win",IF(N120&lt;0,"Loss",""))</f>
        <v/>
      </c>
      <c r="N120" s="16">
        <f>IF(AND(F120&lt;&gt;"",G120&lt;&gt;"",H120&lt;&gt;"",D120&lt;&gt;""), IF(E120="Long", (G120-F120)*H120*VLOOKUP(D120,Multipliers!A:B,2,FALSE), (F120-G120)*H120*VLOOKUP(D120,Multipliers!A:B,2,FALSE)), "")</f>
        <v/>
      </c>
      <c r="O120" s="9">
        <f>IF(AND(N120&lt;&gt;"",F120&lt;&gt;"",H120&lt;&gt;"",D120&lt;&gt;""), N120/(F120*H120*VLOOKUP(D120,Multipliers!A:B,2,FALSE)), "")</f>
        <v/>
      </c>
      <c r="P120" s="5">
        <f>P119+N120</f>
        <v/>
      </c>
      <c r="Q120" s="5" t="inlineStr">
        <is>
          <t>Break and Retest</t>
        </is>
      </c>
      <c r="R120" s="5" t="inlineStr">
        <is>
          <t>Imported from Tradovate</t>
        </is>
      </c>
      <c r="S120" s="5" t="inlineStr">
        <is>
          <t>MGC</t>
        </is>
      </c>
      <c r="T120" s="5" t="n"/>
      <c r="U120" s="5" t="n"/>
      <c r="V120" s="5" t="inlineStr">
        <is>
          <t>Overtraded</t>
        </is>
      </c>
      <c r="W120" s="5" t="n"/>
      <c r="X120" s="5" t="n"/>
      <c r="Y120" s="5" t="n"/>
      <c r="Z120" s="5" t="n"/>
      <c r="AA120" s="5" t="n"/>
    </row>
    <row r="121" ht="15.75" customHeight="1">
      <c r="A121" s="5" t="n">
        <v>128</v>
      </c>
      <c r="B121" s="22" t="n">
        <v>46268</v>
      </c>
      <c r="C121" s="10" t="n">
        <v>0.4108333333333333</v>
      </c>
      <c r="D121" s="5" t="inlineStr">
        <is>
          <t>MNQ</t>
        </is>
      </c>
      <c r="E121" s="5" t="inlineStr">
        <is>
          <t>Short</t>
        </is>
      </c>
      <c r="F121" s="5" t="n">
        <v>29353</v>
      </c>
      <c r="G121" s="5" t="n">
        <v>29328.5</v>
      </c>
      <c r="H121" s="5" t="n">
        <v>6</v>
      </c>
      <c r="I121" s="5" t="n">
        <v>29392.75</v>
      </c>
      <c r="J121" s="5" t="n">
        <v>29325.25</v>
      </c>
      <c r="K121" s="8">
        <f>IF(AND(I121&lt;&gt;"",J121&lt;&gt;"",F121&lt;&gt;""), (J121-F121)/(F121-I121), "")</f>
        <v/>
      </c>
      <c r="L121" s="8">
        <f>IF(AND(F121&lt;&gt;"",G121&lt;&gt;"",I121&lt;&gt;""), (G121-F121)/(F121-I121), "")</f>
        <v/>
      </c>
      <c r="M121" s="5">
        <f>IF(N121&gt;0,"Win",IF(N121&lt;0,"Loss",""))</f>
        <v/>
      </c>
      <c r="N121" s="16">
        <f>IF(AND(F121&lt;&gt;"",G121&lt;&gt;"",H121&lt;&gt;"",D121&lt;&gt;""), IF(E121="Long", (G121-F121)*H121*VLOOKUP(D121,Multipliers!A:B,2,FALSE), (F121-G121)*H121*VLOOKUP(D121,Multipliers!A:B,2,FALSE)), "")</f>
        <v/>
      </c>
      <c r="O121" s="9">
        <f>IF(AND(N121&lt;&gt;"",F121&lt;&gt;"",H121&lt;&gt;"",D121&lt;&gt;""), N121/(F121*H121*VLOOKUP(D121,Multipliers!A:B,2,FALSE)), "")</f>
        <v/>
      </c>
      <c r="P121" s="5">
        <f>P120+N121</f>
        <v/>
      </c>
      <c r="Q121" s="5" t="inlineStr">
        <is>
          <t>Break and Retest</t>
        </is>
      </c>
      <c r="R121" s="5" t="inlineStr">
        <is>
          <t>Imported from Tradovate</t>
        </is>
      </c>
      <c r="S121" s="5" t="inlineStr">
        <is>
          <t>MNQ</t>
        </is>
      </c>
      <c r="T121" s="5" t="n"/>
      <c r="U121" s="5" t="n"/>
      <c r="V121" s="5" t="inlineStr">
        <is>
          <t>Overtraded</t>
        </is>
      </c>
      <c r="W121" s="5" t="n"/>
      <c r="X121" s="5" t="n"/>
      <c r="Y121" s="5" t="n"/>
      <c r="Z121" s="5" t="n"/>
      <c r="AA121" s="5" t="n"/>
    </row>
    <row r="122" ht="15.75" customHeight="1">
      <c r="A122" s="5" t="n">
        <v>129</v>
      </c>
      <c r="B122" s="22" t="n">
        <v>46268</v>
      </c>
      <c r="C122" s="10" t="n">
        <v>0.4142129629629629</v>
      </c>
      <c r="D122" s="5" t="inlineStr">
        <is>
          <t>MGC</t>
        </is>
      </c>
      <c r="E122" s="5" t="inlineStr">
        <is>
          <t>Long</t>
        </is>
      </c>
      <c r="F122" s="5" t="n">
        <v>4512</v>
      </c>
      <c r="G122" s="5" t="n">
        <v>4506.4</v>
      </c>
      <c r="H122" s="5" t="n">
        <v>3</v>
      </c>
      <c r="I122" s="5" t="n">
        <v>4507.3</v>
      </c>
      <c r="J122" s="5" t="n">
        <v>4524.3</v>
      </c>
      <c r="K122" s="8">
        <f>IF(AND(I122&lt;&gt;"",J122&lt;&gt;"",F122&lt;&gt;""), (J122-F122)/(F122-I122), "")</f>
        <v/>
      </c>
      <c r="L122" s="8">
        <f>IF(AND(F122&lt;&gt;"",G122&lt;&gt;"",I122&lt;&gt;""), (G122-F122)/(F122-I122), "")</f>
        <v/>
      </c>
      <c r="M122" s="5">
        <f>IF(N122&gt;0,"Win",IF(N122&lt;0,"Loss",""))</f>
        <v/>
      </c>
      <c r="N122" s="16">
        <f>IF(AND(F122&lt;&gt;"",G122&lt;&gt;"",H122&lt;&gt;"",D122&lt;&gt;""), IF(E122="Long", (G122-F122)*H122*VLOOKUP(D122,Multipliers!A:B,2,FALSE), (F122-G122)*H122*VLOOKUP(D122,Multipliers!A:B,2,FALSE)), "")</f>
        <v/>
      </c>
      <c r="O122" s="9">
        <f>IF(AND(N122&lt;&gt;"",F122&lt;&gt;"",H122&lt;&gt;"",D122&lt;&gt;""), N122/(F122*H122*VLOOKUP(D122,Multipliers!A:B,2,FALSE)), "")</f>
        <v/>
      </c>
      <c r="P122" s="5">
        <f>P121+N122</f>
        <v/>
      </c>
      <c r="Q122" s="5" t="inlineStr">
        <is>
          <t>Break and Retest</t>
        </is>
      </c>
      <c r="R122" s="5" t="inlineStr">
        <is>
          <t>Imported from Tradovate</t>
        </is>
      </c>
      <c r="S122" s="5" t="inlineStr">
        <is>
          <t>MGC</t>
        </is>
      </c>
      <c r="T122" s="5" t="n"/>
      <c r="U122" s="5" t="n"/>
      <c r="V122" s="5" t="inlineStr">
        <is>
          <t>Blew stop, Overtraded</t>
        </is>
      </c>
      <c r="W122" s="5" t="n"/>
      <c r="X122" s="5" t="n"/>
      <c r="Y122" s="5" t="n"/>
      <c r="Z122" s="5" t="n"/>
      <c r="AA122" s="5" t="n"/>
    </row>
    <row r="123" ht="15.75" customHeight="1">
      <c r="A123" s="5" t="n">
        <v>130</v>
      </c>
      <c r="B123" s="22" t="n">
        <v>46268</v>
      </c>
      <c r="C123" s="10" t="n">
        <v>0.4224421296296296</v>
      </c>
      <c r="D123" s="5" t="inlineStr">
        <is>
          <t>MGC</t>
        </is>
      </c>
      <c r="E123" s="5" t="inlineStr">
        <is>
          <t>Long</t>
        </is>
      </c>
      <c r="F123" s="5" t="n">
        <v>4517.4</v>
      </c>
      <c r="G123" s="5" t="n">
        <v>4508.2</v>
      </c>
      <c r="H123" s="5" t="n">
        <v>2</v>
      </c>
      <c r="I123" s="5" t="n">
        <v>4508.3</v>
      </c>
      <c r="J123" s="5" t="n">
        <v>4518</v>
      </c>
      <c r="K123" s="8">
        <f>IF(AND(I123&lt;&gt;"",J123&lt;&gt;"",F123&lt;&gt;""), (J123-F123)/(F123-I123), "")</f>
        <v/>
      </c>
      <c r="L123" s="8">
        <f>IF(AND(F123&lt;&gt;"",G123&lt;&gt;"",I123&lt;&gt;""), (G123-F123)/(F123-I123), "")</f>
        <v/>
      </c>
      <c r="M123" s="5">
        <f>IF(N123&gt;0,"Win",IF(N123&lt;0,"Loss",""))</f>
        <v/>
      </c>
      <c r="N123" s="16">
        <f>IF(AND(F123&lt;&gt;"",G123&lt;&gt;"",H123&lt;&gt;"",D123&lt;&gt;""), IF(E123="Long", (G123-F123)*H123*VLOOKUP(D123,Multipliers!A:B,2,FALSE), (F123-G123)*H123*VLOOKUP(D123,Multipliers!A:B,2,FALSE)), "")</f>
        <v/>
      </c>
      <c r="O123" s="9">
        <f>IF(AND(N123&lt;&gt;"",F123&lt;&gt;"",H123&lt;&gt;"",D123&lt;&gt;""), N123/(F123*H123*VLOOKUP(D123,Multipliers!A:B,2,FALSE)), "")</f>
        <v/>
      </c>
      <c r="P123" s="5">
        <f>P122+N123</f>
        <v/>
      </c>
      <c r="Q123" s="5" t="inlineStr">
        <is>
          <t>Break and Retest</t>
        </is>
      </c>
      <c r="R123" s="5" t="inlineStr">
        <is>
          <t>Imported from Tradovate</t>
        </is>
      </c>
      <c r="S123" s="5" t="inlineStr">
        <is>
          <t>MGC</t>
        </is>
      </c>
      <c r="T123" s="5" t="n"/>
      <c r="U123" s="5" t="n"/>
      <c r="V123" s="5" t="inlineStr">
        <is>
          <t>Overtraded</t>
        </is>
      </c>
      <c r="W123" s="5" t="n"/>
      <c r="X123" s="5" t="n"/>
      <c r="Y123" s="5" t="n"/>
      <c r="Z123" s="5" t="n"/>
      <c r="AA123" s="5" t="n"/>
    </row>
    <row r="124" ht="15.75" customHeight="1">
      <c r="A124" s="5" t="n">
        <v>131</v>
      </c>
      <c r="B124" s="22" t="n">
        <v>46268</v>
      </c>
      <c r="C124" s="10" t="n">
        <v>0.4380555555555555</v>
      </c>
      <c r="D124" s="5" t="inlineStr">
        <is>
          <t>MNQ</t>
        </is>
      </c>
      <c r="E124" s="5" t="inlineStr">
        <is>
          <t>Short</t>
        </is>
      </c>
      <c r="F124" s="5" t="n">
        <v>29357</v>
      </c>
      <c r="G124" s="5" t="n">
        <v>29311.75</v>
      </c>
      <c r="H124" s="5" t="n">
        <v>3</v>
      </c>
      <c r="I124" s="5" t="n">
        <v>29376.25</v>
      </c>
      <c r="J124" s="5" t="n">
        <v>29311.75</v>
      </c>
      <c r="K124" s="8">
        <f>IF(AND(I124&lt;&gt;"",J124&lt;&gt;"",F124&lt;&gt;""), (J124-F124)/(F124-I124), "")</f>
        <v/>
      </c>
      <c r="L124" s="8">
        <f>IF(AND(F124&lt;&gt;"",G124&lt;&gt;"",I124&lt;&gt;""), (G124-F124)/(F124-I124), "")</f>
        <v/>
      </c>
      <c r="M124" s="5">
        <f>IF(N124&gt;0,"Win",IF(N124&lt;0,"Loss",""))</f>
        <v/>
      </c>
      <c r="N124" s="16">
        <f>IF(AND(F124&lt;&gt;"",G124&lt;&gt;"",H124&lt;&gt;"",D124&lt;&gt;""), IF(E124="Long", (G124-F124)*H124*VLOOKUP(D124,Multipliers!A:B,2,FALSE), (F124-G124)*H124*VLOOKUP(D124,Multipliers!A:B,2,FALSE)), "")</f>
        <v/>
      </c>
      <c r="O124" s="9">
        <f>IF(AND(N124&lt;&gt;"",F124&lt;&gt;"",H124&lt;&gt;"",D124&lt;&gt;""), N124/(F124*H124*VLOOKUP(D124,Multipliers!A:B,2,FALSE)), "")</f>
        <v/>
      </c>
      <c r="P124" s="5">
        <f>P123+N124</f>
        <v/>
      </c>
      <c r="Q124" s="5" t="inlineStr">
        <is>
          <t>Break and Retest</t>
        </is>
      </c>
      <c r="R124" s="5" t="inlineStr">
        <is>
          <t>Imported from Tradovate</t>
        </is>
      </c>
      <c r="S124" s="5" t="inlineStr">
        <is>
          <t>MNQ</t>
        </is>
      </c>
      <c r="T124" s="5" t="n"/>
      <c r="U124" s="5" t="n"/>
      <c r="V124" s="5" t="inlineStr">
        <is>
          <t>Overtraded</t>
        </is>
      </c>
      <c r="W124" s="5" t="n"/>
      <c r="X124" s="5" t="n"/>
      <c r="Y124" s="5" t="n"/>
      <c r="Z124" s="5" t="n"/>
      <c r="AA124" s="5" t="n"/>
    </row>
    <row r="125" ht="15.75" customHeight="1">
      <c r="A125" s="5" t="n">
        <v>132</v>
      </c>
      <c r="B125" s="22" t="n">
        <v>46268</v>
      </c>
      <c r="C125" s="10" t="n">
        <v>0.4851157407407408</v>
      </c>
      <c r="D125" s="5" t="inlineStr">
        <is>
          <t>MNQ</t>
        </is>
      </c>
      <c r="E125" s="5" t="inlineStr">
        <is>
          <t>Long</t>
        </is>
      </c>
      <c r="F125" s="5" t="n">
        <v>29513.25</v>
      </c>
      <c r="G125" s="5" t="n">
        <v>29514</v>
      </c>
      <c r="H125" s="5" t="n">
        <v>2</v>
      </c>
      <c r="I125" s="5" t="n">
        <v>29494.25</v>
      </c>
      <c r="J125" s="5" t="n">
        <v>29514</v>
      </c>
      <c r="K125" s="8">
        <f>IF(AND(I125&lt;&gt;"",J125&lt;&gt;"",F125&lt;&gt;""), (J125-F125)/(F125-I125), "")</f>
        <v/>
      </c>
      <c r="L125" s="8">
        <f>IF(AND(F125&lt;&gt;"",G125&lt;&gt;"",I125&lt;&gt;""), (G125-F125)/(F125-I125), "")</f>
        <v/>
      </c>
      <c r="M125" s="5">
        <f>IF(N125&gt;0,"Win",IF(N125&lt;0,"Loss",""))</f>
        <v/>
      </c>
      <c r="N125" s="16">
        <f>IF(AND(F125&lt;&gt;"",G125&lt;&gt;"",H125&lt;&gt;"",D125&lt;&gt;""), IF(E125="Long", (G125-F125)*H125*VLOOKUP(D125,Multipliers!A:B,2,FALSE), (F125-G125)*H125*VLOOKUP(D125,Multipliers!A:B,2,FALSE)), "")</f>
        <v/>
      </c>
      <c r="O125" s="9">
        <f>IF(AND(N125&lt;&gt;"",F125&lt;&gt;"",H125&lt;&gt;"",D125&lt;&gt;""), N125/(F125*H125*VLOOKUP(D125,Multipliers!A:B,2,FALSE)), "")</f>
        <v/>
      </c>
      <c r="P125" s="5">
        <f>P124+N125</f>
        <v/>
      </c>
      <c r="Q125" s="5" t="inlineStr">
        <is>
          <t>Break and Retest</t>
        </is>
      </c>
      <c r="R125" s="5" t="inlineStr">
        <is>
          <t>Imported from Tradovate</t>
        </is>
      </c>
      <c r="S125" s="5" t="inlineStr">
        <is>
          <t>MNQ</t>
        </is>
      </c>
      <c r="T125" s="5" t="n"/>
      <c r="U125" s="5" t="n"/>
      <c r="V125" s="5" t="inlineStr">
        <is>
          <t>Overtraded</t>
        </is>
      </c>
      <c r="W125" s="5" t="n"/>
      <c r="X125" s="5" t="n"/>
      <c r="Y125" s="5" t="n"/>
      <c r="Z125" s="5" t="n"/>
      <c r="AA125" s="5" t="n"/>
    </row>
    <row r="126" ht="15.75" customHeight="1">
      <c r="A126" s="5" t="n">
        <v>133</v>
      </c>
      <c r="B126" s="22" t="n">
        <v>46268</v>
      </c>
      <c r="C126" s="10" t="n">
        <v>0.4997106481481481</v>
      </c>
      <c r="D126" s="5" t="inlineStr">
        <is>
          <t>MGC</t>
        </is>
      </c>
      <c r="E126" s="5" t="inlineStr">
        <is>
          <t>Short</t>
        </is>
      </c>
      <c r="F126" s="5" t="n">
        <v>4538.1</v>
      </c>
      <c r="G126" s="5" t="n">
        <v>4542</v>
      </c>
      <c r="H126" s="5" t="n">
        <v>3</v>
      </c>
      <c r="I126" s="5" t="n">
        <v>4542.2</v>
      </c>
      <c r="J126" s="5" t="n">
        <v>4524.8</v>
      </c>
      <c r="K126" s="8">
        <f>IF(AND(I126&lt;&gt;"",J126&lt;&gt;"",F126&lt;&gt;""), (J126-F126)/(F126-I126), "")</f>
        <v/>
      </c>
      <c r="L126" s="8">
        <f>IF(AND(F126&lt;&gt;"",G126&lt;&gt;"",I126&lt;&gt;""), (G126-F126)/(F126-I126), "")</f>
        <v/>
      </c>
      <c r="M126" s="5">
        <f>IF(N126&gt;0,"Win",IF(N126&lt;0,"Loss",""))</f>
        <v/>
      </c>
      <c r="N126" s="16">
        <f>IF(AND(F126&lt;&gt;"",G126&lt;&gt;"",H126&lt;&gt;"",D126&lt;&gt;""), IF(E126="Long", (G126-F126)*H126*VLOOKUP(D126,Multipliers!A:B,2,FALSE), (F126-G126)*H126*VLOOKUP(D126,Multipliers!A:B,2,FALSE)), "")</f>
        <v/>
      </c>
      <c r="O126" s="9">
        <f>IF(AND(N126&lt;&gt;"",F126&lt;&gt;"",H126&lt;&gt;"",D126&lt;&gt;""), N126/(F126*H126*VLOOKUP(D126,Multipliers!A:B,2,FALSE)), "")</f>
        <v/>
      </c>
      <c r="P126" s="5">
        <f>P125+N126</f>
        <v/>
      </c>
      <c r="Q126" s="5" t="inlineStr">
        <is>
          <t>Break and Retest</t>
        </is>
      </c>
      <c r="R126" s="5" t="inlineStr">
        <is>
          <t>Imported from Tradovate</t>
        </is>
      </c>
      <c r="S126" s="5" t="inlineStr">
        <is>
          <t>MGC</t>
        </is>
      </c>
      <c r="T126" s="5" t="n"/>
      <c r="U126" s="5" t="n"/>
      <c r="V126" s="5" t="inlineStr">
        <is>
          <t>Overtraded</t>
        </is>
      </c>
      <c r="W126" s="5" t="n"/>
      <c r="X126" s="5" t="n"/>
      <c r="Y126" s="5" t="n"/>
      <c r="Z126" s="5" t="n"/>
      <c r="AA126" s="5" t="n"/>
    </row>
    <row r="127" ht="15.75" customHeight="1">
      <c r="A127" s="5" t="n">
        <v>134</v>
      </c>
      <c r="B127" s="22" t="n">
        <v>46268</v>
      </c>
      <c r="C127" s="10" t="n">
        <v>0.5813194444444445</v>
      </c>
      <c r="D127" s="5" t="inlineStr">
        <is>
          <t>MNQ</t>
        </is>
      </c>
      <c r="E127" s="5" t="inlineStr">
        <is>
          <t>Long</t>
        </is>
      </c>
      <c r="F127" s="5" t="n">
        <v>29565.25</v>
      </c>
      <c r="G127" s="5" t="n">
        <v>29576.5</v>
      </c>
      <c r="H127" s="5" t="n">
        <v>3</v>
      </c>
      <c r="I127" s="5" t="n">
        <v>29556.5</v>
      </c>
      <c r="J127" s="5" t="n">
        <v>29577.5</v>
      </c>
      <c r="K127" s="8">
        <f>IF(AND(I127&lt;&gt;"",J127&lt;&gt;"",F127&lt;&gt;""), (J127-F127)/(F127-I127), "")</f>
        <v/>
      </c>
      <c r="L127" s="8">
        <f>IF(AND(F127&lt;&gt;"",G127&lt;&gt;"",I127&lt;&gt;""), (G127-F127)/(F127-I127), "")</f>
        <v/>
      </c>
      <c r="M127" s="5">
        <f>IF(N127&gt;0,"Win",IF(N127&lt;0,"Loss",""))</f>
        <v/>
      </c>
      <c r="N127" s="16">
        <f>IF(AND(F127&lt;&gt;"",G127&lt;&gt;"",H127&lt;&gt;"",D127&lt;&gt;""), IF(E127="Long", (G127-F127)*H127*VLOOKUP(D127,Multipliers!A:B,2,FALSE), (F127-G127)*H127*VLOOKUP(D127,Multipliers!A:B,2,FALSE)), "")</f>
        <v/>
      </c>
      <c r="O127" s="5">
        <f>IF(AND(N127&lt;&gt;"",F127&lt;&gt;"",H127&lt;&gt;"",D127&lt;&gt;""), N127/(F127*H127*VLOOKUP(D127,Multipliers!A:B,2,FALSE)), "")</f>
        <v/>
      </c>
      <c r="P127" s="5">
        <f>P126+N127</f>
        <v/>
      </c>
      <c r="Q127" s="5" t="inlineStr">
        <is>
          <t>Break and Retest</t>
        </is>
      </c>
      <c r="R127" s="5" t="inlineStr">
        <is>
          <t>Imported from Tradovate</t>
        </is>
      </c>
      <c r="S127" s="5" t="inlineStr">
        <is>
          <t>MNQ</t>
        </is>
      </c>
      <c r="T127" s="5" t="n"/>
      <c r="U127" s="5" t="n"/>
      <c r="V127" s="5" t="inlineStr">
        <is>
          <t>Overtraded</t>
        </is>
      </c>
      <c r="W127" s="5" t="n"/>
      <c r="X127" s="5" t="n"/>
      <c r="Y127" s="5" t="n"/>
      <c r="Z127" s="5" t="n"/>
      <c r="AA127" s="5" t="n"/>
    </row>
    <row r="128" ht="15.75" customHeight="1">
      <c r="A128" s="5" t="n">
        <v>135</v>
      </c>
      <c r="B128" s="22" t="n">
        <v>46268</v>
      </c>
      <c r="C128" s="10" t="n">
        <v>0.6272222222222222</v>
      </c>
      <c r="D128" s="5" t="inlineStr">
        <is>
          <t>MGC</t>
        </is>
      </c>
      <c r="E128" s="5" t="inlineStr">
        <is>
          <t>Short</t>
        </is>
      </c>
      <c r="F128" s="5" t="n">
        <v>4522.3</v>
      </c>
      <c r="G128" s="5" t="n">
        <v>4527.2</v>
      </c>
      <c r="H128" s="5" t="n">
        <v>1</v>
      </c>
      <c r="I128" s="5" t="n">
        <v>4527.2</v>
      </c>
      <c r="J128" s="5" t="n">
        <v>4521.3</v>
      </c>
      <c r="K128" s="8">
        <f>IF(AND(I128&lt;&gt;"",J128&lt;&gt;"",F128&lt;&gt;""), (J128-F128)/(F128-I128), "")</f>
        <v/>
      </c>
      <c r="L128" s="8">
        <f>IF(AND(F128&lt;&gt;"",G128&lt;&gt;"",I128&lt;&gt;""), (G128-F128)/(F128-I128), "")</f>
        <v/>
      </c>
      <c r="M128" s="5">
        <f>IF(N128&gt;0,"Win",IF(N128&lt;0,"Loss",""))</f>
        <v/>
      </c>
      <c r="N128" s="16">
        <f>IF(AND(F128&lt;&gt;"",G128&lt;&gt;"",H128&lt;&gt;"",D128&lt;&gt;""), IF(E128="Long", (G128-F128)*H128*VLOOKUP(D128,Multipliers!A:B,2,FALSE), (F128-G128)*H128*VLOOKUP(D128,Multipliers!A:B,2,FALSE)), "")</f>
        <v/>
      </c>
      <c r="O128" s="5">
        <f>IF(AND(N128&lt;&gt;"",F128&lt;&gt;"",H128&lt;&gt;"",D128&lt;&gt;""), N128/(F128*H128*VLOOKUP(D128,Multipliers!A:B,2,FALSE)), "")</f>
        <v/>
      </c>
      <c r="P128" s="5">
        <f>P127+N128</f>
        <v/>
      </c>
      <c r="Q128" s="5" t="inlineStr">
        <is>
          <t>Break and Retest</t>
        </is>
      </c>
      <c r="R128" s="5" t="inlineStr">
        <is>
          <t>Imported from Tradovate</t>
        </is>
      </c>
      <c r="S128" s="5" t="inlineStr">
        <is>
          <t>MGC</t>
        </is>
      </c>
      <c r="T128" s="5" t="n"/>
      <c r="U128" s="5" t="n"/>
      <c r="V128" s="5" t="inlineStr">
        <is>
          <t>Overtraded</t>
        </is>
      </c>
      <c r="W128" s="5" t="n"/>
      <c r="X128" s="5" t="n"/>
      <c r="Y128" s="5" t="n"/>
      <c r="Z128" s="5" t="n"/>
      <c r="AA128" s="5" t="n"/>
    </row>
    <row r="129" ht="15.75" customHeight="1">
      <c r="A129" s="5" t="n">
        <v>136</v>
      </c>
      <c r="B129" s="22" t="n">
        <v>46268</v>
      </c>
      <c r="C129" s="10" t="n">
        <v>0.9261574074074074</v>
      </c>
      <c r="D129" s="5" t="inlineStr">
        <is>
          <t>MGC</t>
        </is>
      </c>
      <c r="E129" s="5" t="inlineStr">
        <is>
          <t>Long</t>
        </is>
      </c>
      <c r="F129" s="5" t="n">
        <v>4525.7</v>
      </c>
      <c r="G129" s="5" t="n">
        <v>4520.9</v>
      </c>
      <c r="H129" s="5" t="n">
        <v>1</v>
      </c>
      <c r="I129" s="5" t="n">
        <v>4520.9</v>
      </c>
      <c r="J129" s="5" t="n">
        <v>4537.9</v>
      </c>
      <c r="K129" s="8">
        <f>IF(AND(I129&lt;&gt;"",J129&lt;&gt;"",F129&lt;&gt;""), (J129-F129)/(F129-I129), "")</f>
        <v/>
      </c>
      <c r="L129" s="8">
        <f>IF(AND(F129&lt;&gt;"",G129&lt;&gt;"",I129&lt;&gt;""), (G129-F129)/(F129-I129), "")</f>
        <v/>
      </c>
      <c r="M129" s="5">
        <f>IF(N129&gt;0,"Win",IF(N129&lt;0,"Loss",""))</f>
        <v/>
      </c>
      <c r="N129" s="16">
        <f>IF(AND(F129&lt;&gt;"",G129&lt;&gt;"",H129&lt;&gt;"",D129&lt;&gt;""), IF(E129="Long", (G129-F129)*H129*VLOOKUP(D129,Multipliers!A:B,2,FALSE), (F129-G129)*H129*VLOOKUP(D129,Multipliers!A:B,2,FALSE)), "")</f>
        <v/>
      </c>
      <c r="O129" s="5">
        <f>IF(AND(N129&lt;&gt;"",F129&lt;&gt;"",H129&lt;&gt;"",D129&lt;&gt;""), N129/(F129*H129*VLOOKUP(D129,Multipliers!A:B,2,FALSE)), "")</f>
        <v/>
      </c>
      <c r="P129" s="5">
        <f>P128+N129</f>
        <v/>
      </c>
      <c r="Q129" s="5" t="inlineStr">
        <is>
          <t>Break and Retest</t>
        </is>
      </c>
      <c r="R129" s="5" t="inlineStr">
        <is>
          <t>Imported from Tradovate</t>
        </is>
      </c>
      <c r="S129" s="5" t="inlineStr">
        <is>
          <t>MGC</t>
        </is>
      </c>
      <c r="T129" s="5" t="n"/>
      <c r="U129" s="5" t="n"/>
      <c r="V129" s="5" t="inlineStr">
        <is>
          <t>Overtraded</t>
        </is>
      </c>
      <c r="W129" s="5" t="n"/>
      <c r="X129" s="5" t="n"/>
      <c r="Y129" s="5" t="n"/>
      <c r="Z129" s="5" t="n"/>
      <c r="AA129" s="5" t="n"/>
    </row>
    <row r="130" ht="15.75" customHeight="1">
      <c r="A130" s="5" t="n">
        <v>137</v>
      </c>
      <c r="B130" s="22" t="n">
        <v>46268</v>
      </c>
      <c r="C130" s="10" t="n">
        <v>0.9483680555555556</v>
      </c>
      <c r="D130" s="5" t="inlineStr">
        <is>
          <t>MGC</t>
        </is>
      </c>
      <c r="E130" s="5" t="inlineStr">
        <is>
          <t>Long</t>
        </is>
      </c>
      <c r="F130" s="5" t="n">
        <v>4518.4</v>
      </c>
      <c r="G130" s="5" t="n">
        <v>4522</v>
      </c>
      <c r="H130" s="5" t="n">
        <v>2</v>
      </c>
      <c r="I130" s="5" t="n">
        <v>4513.6</v>
      </c>
      <c r="J130" s="5" t="n">
        <v>4522</v>
      </c>
      <c r="K130" s="8">
        <f>IF(AND(I130&lt;&gt;"",J130&lt;&gt;"",F130&lt;&gt;""), (J130-F130)/(F130-I130), "")</f>
        <v/>
      </c>
      <c r="L130" s="8">
        <f>IF(AND(F130&lt;&gt;"",G130&lt;&gt;"",I130&lt;&gt;""), (G130-F130)/(F130-I130), "")</f>
        <v/>
      </c>
      <c r="M130" s="5">
        <f>IF(N130&gt;0,"Win",IF(N130&lt;0,"Loss",""))</f>
        <v/>
      </c>
      <c r="N130" s="16">
        <f>IF(AND(F130&lt;&gt;"",G130&lt;&gt;"",H130&lt;&gt;"",D130&lt;&gt;""), IF(E130="Long", (G130-F130)*H130*VLOOKUP(D130,Multipliers!A:B,2,FALSE), (F130-G130)*H130*VLOOKUP(D130,Multipliers!A:B,2,FALSE)), "")</f>
        <v/>
      </c>
      <c r="O130" s="5">
        <f>IF(AND(N130&lt;&gt;"",F130&lt;&gt;"",H130&lt;&gt;"",D130&lt;&gt;""), N130/(F130*H130*VLOOKUP(D130,Multipliers!A:B,2,FALSE)), "")</f>
        <v/>
      </c>
      <c r="P130" s="5">
        <f>P129+N130</f>
        <v/>
      </c>
      <c r="Q130" s="5" t="inlineStr">
        <is>
          <t>Break and Retest</t>
        </is>
      </c>
      <c r="R130" s="5" t="inlineStr">
        <is>
          <t>Imported from Tradovate</t>
        </is>
      </c>
      <c r="S130" s="5" t="inlineStr">
        <is>
          <t>MGC</t>
        </is>
      </c>
      <c r="T130" s="5" t="n"/>
      <c r="U130" s="5" t="n"/>
      <c r="V130" s="5" t="inlineStr">
        <is>
          <t>Overtraded</t>
        </is>
      </c>
      <c r="W130" s="5" t="n"/>
      <c r="X130" s="5" t="n"/>
      <c r="Y130" s="5" t="n"/>
      <c r="Z130" s="5" t="n"/>
      <c r="AA130" s="5" t="n"/>
    </row>
    <row r="131" ht="15.75" customHeight="1">
      <c r="A131" s="5" t="n">
        <v>138</v>
      </c>
      <c r="B131" s="22" t="n">
        <v>46269</v>
      </c>
      <c r="C131" s="10" t="n">
        <v>0.4115277777777778</v>
      </c>
      <c r="D131" s="5" t="inlineStr">
        <is>
          <t>MGC</t>
        </is>
      </c>
      <c r="E131" s="5" t="inlineStr">
        <is>
          <t>Long</t>
        </is>
      </c>
      <c r="F131" s="5" t="n">
        <v>4472</v>
      </c>
      <c r="G131" s="5" t="n">
        <v>4464.8</v>
      </c>
      <c r="H131" s="5" t="n">
        <v>2</v>
      </c>
      <c r="I131" s="5" t="n">
        <v>4465</v>
      </c>
      <c r="J131" s="5" t="n">
        <v>4486</v>
      </c>
      <c r="K131" s="8">
        <f>IF(AND(I131&lt;&gt;"",J131&lt;&gt;"",F131&lt;&gt;""), (J131-F131)/(F131-I131), "")</f>
        <v/>
      </c>
      <c r="L131" s="8">
        <f>IF(AND(F131&lt;&gt;"",G131&lt;&gt;"",I131&lt;&gt;""), (G131-F131)/(F131-I131), "")</f>
        <v/>
      </c>
      <c r="M131" s="5">
        <f>IF(N131&gt;0,"Win",IF(N131&lt;0,"Loss",""))</f>
        <v/>
      </c>
      <c r="N131" s="16">
        <f>IF(AND(F131&lt;&gt;"",G131&lt;&gt;"",H131&lt;&gt;"",D131&lt;&gt;""), IF(E131="Long", (G131-F131)*H131*VLOOKUP(D131,Multipliers!A:B,2,FALSE), (F131-G131)*H131*VLOOKUP(D131,Multipliers!A:B,2,FALSE)), "")</f>
        <v/>
      </c>
      <c r="O131" s="5">
        <f>IF(AND(N131&lt;&gt;"",F131&lt;&gt;"",H131&lt;&gt;"",D131&lt;&gt;""), N131/(F131*H131*VLOOKUP(D131,Multipliers!A:B,2,FALSE)), "")</f>
        <v/>
      </c>
      <c r="P131" s="5">
        <f>P130+N131</f>
        <v/>
      </c>
      <c r="Q131" s="5" t="inlineStr">
        <is>
          <t>Break and Retest</t>
        </is>
      </c>
      <c r="R131" s="5" t="inlineStr">
        <is>
          <t>Imported from Tradovate</t>
        </is>
      </c>
      <c r="S131" s="5" t="inlineStr">
        <is>
          <t>MGC</t>
        </is>
      </c>
      <c r="T131" s="5" t="n"/>
      <c r="U131" s="5" t="n"/>
      <c r="V131" s="5" t="inlineStr">
        <is>
          <t>Overtraded</t>
        </is>
      </c>
      <c r="W131" s="5" t="n"/>
      <c r="X131" s="5" t="n"/>
      <c r="Y131" s="5" t="n"/>
      <c r="Z131" s="5" t="n"/>
      <c r="AA131" s="5" t="n"/>
    </row>
    <row r="132" ht="15.75" customHeight="1">
      <c r="A132" s="5" t="n">
        <v>139</v>
      </c>
      <c r="B132" s="22" t="n">
        <v>46269</v>
      </c>
      <c r="C132" s="10" t="n">
        <v>0.4258912037037037</v>
      </c>
      <c r="D132" s="5" t="inlineStr">
        <is>
          <t>MGC</t>
        </is>
      </c>
      <c r="E132" s="5" t="inlineStr">
        <is>
          <t>Short</t>
        </is>
      </c>
      <c r="F132" s="5" t="n">
        <v>4472.4</v>
      </c>
      <c r="G132" s="5" t="n">
        <v>4485</v>
      </c>
      <c r="H132" s="5" t="n">
        <v>1</v>
      </c>
      <c r="I132" s="5" t="n">
        <v>4484.7</v>
      </c>
      <c r="J132" s="5" t="n">
        <v>4461.8</v>
      </c>
      <c r="K132" s="8">
        <f>IF(AND(I132&lt;&gt;"",J132&lt;&gt;"",F132&lt;&gt;""), (J132-F132)/(F132-I132), "")</f>
        <v/>
      </c>
      <c r="L132" s="8">
        <f>IF(AND(F132&lt;&gt;"",G132&lt;&gt;"",I132&lt;&gt;""), (G132-F132)/(F132-I132), "")</f>
        <v/>
      </c>
      <c r="M132" s="5">
        <f>IF(N132&gt;0,"Win",IF(N132&lt;0,"Loss",""))</f>
        <v/>
      </c>
      <c r="N132" s="16">
        <f>IF(AND(F132&lt;&gt;"",G132&lt;&gt;"",H132&lt;&gt;"",D132&lt;&gt;""), IF(E132="Long", (G132-F132)*H132*VLOOKUP(D132,Multipliers!A:B,2,FALSE), (F132-G132)*H132*VLOOKUP(D132,Multipliers!A:B,2,FALSE)), "")</f>
        <v/>
      </c>
      <c r="O132" s="5">
        <f>IF(AND(N132&lt;&gt;"",F132&lt;&gt;"",H132&lt;&gt;"",D132&lt;&gt;""), N132/(F132*H132*VLOOKUP(D132,Multipliers!A:B,2,FALSE)), "")</f>
        <v/>
      </c>
      <c r="P132" s="5">
        <f>P131+N132</f>
        <v/>
      </c>
      <c r="Q132" s="5" t="inlineStr">
        <is>
          <t>Break and Retest</t>
        </is>
      </c>
      <c r="R132" s="5" t="inlineStr">
        <is>
          <t>Imported from Tradovate</t>
        </is>
      </c>
      <c r="S132" s="5" t="inlineStr">
        <is>
          <t>MGC</t>
        </is>
      </c>
      <c r="T132" s="5" t="n"/>
      <c r="U132" s="5" t="n"/>
      <c r="V132" s="5" t="inlineStr">
        <is>
          <t>Overtraded</t>
        </is>
      </c>
      <c r="W132" s="5" t="n"/>
      <c r="X132" s="5" t="n"/>
      <c r="Y132" s="5" t="n"/>
      <c r="Z132" s="5" t="n"/>
      <c r="AA132" s="5" t="n"/>
    </row>
    <row r="133" ht="15.75" customHeight="1">
      <c r="A133" s="5" t="n">
        <v>140</v>
      </c>
      <c r="B133" s="22" t="n">
        <v>46269</v>
      </c>
      <c r="C133" s="10" t="n">
        <v>0.4415856481481482</v>
      </c>
      <c r="D133" s="5" t="inlineStr">
        <is>
          <t>MNQ</t>
        </is>
      </c>
      <c r="E133" s="5" t="inlineStr">
        <is>
          <t>Short</t>
        </is>
      </c>
      <c r="F133" s="5" t="n">
        <v>29573.5</v>
      </c>
      <c r="G133" s="5" t="n">
        <v>29568.75</v>
      </c>
      <c r="H133" s="5" t="n">
        <v>3</v>
      </c>
      <c r="I133" s="5" t="n">
        <v>29598.5</v>
      </c>
      <c r="J133" s="5" t="n">
        <v>29568.75</v>
      </c>
      <c r="K133" s="8">
        <f>IF(AND(I133&lt;&gt;"",J133&lt;&gt;"",F133&lt;&gt;""), (J133-F133)/(F133-I133), "")</f>
        <v/>
      </c>
      <c r="L133" s="8">
        <f>IF(AND(F133&lt;&gt;"",G133&lt;&gt;"",I133&lt;&gt;""), (G133-F133)/(F133-I133), "")</f>
        <v/>
      </c>
      <c r="M133" s="5">
        <f>IF(N133&gt;0,"Win",IF(N133&lt;0,"Loss",""))</f>
        <v/>
      </c>
      <c r="N133" s="16">
        <f>IF(AND(F133&lt;&gt;"",G133&lt;&gt;"",H133&lt;&gt;"",D133&lt;&gt;""), IF(E133="Long", (G133-F133)*H133*VLOOKUP(D133,Multipliers!A:B,2,FALSE), (F133-G133)*H133*VLOOKUP(D133,Multipliers!A:B,2,FALSE)), "")</f>
        <v/>
      </c>
      <c r="O133" s="5">
        <f>IF(AND(N133&lt;&gt;"",F133&lt;&gt;"",H133&lt;&gt;"",D133&lt;&gt;""), N133/(F133*H133*VLOOKUP(D133,Multipliers!A:B,2,FALSE)), "")</f>
        <v/>
      </c>
      <c r="P133" s="5">
        <f>P132+N133</f>
        <v/>
      </c>
      <c r="Q133" s="5" t="inlineStr">
        <is>
          <t>Break and Retest</t>
        </is>
      </c>
      <c r="R133" s="5" t="inlineStr">
        <is>
          <t>Imported from Tradovate</t>
        </is>
      </c>
      <c r="S133" s="5" t="inlineStr">
        <is>
          <t>MNQ</t>
        </is>
      </c>
      <c r="T133" s="5" t="n"/>
      <c r="U133" s="5" t="n"/>
      <c r="V133" s="5" t="inlineStr">
        <is>
          <t>Overtraded</t>
        </is>
      </c>
      <c r="W133" s="5" t="n"/>
      <c r="X133" s="5" t="n"/>
      <c r="Y133" s="5" t="n"/>
      <c r="Z133" s="5" t="n"/>
      <c r="AA133" s="5" t="n"/>
    </row>
    <row r="134" ht="15.75" customHeight="1">
      <c r="A134" s="5" t="n">
        <v>141</v>
      </c>
      <c r="B134" s="22" t="n">
        <v>46269</v>
      </c>
      <c r="C134" s="10" t="n">
        <v>0.4502546296296296</v>
      </c>
      <c r="D134" s="5" t="inlineStr">
        <is>
          <t>MNQ</t>
        </is>
      </c>
      <c r="E134" s="5" t="inlineStr">
        <is>
          <t>Short</t>
        </is>
      </c>
      <c r="F134" s="5" t="n">
        <v>29534.125</v>
      </c>
      <c r="G134" s="5" t="n">
        <v>29516.84375</v>
      </c>
      <c r="H134" s="5" t="n">
        <v>8</v>
      </c>
      <c r="I134" s="5" t="n">
        <v>29545.25</v>
      </c>
      <c r="J134" s="5" t="n">
        <v>29515.75</v>
      </c>
      <c r="K134" s="8">
        <f>IF(AND(I134&lt;&gt;"",J134&lt;&gt;"",F134&lt;&gt;""), (J134-F134)/(F134-I134), "")</f>
        <v/>
      </c>
      <c r="L134" s="8">
        <f>IF(AND(F134&lt;&gt;"",G134&lt;&gt;"",I134&lt;&gt;""), (G134-F134)/(F134-I134), "")</f>
        <v/>
      </c>
      <c r="M134" s="5">
        <f>IF(N134&gt;0,"Win",IF(N134&lt;0,"Loss",""))</f>
        <v/>
      </c>
      <c r="N134" s="16">
        <f>IF(AND(F134&lt;&gt;"",G134&lt;&gt;"",H134&lt;&gt;"",D134&lt;&gt;""), IF(E134="Long", (G134-F134)*H134*VLOOKUP(D134,Multipliers!A:B,2,FALSE), (F134-G134)*H134*VLOOKUP(D134,Multipliers!A:B,2,FALSE)), "")</f>
        <v/>
      </c>
      <c r="O134" s="5">
        <f>IF(AND(N134&lt;&gt;"",F134&lt;&gt;"",H134&lt;&gt;"",D134&lt;&gt;""), N134/(F134*H134*VLOOKUP(D134,Multipliers!A:B,2,FALSE)), "")</f>
        <v/>
      </c>
      <c r="P134" s="5">
        <f>P133+N134</f>
        <v/>
      </c>
      <c r="Q134" s="5" t="inlineStr">
        <is>
          <t>Break and Retest</t>
        </is>
      </c>
      <c r="R134" s="5" t="inlineStr">
        <is>
          <t>Imported from Tradovate</t>
        </is>
      </c>
      <c r="S134" s="5" t="inlineStr">
        <is>
          <t>MNQ</t>
        </is>
      </c>
      <c r="T134" s="5" t="n"/>
      <c r="U134" s="5" t="n"/>
      <c r="V134" s="5" t="inlineStr">
        <is>
          <t>Overtraded</t>
        </is>
      </c>
      <c r="W134" s="5" t="n"/>
      <c r="X134" s="5" t="n"/>
      <c r="Y134" s="5" t="n"/>
      <c r="Z134" s="5" t="n"/>
      <c r="AA134" s="5" t="n"/>
    </row>
    <row r="135" ht="15.75" customHeight="1">
      <c r="A135" s="5" t="n">
        <v>142</v>
      </c>
      <c r="B135" s="22" t="n">
        <v>46269</v>
      </c>
      <c r="C135" s="10" t="n">
        <v>0.4902199074074074</v>
      </c>
      <c r="D135" s="5" t="inlineStr">
        <is>
          <t>MNQ</t>
        </is>
      </c>
      <c r="E135" s="5" t="inlineStr">
        <is>
          <t>Short</t>
        </is>
      </c>
      <c r="F135" s="5" t="n">
        <v>29518.25</v>
      </c>
      <c r="G135" s="5" t="n">
        <v>29512.25</v>
      </c>
      <c r="H135" s="5" t="n">
        <v>3</v>
      </c>
      <c r="I135" s="5" t="n">
        <v>29527.75</v>
      </c>
      <c r="J135" s="5" t="n">
        <v>29512.25</v>
      </c>
      <c r="K135" s="8">
        <f>IF(AND(I135&lt;&gt;"",J135&lt;&gt;"",F135&lt;&gt;""), (J135-F135)/(F135-I135), "")</f>
        <v/>
      </c>
      <c r="L135" s="8">
        <f>IF(AND(F135&lt;&gt;"",G135&lt;&gt;"",I135&lt;&gt;""), (G135-F135)/(F135-I135), "")</f>
        <v/>
      </c>
      <c r="M135" s="5">
        <f>IF(N135&gt;0,"Win",IF(N135&lt;0,"Loss",""))</f>
        <v/>
      </c>
      <c r="N135" s="16">
        <f>IF(AND(F135&lt;&gt;"",G135&lt;&gt;"",H135&lt;&gt;"",D135&lt;&gt;""), IF(E135="Long", (G135-F135)*H135*VLOOKUP(D135,Multipliers!A:B,2,FALSE), (F135-G135)*H135*VLOOKUP(D135,Multipliers!A:B,2,FALSE)), "")</f>
        <v/>
      </c>
      <c r="O135" s="5">
        <f>IF(AND(N135&lt;&gt;"",F135&lt;&gt;"",H135&lt;&gt;"",D135&lt;&gt;""), N135/(F135*H135*VLOOKUP(D135,Multipliers!A:B,2,FALSE)), "")</f>
        <v/>
      </c>
      <c r="P135" s="5">
        <f>P134+N135</f>
        <v/>
      </c>
      <c r="Q135" s="5" t="inlineStr">
        <is>
          <t>Break and Retest</t>
        </is>
      </c>
      <c r="R135" s="5" t="inlineStr">
        <is>
          <t>Imported from Tradovate</t>
        </is>
      </c>
      <c r="S135" s="5" t="inlineStr">
        <is>
          <t>MNQ</t>
        </is>
      </c>
      <c r="T135" s="5" t="n"/>
      <c r="U135" s="5" t="n"/>
      <c r="V135" s="5" t="inlineStr">
        <is>
          <t>Overtraded</t>
        </is>
      </c>
      <c r="W135" s="5" t="n"/>
      <c r="X135" s="5" t="n"/>
      <c r="Y135" s="5" t="n"/>
      <c r="Z135" s="5" t="n"/>
      <c r="AA135" s="5" t="n"/>
    </row>
    <row r="136" ht="15.75" customHeight="1">
      <c r="A136" s="5" t="n">
        <v>143</v>
      </c>
      <c r="B136" s="22" t="n">
        <v>46269</v>
      </c>
      <c r="C136" s="10" t="n">
        <v>0.5079976851851852</v>
      </c>
      <c r="D136" s="5" t="inlineStr">
        <is>
          <t>MGC</t>
        </is>
      </c>
      <c r="E136" s="5" t="inlineStr">
        <is>
          <t>Long</t>
        </is>
      </c>
      <c r="F136" s="5" t="n">
        <v>4482.6</v>
      </c>
      <c r="G136" s="5" t="n">
        <v>4483</v>
      </c>
      <c r="H136" s="5" t="n">
        <v>2</v>
      </c>
      <c r="I136" s="5" t="n">
        <v>4476.7</v>
      </c>
      <c r="J136" s="5" t="n">
        <v>4483</v>
      </c>
      <c r="K136" s="8">
        <f>IF(AND(I136&lt;&gt;"",J136&lt;&gt;"",F136&lt;&gt;""), (J136-F136)/(F136-I136), "")</f>
        <v/>
      </c>
      <c r="L136" s="8">
        <f>IF(AND(F136&lt;&gt;"",G136&lt;&gt;"",I136&lt;&gt;""), (G136-F136)/(F136-I136), "")</f>
        <v/>
      </c>
      <c r="M136" s="5">
        <f>IF(N136&gt;0,"Win",IF(N136&lt;0,"Loss",""))</f>
        <v/>
      </c>
      <c r="N136" s="16">
        <f>IF(AND(F136&lt;&gt;"",G136&lt;&gt;"",H136&lt;&gt;"",D136&lt;&gt;""), IF(E136="Long", (G136-F136)*H136*VLOOKUP(D136,Multipliers!A:B,2,FALSE), (F136-G136)*H136*VLOOKUP(D136,Multipliers!A:B,2,FALSE)), "")</f>
        <v/>
      </c>
      <c r="O136" s="5">
        <f>IF(AND(N136&lt;&gt;"",F136&lt;&gt;"",H136&lt;&gt;"",D136&lt;&gt;""), N136/(F136*H136*VLOOKUP(D136,Multipliers!A:B,2,FALSE)), "")</f>
        <v/>
      </c>
      <c r="P136" s="5">
        <f>P135+N136</f>
        <v/>
      </c>
      <c r="Q136" s="5" t="inlineStr">
        <is>
          <t>Break and Retest</t>
        </is>
      </c>
      <c r="R136" s="5" t="inlineStr">
        <is>
          <t>Imported from Tradovate</t>
        </is>
      </c>
      <c r="S136" s="5" t="inlineStr">
        <is>
          <t>MGC</t>
        </is>
      </c>
      <c r="T136" s="5" t="n"/>
      <c r="U136" s="5" t="n"/>
      <c r="V136" s="5" t="inlineStr">
        <is>
          <t>Overtraded</t>
        </is>
      </c>
      <c r="W136" s="5" t="n"/>
      <c r="X136" s="5" t="n"/>
      <c r="Y136" s="5" t="n"/>
      <c r="Z136" s="5" t="n"/>
      <c r="AA136" s="5" t="n"/>
    </row>
    <row r="137" ht="15.75" customHeight="1">
      <c r="A137" s="5" t="n">
        <v>144</v>
      </c>
      <c r="B137" s="22" t="n">
        <v>46269</v>
      </c>
      <c r="C137" s="10" t="n">
        <v>0.5492013888888889</v>
      </c>
      <c r="D137" s="5" t="inlineStr">
        <is>
          <t>MNQ</t>
        </is>
      </c>
      <c r="E137" s="5" t="inlineStr">
        <is>
          <t>Long</t>
        </is>
      </c>
      <c r="F137" s="5" t="n">
        <v>29541.75</v>
      </c>
      <c r="G137" s="5" t="n">
        <v>29539.25</v>
      </c>
      <c r="H137" s="5" t="n">
        <v>1</v>
      </c>
      <c r="I137" s="5" t="n">
        <v>29521</v>
      </c>
      <c r="J137" s="5" t="n">
        <v>29561</v>
      </c>
      <c r="K137" s="8">
        <f>IF(AND(I137&lt;&gt;"",J137&lt;&gt;"",F137&lt;&gt;""), (J137-F137)/(F137-I137), "")</f>
        <v/>
      </c>
      <c r="L137" s="8">
        <f>IF(AND(F137&lt;&gt;"",G137&lt;&gt;"",I137&lt;&gt;""), (G137-F137)/(F137-I137), "")</f>
        <v/>
      </c>
      <c r="M137" s="5">
        <f>IF(N137&gt;0,"Win",IF(N137&lt;0,"Loss",""))</f>
        <v/>
      </c>
      <c r="N137" s="16">
        <f>IF(AND(F137&lt;&gt;"",G137&lt;&gt;"",H137&lt;&gt;"",D137&lt;&gt;""), IF(E137="Long", (G137-F137)*H137*VLOOKUP(D137,Multipliers!A:B,2,FALSE), (F137-G137)*H137*VLOOKUP(D137,Multipliers!A:B,2,FALSE)), "")</f>
        <v/>
      </c>
      <c r="O137" s="5">
        <f>IF(AND(N137&lt;&gt;"",F137&lt;&gt;"",H137&lt;&gt;"",D137&lt;&gt;""), N137/(F137*H137*VLOOKUP(D137,Multipliers!A:B,2,FALSE)), "")</f>
        <v/>
      </c>
      <c r="P137" s="5">
        <f>P136+N137</f>
        <v/>
      </c>
      <c r="Q137" s="5" t="inlineStr">
        <is>
          <t>Break and Retest</t>
        </is>
      </c>
      <c r="R137" s="5" t="inlineStr">
        <is>
          <t>Imported from Tradovate</t>
        </is>
      </c>
      <c r="S137" s="5" t="inlineStr">
        <is>
          <t>MNQ</t>
        </is>
      </c>
      <c r="T137" s="5" t="n"/>
      <c r="U137" s="5" t="n"/>
      <c r="V137" s="5" t="inlineStr">
        <is>
          <t>Overtraded</t>
        </is>
      </c>
      <c r="W137" s="5" t="n"/>
      <c r="X137" s="5" t="n"/>
      <c r="Y137" s="5" t="n"/>
      <c r="Z137" s="5" t="n"/>
      <c r="AA137" s="5" t="n"/>
    </row>
    <row r="138" ht="15.75" customHeight="1">
      <c r="A138" s="5" t="n">
        <v>145</v>
      </c>
      <c r="B138" s="22" t="n">
        <v>46269</v>
      </c>
      <c r="C138" s="10" t="n">
        <v>0.5526736111111111</v>
      </c>
      <c r="D138" s="5" t="inlineStr">
        <is>
          <t>MNQ</t>
        </is>
      </c>
      <c r="E138" s="5" t="inlineStr">
        <is>
          <t>Long</t>
        </is>
      </c>
      <c r="F138" s="5" t="n">
        <v>29533.5</v>
      </c>
      <c r="G138" s="5" t="n">
        <v>29532.75</v>
      </c>
      <c r="H138" s="5" t="n">
        <v>3</v>
      </c>
      <c r="I138" s="5" t="n">
        <v>29521</v>
      </c>
      <c r="J138" s="5" t="n">
        <v>29561</v>
      </c>
      <c r="K138" s="8">
        <f>IF(AND(I138&lt;&gt;"",J138&lt;&gt;"",F138&lt;&gt;""), (J138-F138)/(F138-I138), "")</f>
        <v/>
      </c>
      <c r="L138" s="8">
        <f>IF(AND(F138&lt;&gt;"",G138&lt;&gt;"",I138&lt;&gt;""), (G138-F138)/(F138-I138), "")</f>
        <v/>
      </c>
      <c r="M138" s="5">
        <f>IF(N138&gt;0,"Win",IF(N138&lt;0,"Loss",""))</f>
        <v/>
      </c>
      <c r="N138" s="16">
        <f>IF(AND(F138&lt;&gt;"",G138&lt;&gt;"",H138&lt;&gt;"",D138&lt;&gt;""), IF(E138="Long", (G138-F138)*H138*VLOOKUP(D138,Multipliers!A:B,2,FALSE), (F138-G138)*H138*VLOOKUP(D138,Multipliers!A:B,2,FALSE)), "")</f>
        <v/>
      </c>
      <c r="O138" s="5">
        <f>IF(AND(N138&lt;&gt;"",F138&lt;&gt;"",H138&lt;&gt;"",D138&lt;&gt;""), N138/(F138*H138*VLOOKUP(D138,Multipliers!A:B,2,FALSE)), "")</f>
        <v/>
      </c>
      <c r="P138" s="5">
        <f>P137+N138</f>
        <v/>
      </c>
      <c r="Q138" s="5" t="inlineStr">
        <is>
          <t>Break and Retest</t>
        </is>
      </c>
      <c r="R138" s="5" t="inlineStr">
        <is>
          <t>Imported from Tradovate</t>
        </is>
      </c>
      <c r="S138" s="5" t="inlineStr">
        <is>
          <t>MNQ</t>
        </is>
      </c>
      <c r="T138" s="5" t="n"/>
      <c r="U138" s="5" t="n"/>
      <c r="V138" s="5" t="inlineStr">
        <is>
          <t>Revenge trade, Overtraded</t>
        </is>
      </c>
      <c r="W138" s="5" t="n"/>
      <c r="X138" s="5" t="n"/>
      <c r="Y138" s="5" t="n"/>
      <c r="Z138" s="5" t="n"/>
      <c r="AA138" s="5" t="n"/>
    </row>
    <row r="139" ht="15.75" customHeight="1">
      <c r="A139" s="5" t="n">
        <v>146</v>
      </c>
      <c r="B139" s="22" t="n">
        <v>46269</v>
      </c>
      <c r="C139" s="10" t="n">
        <v>0.5527893518518519</v>
      </c>
      <c r="D139" s="5" t="inlineStr">
        <is>
          <t>MNQ</t>
        </is>
      </c>
      <c r="E139" s="5" t="inlineStr">
        <is>
          <t>Short</t>
        </is>
      </c>
      <c r="F139" s="5" t="n">
        <v>29533.75</v>
      </c>
      <c r="G139" s="5" t="n">
        <v>29543</v>
      </c>
      <c r="H139" s="5" t="n">
        <v>3</v>
      </c>
      <c r="I139" s="5" t="n">
        <v>29542.75</v>
      </c>
      <c r="J139" s="5" t="n">
        <v>29507.75</v>
      </c>
      <c r="K139" s="8">
        <f>IF(AND(I139&lt;&gt;"",J139&lt;&gt;"",F139&lt;&gt;""), (J139-F139)/(F139-I139), "")</f>
        <v/>
      </c>
      <c r="L139" s="8">
        <f>IF(AND(F139&lt;&gt;"",G139&lt;&gt;"",I139&lt;&gt;""), (G139-F139)/(F139-I139), "")</f>
        <v/>
      </c>
      <c r="M139" s="5">
        <f>IF(N139&gt;0,"Win",IF(N139&lt;0,"Loss",""))</f>
        <v/>
      </c>
      <c r="N139" s="16">
        <f>IF(AND(F139&lt;&gt;"",G139&lt;&gt;"",H139&lt;&gt;"",D139&lt;&gt;""), IF(E139="Long", (G139-F139)*H139*VLOOKUP(D139,Multipliers!A:B,2,FALSE), (F139-G139)*H139*VLOOKUP(D139,Multipliers!A:B,2,FALSE)), "")</f>
        <v/>
      </c>
      <c r="O139" s="5">
        <f>IF(AND(N139&lt;&gt;"",F139&lt;&gt;"",H139&lt;&gt;"",D139&lt;&gt;""), N139/(F139*H139*VLOOKUP(D139,Multipliers!A:B,2,FALSE)), "")</f>
        <v/>
      </c>
      <c r="P139" s="5">
        <f>P138+N139</f>
        <v/>
      </c>
      <c r="Q139" s="5" t="inlineStr">
        <is>
          <t>Break and Retest</t>
        </is>
      </c>
      <c r="R139" s="5" t="inlineStr">
        <is>
          <t>Imported from Tradovate</t>
        </is>
      </c>
      <c r="S139" s="5" t="inlineStr">
        <is>
          <t>MNQ</t>
        </is>
      </c>
      <c r="T139" s="5" t="n"/>
      <c r="U139" s="5" t="n"/>
      <c r="V139" s="5" t="inlineStr">
        <is>
          <t>Revenge trade, Overtraded</t>
        </is>
      </c>
      <c r="W139" s="5" t="n"/>
      <c r="X139" s="5" t="n"/>
      <c r="Y139" s="5" t="n"/>
      <c r="Z139" s="5" t="n"/>
      <c r="AA139" s="5" t="n"/>
    </row>
    <row r="140" ht="15.75" customHeight="1">
      <c r="A140" s="5" t="n">
        <v>147</v>
      </c>
      <c r="B140" s="22" t="n">
        <v>46269</v>
      </c>
      <c r="C140" s="10" t="n">
        <v>0.5570486111111111</v>
      </c>
      <c r="D140" s="5" t="inlineStr">
        <is>
          <t>MNQ</t>
        </is>
      </c>
      <c r="E140" s="5" t="inlineStr">
        <is>
          <t>Short</t>
        </is>
      </c>
      <c r="F140" s="5" t="n">
        <v>29520.03125</v>
      </c>
      <c r="G140" s="5" t="n">
        <v>29508.15625</v>
      </c>
      <c r="H140" s="5" t="n">
        <v>8</v>
      </c>
      <c r="I140" s="5" t="n">
        <v>29544.75</v>
      </c>
      <c r="J140" s="5" t="n">
        <v>29507</v>
      </c>
      <c r="K140" s="8">
        <f>IF(AND(I140&lt;&gt;"",J140&lt;&gt;"",F140&lt;&gt;""), (J140-F140)/(F140-I140), "")</f>
        <v/>
      </c>
      <c r="L140" s="8">
        <f>IF(AND(F140&lt;&gt;"",G140&lt;&gt;"",I140&lt;&gt;""), (G140-F140)/(F140-I140), "")</f>
        <v/>
      </c>
      <c r="M140" s="5">
        <f>IF(N140&gt;0,"Win",IF(N140&lt;0,"Loss",""))</f>
        <v/>
      </c>
      <c r="N140" s="16">
        <f>IF(AND(F140&lt;&gt;"",G140&lt;&gt;"",H140&lt;&gt;"",D140&lt;&gt;""), IF(E140="Long", (G140-F140)*H140*VLOOKUP(D140,Multipliers!A:B,2,FALSE), (F140-G140)*H140*VLOOKUP(D140,Multipliers!A:B,2,FALSE)), "")</f>
        <v/>
      </c>
      <c r="O140" s="5">
        <f>IF(AND(N140&lt;&gt;"",F140&lt;&gt;"",H140&lt;&gt;"",D140&lt;&gt;""), N140/(F140*H140*VLOOKUP(D140,Multipliers!A:B,2,FALSE)), "")</f>
        <v/>
      </c>
      <c r="P140" s="5">
        <f>P139+N140</f>
        <v/>
      </c>
      <c r="Q140" s="5" t="inlineStr">
        <is>
          <t>Break and Retest</t>
        </is>
      </c>
      <c r="R140" s="5" t="inlineStr">
        <is>
          <t>Imported from Tradovate</t>
        </is>
      </c>
      <c r="S140" s="5" t="inlineStr">
        <is>
          <t>MNQ</t>
        </is>
      </c>
      <c r="T140" s="5" t="n"/>
      <c r="U140" s="5" t="n"/>
      <c r="V140" s="5" t="inlineStr">
        <is>
          <t>Revenge trade, Overtraded</t>
        </is>
      </c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23:18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112</v>
      </c>
    </row>
    <row r="5">
      <c r="A5" t="inlineStr">
        <is>
          <t>Win rate</t>
        </is>
      </c>
      <c r="B5" t="inlineStr">
        <is>
          <t>56.2%</t>
        </is>
      </c>
    </row>
    <row r="6">
      <c r="A6" t="inlineStr">
        <is>
          <t>Total P&amp;L</t>
        </is>
      </c>
      <c r="B6" t="n">
        <v>3213</v>
      </c>
    </row>
    <row r="7">
      <c r="A7" t="inlineStr">
        <is>
          <t>Profit factor</t>
        </is>
      </c>
      <c r="B7" t="n">
        <v>1.37</v>
      </c>
    </row>
    <row r="8">
      <c r="A8" t="inlineStr">
        <is>
          <t>Expectancy / trade</t>
        </is>
      </c>
      <c r="B8" t="n">
        <v>28.69</v>
      </c>
    </row>
    <row r="9">
      <c r="A9" t="inlineStr">
        <is>
          <t>Avg win</t>
        </is>
      </c>
      <c r="B9" t="n">
        <v>190.37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1.95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107</v>
      </c>
      <c r="C19" t="inlineStr">
        <is>
          <t>55%</t>
        </is>
      </c>
      <c r="D19" t="n">
        <v>2754</v>
      </c>
      <c r="E19" t="n">
        <v>25.74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63</v>
      </c>
      <c r="C27" t="inlineStr">
        <is>
          <t>59%</t>
        </is>
      </c>
      <c r="D27" t="n">
        <v>2221</v>
      </c>
      <c r="E27" t="n">
        <v>35.25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56</v>
      </c>
      <c r="C33" t="inlineStr">
        <is>
          <t>61%</t>
        </is>
      </c>
      <c r="D33" t="n">
        <v>156.5</v>
      </c>
      <c r="E33" t="n">
        <v>2.79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10</v>
      </c>
      <c r="C50" t="inlineStr">
        <is>
          <t>30%</t>
        </is>
      </c>
      <c r="D50" t="n">
        <v>1788</v>
      </c>
      <c r="E50" t="n">
        <v>178.8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30</v>
      </c>
      <c r="C58" t="inlineStr">
        <is>
          <t>57%</t>
        </is>
      </c>
      <c r="D58" t="n">
        <v>501</v>
      </c>
      <c r="E58" t="n">
        <v>16.7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9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1.08)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## Bottom line</t>
        </is>
      </c>
    </row>
    <row r="4">
      <c r="A4" s="14" t="inlineStr"/>
    </row>
    <row r="5">
      <c r="A5" s="14" t="inlineStr">
        <is>
          <t>You're net profitable (+$3,213 over 112 trades, PF 1.37, expectancy $28.70/trade), but the edge is thin and it's being taxed by execution discipline, not setup selection. The single biggest structural problem: you target **1.95R** but realize **0.48R** on average — you're capturing roughly a quarter of the reward you're actually risking for. Fix that gap before anything else; it dwarfs every other leak in this data.</t>
        </is>
      </c>
    </row>
    <row r="6">
      <c r="A6" s="14" t="inlineStr"/>
    </row>
    <row r="7">
      <c r="A7" s="14" t="inlineStr">
        <is>
          <t>## What's actually working — press it</t>
        </is>
      </c>
    </row>
    <row r="8">
      <c r="A8" s="14" t="inlineStr"/>
    </row>
    <row r="9">
      <c r="A9" s="14" t="inlineStr">
        <is>
          <t>- **"Pullback grade: Good"** (n=36, 69% win, expectancy **$148**, total **$5,340**) is your best filter by far. This should be a hard entry criterion, not a nice-to-have.</t>
        </is>
      </c>
    </row>
    <row r="10">
      <c r="A10" s="14" t="inlineStr">
        <is>
          <t>- **"Entered at a key level"** (n=80, expectancy $65, total $5,183) vs. **"Not at a key level"** (n=32, expectancy **‑$62**, total **‑$1,970**) — this is a clean, large-sample split. Key-level entries are carrying the account; off-level entries are bleeding it.</t>
        </is>
      </c>
    </row>
    <row r="11">
      <c r="A11" s="14" t="inlineStr">
        <is>
          <t>- **With the 1H trend** ($56 expectancy, $3,877 total) vs. **against/unclear 1H trend** (‑$15 expectancy, ‑$664 total), and **ADX ≥25 trending** ($70 expectancy) vs. **ADX &lt;20 chop** (‑$33 expectancy, ‑$1,350 total) — you have a real edge trading with higher-timeframe trend in trending conditions, and a real leak fading into chop.</t>
        </is>
      </c>
    </row>
    <row r="12">
      <c r="A12" s="14" t="inlineStr">
        <is>
          <t>- MGC is outperforming MNQ (expectancy $35 vs $20) and is worth the larger allocation you're already giving it (63 vs 49 trades).</t>
        </is>
      </c>
    </row>
    <row r="13">
      <c r="A13" s="14" t="inlineStr">
        <is>
          <t>- Note: "Supertrends aligned" and "right side of VWAP" show flat-to-slightly-negative expectancy in your data — don't lean on those two as filters, they're not adding anything for you right now.</t>
        </is>
      </c>
    </row>
    <row r="14">
      <c r="A14" s="14" t="inlineStr"/>
    </row>
    <row r="15">
      <c r="A15" s="14" t="inlineStr">
        <is>
          <t>## What's costing you — ranked by dollars</t>
        </is>
      </c>
    </row>
    <row r="16">
      <c r="A16" s="14" t="inlineStr"/>
    </row>
    <row r="17">
      <c r="A17" s="14" t="inlineStr">
        <is>
          <t>1. **19:00 hour: ‑$1,471 across 7 trades** (57% win rate but net deeply negative — a few large losers are wiping out the wins). This is your worst single time block by a wide margin. Before anything else, figure out what you're doing differently at 19:00 and consider a hard no-trade rule there until you do.</t>
        </is>
      </c>
    </row>
    <row r="18">
      <c r="A18" s="14" t="inlineStr">
        <is>
          <t>2. **Exit discipline gap (0.48R realized vs 1.95R targeted).** The flags confirm both sides of this: "winner cut short" (e.g., MGC 08/27 took 0.11R of a 2.44R target) and "stop overrun" (two trades finishing worse than ‑1R, meaning stops moved or got blown through). You're capping upside and not capping downside — the worst combination.</t>
        </is>
      </c>
    </row>
    <row r="19">
      <c r="A19" s="14" t="inlineStr">
        <is>
          <t>3. **Trading against your own entry checklist.** "Weak pullback grade" (‑$2,164 total, n=56 — half your trades), "not at a key level" (‑$1,970), and "candle against trade" (‑$1,848, only 38% win rate) are your three biggest raw dollar drags. These aren't small samples or noise — they're half your trade log telling you the same thing: when the setup isn't clean, you still take it.</t>
        </is>
      </c>
    </row>
    <row r="20">
      <c r="A20" s="14" t="inlineStr">
        <is>
          <t>4. **Shorts are underperforming longs badly**: shorts win more often (61% vs 52%) but produce almost nothing (expectancy $2.79 vs $54.58 for longs, $156 vs $3,056 total). You're likely taking profit too early or letting losers run further on the short side — worth reviewing your short trade management specifically, not your short trade selection.</t>
        </is>
      </c>
    </row>
    <row r="21">
      <c r="A21" s="14" t="inlineStr">
        <is>
          <t>5. **Monday is your only clearly losing day** (‑$387, 42% win rate) against strongly positive Thu/Fri/Sun (all &gt;63% win rate). Tuesday is your highest-volume day (30 trades) but weakest positive edge relative to Thu/Fri/Sun — you may be over-trading Tuesday out of habit rather than opportunity.</t>
        </is>
      </c>
    </row>
    <row r="22">
      <c r="A22" s="14" t="inlineStr"/>
    </row>
    <row r="23">
      <c r="A23" s="14" t="inlineStr">
        <is>
          <t>## The dangerous pattern: overtrading → revenge → oversizing, stacked on the same days</t>
        </is>
      </c>
    </row>
    <row r="24">
      <c r="A24" s="14" t="inlineStr"/>
    </row>
    <row r="25">
      <c r="A25" s="14" t="inlineStr">
        <is>
          <t>08/11, 08/12, 08/26, 08/31, and today (09/01) all show &gt;6 trades with clustered revenge entries. The clearest example is **08/31**: both MGC and MNQ printed near-doji days (body 2% and 10% of range — textbook chop/ADX&lt;20 conditions, exactly where your data says you lose money), yet you took **17 trades**, your highest-volume day in the set, with five separate revenge-trade flags. Net result for that day, walking through the trade log, is negative.</t>
        </is>
      </c>
    </row>
    <row r="26">
      <c r="A26" s="14" t="inlineStr"/>
    </row>
    <row r="27">
      <c r="A27" s="14" t="inlineStr">
        <is>
          <t>Even more concerning: on **08/11** you took a revenge short at size 10 four minutes after a loss, then a revenge short at size 20 eleven minutes after another loss — in an instrument (MGC) where your normal size is 1–6 contracts. Position size CV is 1.08 (very high dispersion), and while the "Oversized" tag currently shows positive expectancy ($116) — meaning size-ups haven't hurt you yet — that's variance, not skill, and it's exactly the kind of pattern that produces a $1,310 max single loss and a $1,750 drawdown. It hasn't blown you up yet. It will eventually, because size is scaling *up* right when your emotional control is scaling *down*.</t>
        </is>
      </c>
    </row>
    <row r="28">
      <c r="A28" s="14" t="inlineStr"/>
    </row>
    <row r="29">
      <c r="A29" s="14" t="inlineStr">
        <is>
          <t>I checked the news calendar — the revenge-trade timestamps (mostly evening/overnight) don't line up with the high-impact release times (CPI, PPI, FOMC Minutes, PCE, Payrolls all hit 08:30–10:00 ET), so this isn't a news-reaction problem. It's a self-discipline problem on chop days.</t>
        </is>
      </c>
    </row>
    <row r="30">
      <c r="A30" s="14" t="inlineStr"/>
    </row>
    <row r="31">
      <c r="A31" s="14" t="inlineStr">
        <is>
          <t>## Concrete rules for next week</t>
        </is>
      </c>
    </row>
    <row r="32">
      <c r="A32" s="14" t="inlineStr"/>
    </row>
    <row r="33">
      <c r="A33" s="14" t="inlineStr">
        <is>
          <t>1. **Hard stop at 6 trades/day.** You've already flagged this threshold yourself; enforce it mechanically.</t>
        </is>
      </c>
    </row>
    <row r="34">
      <c r="A34" s="14" t="inlineStr">
        <is>
          <t>2. **No new position within 15 minutes of a loss, full stop** — this alone would have prevented most of the flagged revenge trades.</t>
        </is>
      </c>
    </row>
    <row r="35">
      <c r="A35" s="14" t="inlineStr">
        <is>
          <t>3. **Size cap: never exceed your median size (looks like ~3 contracts on MGC, ~3-5 on MNQ) after a loss.** If anything, cut size in half post-loss until you've had a winner.</t>
        </is>
      </c>
    </row>
    <row r="36">
      <c r="A36" s="14" t="inlineStr">
        <is>
          <t>4. **Pre-trade checklist gate**: only take the trade if pullback grade is Good/A+, price is at a key level, and you're with the 1H trend. If two of those three are missing, skip it — that's exactly the combination separating your winners from your losers in this data.</t>
        </is>
      </c>
    </row>
    <row r="37">
      <c r="A37" s="14" t="inlineStr">
        <is>
          <t>5. **Investigate 19:00 specifically** — pull those 7 trades and figure out what's different (fatigue, low liquidity, a specific setup that doesn't work there). Until you know, don't trade that hour.</t>
        </is>
      </c>
    </row>
    <row r="38">
      <c r="A38" s="14" t="inlineStr">
        <is>
          <t>6. **Manage winners to your stated 1.95R target, or at least to 1R, before touching the stop.** Whatever your current "take profit" impulse is, add friction to it — a 2-minute rule before closing a winner, or move to breakeven and let it run rather than manually closing early.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  <row r="10">
      <c r="A10" t="inlineStr">
        <is>
          <t>2026-09-02</t>
        </is>
      </c>
      <c r="B10" t="inlineStr">
        <is>
          <t>10:00</t>
        </is>
      </c>
      <c r="C10" t="inlineStr">
        <is>
          <t>USD</t>
        </is>
      </c>
      <c r="D10" t="inlineStr">
        <is>
          <t>High</t>
        </is>
      </c>
      <c r="E10" t="inlineStr">
        <is>
          <t>ISM</t>
        </is>
      </c>
      <c r="F10" t="inlineStr">
        <is>
          <t>51.2</t>
        </is>
      </c>
      <c r="G10" t="inlineStr">
        <is>
          <t>52.5</t>
        </is>
      </c>
      <c r="H10" t="inlineStr">
        <is>
          <t>52.8</t>
        </is>
      </c>
    </row>
    <row r="11">
      <c r="A11" t="inlineStr">
        <is>
          <t>2026-09-03</t>
        </is>
      </c>
      <c r="B11" t="inlineStr">
        <is>
          <t>08:15</t>
        </is>
      </c>
      <c r="C11" t="inlineStr">
        <is>
          <t>USD</t>
        </is>
      </c>
      <c r="D11" t="inlineStr">
        <is>
          <t>High</t>
        </is>
      </c>
      <c r="E11" t="inlineStr">
        <is>
          <t>Payrolls</t>
        </is>
      </c>
      <c r="F11" t="inlineStr">
        <is>
          <t>38K</t>
        </is>
      </c>
      <c r="G11" t="inlineStr">
        <is>
          <t>47K</t>
        </is>
      </c>
      <c r="H11" t="inlineStr">
        <is>
          <t>46K</t>
        </is>
      </c>
    </row>
    <row r="12">
      <c r="A12" t="inlineStr">
        <is>
          <t>2026-09-04</t>
        </is>
      </c>
      <c r="B12" t="inlineStr">
        <is>
          <t>08:30</t>
        </is>
      </c>
      <c r="C12" t="inlineStr">
        <is>
          <t>USD</t>
        </is>
      </c>
      <c r="D12" t="inlineStr">
        <is>
          <t>High</t>
        </is>
      </c>
      <c r="E12" t="inlineStr">
        <is>
          <t>Payrolls</t>
        </is>
      </c>
      <c r="F12" t="inlineStr">
        <is>
          <t>1.4%</t>
        </is>
      </c>
      <c r="G12" t="inlineStr">
        <is>
          <t>1.4%</t>
        </is>
      </c>
      <c r="H12" t="inlineStr">
        <is>
          <t>0.8%</t>
        </is>
      </c>
    </row>
    <row r="13">
      <c r="A13" t="inlineStr">
        <is>
          <t>2026-09-04</t>
        </is>
      </c>
      <c r="B13" t="inlineStr">
        <is>
          <t>10:00</t>
        </is>
      </c>
      <c r="C13" t="inlineStr">
        <is>
          <t>USD</t>
        </is>
      </c>
      <c r="D13" t="inlineStr">
        <is>
          <t>High</t>
        </is>
      </c>
      <c r="E13" t="inlineStr">
        <is>
          <t>ISM</t>
        </is>
      </c>
      <c r="F13" t="inlineStr">
        <is>
          <t>61.7</t>
        </is>
      </c>
      <c r="H13" t="inlineStr">
        <is>
          <t>59.1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4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1.47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/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1.47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Y5" t="inlineStr"/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1.65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Y6" t="inlineStr"/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0.78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Y8" t="inlineStr"/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/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O15" t="inlineStr"/>
      <c r="P15" t="inlineStr"/>
      <c r="Q15" t="inlineStr"/>
      <c r="R15" t="inlineStr"/>
      <c r="S15" t="inlineStr"/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/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Y17" t="inlineStr"/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0.6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0.38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Y22" t="inlineStr"/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1.11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1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0.73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/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Y29" t="inlineStr"/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0.76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/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0.6899999999999999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Y33" t="inlineStr"/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0.5600000000000001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1.45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0.76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1.46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1.45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0.72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8.619999999999999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1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Y44" t="inlineStr"/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0.82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1.3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Y47" t="inlineStr"/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2.04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1.78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2.52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T51" t="inlineStr"/>
      <c r="U51" t="inlineStr"/>
      <c r="V51" t="inlineStr">
        <is>
          <t>Weak</t>
        </is>
      </c>
      <c r="W51" t="n">
        <v>1</v>
      </c>
      <c r="X51" t="inlineStr">
        <is>
          <t>Round</t>
        </is>
      </c>
      <c r="Y51" t="inlineStr"/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0.97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O54" t="inlineStr"/>
      <c r="P54" t="inlineStr"/>
      <c r="Q54" t="inlineStr"/>
      <c r="R54" t="inlineStr"/>
      <c r="S54" t="inlineStr"/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0.91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1.03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T58" t="inlineStr"/>
      <c r="U58" t="inlineStr"/>
      <c r="V58" t="inlineStr">
        <is>
          <t>No setup</t>
        </is>
      </c>
      <c r="W58" t="n">
        <v>0</v>
      </c>
      <c r="X58" t="inlineStr">
        <is>
          <t>Round</t>
        </is>
      </c>
      <c r="Y58" t="inlineStr"/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Y59" t="inlineStr"/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0.92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0.98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0.47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1.24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0.9399999999999999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Y67" t="inlineStr"/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1.32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Y71" t="inlineStr"/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1.3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/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0.9399999999999999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1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Y75" t="inlineStr"/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Y77" t="inlineStr"/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0.61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Y78" t="inlineStr"/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8.83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1.38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1.47</v>
      </c>
      <c r="S81" t="n">
        <v>8113</v>
      </c>
      <c r="T81" t="inlineStr"/>
      <c r="U81" t="inlineStr"/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1.43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Y82" t="inlineStr"/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O84" t="inlineStr"/>
      <c r="P84" t="inlineStr"/>
      <c r="Q84" t="inlineStr"/>
      <c r="R84" t="inlineStr"/>
      <c r="S84" t="inlineStr"/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0.99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1.14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Y88" t="inlineStr"/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3.56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0.9399999999999999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Y91" t="inlineStr"/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0.78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0.8100000000000001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Y93" t="inlineStr"/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Y94" t="inlineStr"/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0.67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Y95" t="inlineStr"/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0.9399999999999999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Y96" t="inlineStr"/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0.95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2.64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0.68</v>
      </c>
      <c r="S105" t="n">
        <v>-7616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Y105" t="inlineStr"/>
      <c r="Z105" t="n">
        <v>0.43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1.09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0.87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Y107" t="inlineStr"/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0.79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Y109" t="inlineStr"/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3.1</v>
      </c>
      <c r="S110" t="n">
        <v>4365</v>
      </c>
      <c r="T110" t="inlineStr"/>
      <c r="U110" t="inlineStr"/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1.24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1.24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  <row r="113">
      <c r="A113" t="inlineStr">
        <is>
          <t>2026-09-01</t>
        </is>
      </c>
      <c r="B113" t="inlineStr">
        <is>
          <t>22:52</t>
        </is>
      </c>
      <c r="C113" t="inlineStr">
        <is>
          <t>MGC</t>
        </is>
      </c>
      <c r="D113" t="inlineStr">
        <is>
          <t>Short</t>
        </is>
      </c>
      <c r="E113" t="n">
        <v>204</v>
      </c>
      <c r="F113" t="inlineStr">
        <is>
          <t>down</t>
        </is>
      </c>
      <c r="G113" t="inlineStr">
        <is>
          <t>down</t>
        </is>
      </c>
      <c r="H113" t="inlineStr">
        <is>
          <t>down</t>
        </is>
      </c>
      <c r="I113" t="inlineStr">
        <is>
          <t>down</t>
        </is>
      </c>
      <c r="J113" t="n">
        <v>46.3</v>
      </c>
      <c r="K113" t="inlineStr">
        <is>
          <t>bear</t>
        </is>
      </c>
      <c r="L113" t="inlineStr">
        <is>
          <t>+</t>
        </is>
      </c>
      <c r="M113" t="n">
        <v>21.5</v>
      </c>
      <c r="N113" t="n">
        <v>7.25</v>
      </c>
      <c r="O113" t="n">
        <v>4387.33</v>
      </c>
      <c r="P113" t="inlineStr">
        <is>
          <t>below</t>
        </is>
      </c>
      <c r="Q113" t="n">
        <v>4409.61</v>
      </c>
      <c r="R113" t="n">
        <v>1</v>
      </c>
      <c r="S113" t="n">
        <v>-1980</v>
      </c>
      <c r="T113" t="n">
        <v>36</v>
      </c>
      <c r="U113" t="inlineStr">
        <is>
          <t>shallow</t>
        </is>
      </c>
      <c r="V113" t="inlineStr">
        <is>
          <t>Good</t>
        </is>
      </c>
      <c r="W113" t="n">
        <v>2</v>
      </c>
      <c r="X113" t="inlineStr">
        <is>
          <t>Round</t>
        </is>
      </c>
      <c r="Y113" t="inlineStr">
        <is>
          <t>bearish engulfing</t>
        </is>
      </c>
      <c r="Z113" t="n">
        <v>0.39</v>
      </c>
      <c r="AA113" t="inlineStr">
        <is>
          <t>Yes</t>
        </is>
      </c>
      <c r="AB113" t="inlineStr">
        <is>
          <t>Yes</t>
        </is>
      </c>
    </row>
    <row r="114">
      <c r="A114" t="inlineStr">
        <is>
          <t>2026-09-02</t>
        </is>
      </c>
      <c r="B114" t="inlineStr">
        <is>
          <t>10:12</t>
        </is>
      </c>
      <c r="C114" t="inlineStr">
        <is>
          <t>MGC</t>
        </is>
      </c>
      <c r="D114" t="inlineStr">
        <is>
          <t>Long</t>
        </is>
      </c>
      <c r="E114" t="n">
        <v>-181</v>
      </c>
      <c r="F114" t="inlineStr">
        <is>
          <t>down</t>
        </is>
      </c>
      <c r="G114" t="inlineStr">
        <is>
          <t>up</t>
        </is>
      </c>
      <c r="H114" t="inlineStr">
        <is>
          <t>up</t>
        </is>
      </c>
      <c r="I114" t="inlineStr">
        <is>
          <t>up</t>
        </is>
      </c>
      <c r="J114" t="n">
        <v>73.7</v>
      </c>
      <c r="K114" t="inlineStr">
        <is>
          <t>bull</t>
        </is>
      </c>
      <c r="L114" t="inlineStr">
        <is>
          <t>+</t>
        </is>
      </c>
      <c r="M114" t="n">
        <v>57.3</v>
      </c>
      <c r="N114" t="n">
        <v>8.92</v>
      </c>
      <c r="O114" t="n">
        <v>4424.22</v>
      </c>
      <c r="P114" t="inlineStr">
        <is>
          <t>above</t>
        </is>
      </c>
      <c r="Q114" t="n">
        <v>4437.8</v>
      </c>
      <c r="R114" t="n">
        <v>2.26</v>
      </c>
      <c r="S114" t="n">
        <v>5949</v>
      </c>
      <c r="T114" t="n">
        <v>8</v>
      </c>
      <c r="U114" t="inlineStr">
        <is>
          <t>extended (no pullback)</t>
        </is>
      </c>
      <c r="V114" t="inlineStr">
        <is>
          <t>No setup</t>
        </is>
      </c>
      <c r="W114" t="n">
        <v>0</v>
      </c>
      <c r="X114" t="inlineStr">
        <is>
          <t>ORH/Round</t>
        </is>
      </c>
      <c r="Y114" t="inlineStr">
        <is>
          <t>bearish pin</t>
        </is>
      </c>
      <c r="Z114" t="n">
        <v>1.33</v>
      </c>
      <c r="AA114" t="inlineStr">
        <is>
          <t>Yes</t>
        </is>
      </c>
      <c r="AB114" t="inlineStr">
        <is>
          <t>No</t>
        </is>
      </c>
    </row>
    <row r="115">
      <c r="A115" t="inlineStr">
        <is>
          <t>2026-09-02</t>
        </is>
      </c>
      <c r="B115" t="inlineStr">
        <is>
          <t>11:02</t>
        </is>
      </c>
      <c r="C115" t="inlineStr">
        <is>
          <t>MGC</t>
        </is>
      </c>
      <c r="D115" t="inlineStr">
        <is>
          <t>Long</t>
        </is>
      </c>
      <c r="E115" t="n">
        <v>-150</v>
      </c>
      <c r="F115" t="inlineStr">
        <is>
          <t>down</t>
        </is>
      </c>
      <c r="G115" t="inlineStr">
        <is>
          <t>up</t>
        </is>
      </c>
      <c r="H115" t="inlineStr">
        <is>
          <t>up</t>
        </is>
      </c>
      <c r="I115" t="inlineStr">
        <is>
          <t>up</t>
        </is>
      </c>
      <c r="J115" t="n">
        <v>57.6</v>
      </c>
      <c r="K115" t="inlineStr">
        <is>
          <t>bull</t>
        </is>
      </c>
      <c r="L115" t="inlineStr">
        <is>
          <t>-</t>
        </is>
      </c>
      <c r="M115" t="n">
        <v>54.9</v>
      </c>
      <c r="N115" t="n">
        <v>7.52</v>
      </c>
      <c r="O115" t="n">
        <v>4426.55</v>
      </c>
      <c r="P115" t="inlineStr">
        <is>
          <t>below</t>
        </is>
      </c>
      <c r="Q115" t="n">
        <v>4438.82</v>
      </c>
      <c r="R115" t="n">
        <v>1</v>
      </c>
      <c r="S115" t="n">
        <v>4999</v>
      </c>
      <c r="T115" t="n">
        <v>24</v>
      </c>
      <c r="U115" t="inlineStr">
        <is>
          <t>shallow</t>
        </is>
      </c>
      <c r="V115" t="inlineStr">
        <is>
          <t>Weak</t>
        </is>
      </c>
      <c r="W115" t="n">
        <v>1</v>
      </c>
      <c r="X115" t="inlineStr">
        <is>
          <t>Round</t>
        </is>
      </c>
      <c r="Y115" t="inlineStr"/>
      <c r="Z115" t="n">
        <v>0.46</v>
      </c>
      <c r="AA115" t="inlineStr">
        <is>
          <t>Yes</t>
        </is>
      </c>
      <c r="AB115" t="inlineStr">
        <is>
          <t>No</t>
        </is>
      </c>
    </row>
    <row r="116">
      <c r="A116" t="inlineStr">
        <is>
          <t>2026-09-02</t>
        </is>
      </c>
      <c r="B116" t="inlineStr">
        <is>
          <t>14:10</t>
        </is>
      </c>
      <c r="C116" t="inlineStr">
        <is>
          <t>MGC</t>
        </is>
      </c>
      <c r="D116" t="inlineStr">
        <is>
          <t>Short</t>
        </is>
      </c>
      <c r="E116" t="n">
        <v>-141</v>
      </c>
      <c r="F116" t="inlineStr">
        <is>
          <t>down</t>
        </is>
      </c>
      <c r="G116" t="inlineStr">
        <is>
          <t>up</t>
        </is>
      </c>
      <c r="H116" t="inlineStr">
        <is>
          <t>up</t>
        </is>
      </c>
      <c r="I116" t="inlineStr">
        <is>
          <t>up</t>
        </is>
      </c>
      <c r="J116" t="n">
        <v>48.2</v>
      </c>
      <c r="K116" t="inlineStr">
        <is>
          <t>bull</t>
        </is>
      </c>
      <c r="L116" t="inlineStr">
        <is>
          <t>+</t>
        </is>
      </c>
      <c r="M116" t="n">
        <v>17.4</v>
      </c>
      <c r="N116" t="n">
        <v>4.19</v>
      </c>
      <c r="O116" t="n">
        <v>4423.22</v>
      </c>
      <c r="P116" t="inlineStr">
        <is>
          <t>below</t>
        </is>
      </c>
      <c r="Q116" t="n">
        <v>4438.82</v>
      </c>
      <c r="R116" t="n">
        <v>1.12</v>
      </c>
      <c r="S116" t="n">
        <v>4540</v>
      </c>
      <c r="T116" t="n">
        <v>21</v>
      </c>
      <c r="U116" t="inlineStr">
        <is>
          <t>shallow</t>
        </is>
      </c>
      <c r="V116" t="inlineStr">
        <is>
          <t>Weak</t>
        </is>
      </c>
      <c r="W116" t="n">
        <v>1</v>
      </c>
      <c r="X116" t="inlineStr">
        <is>
          <t>Round</t>
        </is>
      </c>
      <c r="Y116" t="inlineStr">
        <is>
          <t>strong bearish close</t>
        </is>
      </c>
      <c r="Z116" t="n">
        <v>0.77</v>
      </c>
      <c r="AA116" t="inlineStr">
        <is>
          <t>No</t>
        </is>
      </c>
      <c r="AB116" t="inlineStr">
        <is>
          <t>Yes</t>
        </is>
      </c>
    </row>
    <row r="117">
      <c r="A117" t="inlineStr">
        <is>
          <t>2026-09-02</t>
        </is>
      </c>
      <c r="B117" t="inlineStr">
        <is>
          <t>14:23</t>
        </is>
      </c>
      <c r="C117" t="inlineStr">
        <is>
          <t>MNQ</t>
        </is>
      </c>
      <c r="D117" t="inlineStr">
        <is>
          <t>Long</t>
        </is>
      </c>
      <c r="E117" t="n">
        <v>21</v>
      </c>
      <c r="F117" t="inlineStr">
        <is>
          <t>down</t>
        </is>
      </c>
      <c r="G117" t="inlineStr">
        <is>
          <t>down</t>
        </is>
      </c>
      <c r="H117" t="inlineStr">
        <is>
          <t>up</t>
        </is>
      </c>
      <c r="I117" t="inlineStr">
        <is>
          <t>up</t>
        </is>
      </c>
      <c r="J117" t="n">
        <v>55.4</v>
      </c>
      <c r="K117" t="inlineStr">
        <is>
          <t>bull</t>
        </is>
      </c>
      <c r="L117" t="inlineStr">
        <is>
          <t>+</t>
        </is>
      </c>
      <c r="M117" t="n">
        <v>11</v>
      </c>
      <c r="N117" t="n">
        <v>25.03</v>
      </c>
      <c r="O117" t="n">
        <v>29134.79</v>
      </c>
      <c r="P117" t="inlineStr">
        <is>
          <t>above</t>
        </is>
      </c>
      <c r="Q117" t="n">
        <v>29142.04</v>
      </c>
      <c r="R117" t="n">
        <v>1.11</v>
      </c>
      <c r="S117" t="n">
        <v>41716</v>
      </c>
      <c r="T117" t="n">
        <v>24</v>
      </c>
      <c r="U117" t="inlineStr">
        <is>
          <t>shallow</t>
        </is>
      </c>
      <c r="V117" t="inlineStr">
        <is>
          <t>Good</t>
        </is>
      </c>
      <c r="W117" t="n">
        <v>2</v>
      </c>
      <c r="X117" t="inlineStr">
        <is>
          <t>ONH</t>
        </is>
      </c>
      <c r="Y117" t="inlineStr"/>
      <c r="Z117" t="n">
        <v>1.02</v>
      </c>
      <c r="AA117" t="inlineStr">
        <is>
          <t>No</t>
        </is>
      </c>
      <c r="AB117" t="inlineStr">
        <is>
          <t>No</t>
        </is>
      </c>
    </row>
    <row r="118">
      <c r="A118" t="inlineStr">
        <is>
          <t>2026-09-02</t>
        </is>
      </c>
      <c r="B118" t="inlineStr">
        <is>
          <t>15:46</t>
        </is>
      </c>
      <c r="C118" t="inlineStr">
        <is>
          <t>MGC</t>
        </is>
      </c>
      <c r="D118" t="inlineStr">
        <is>
          <t>Short</t>
        </is>
      </c>
      <c r="E118" t="n">
        <v>-36</v>
      </c>
      <c r="F118" t="inlineStr">
        <is>
          <t>flat</t>
        </is>
      </c>
      <c r="G118" t="inlineStr">
        <is>
          <t>up</t>
        </is>
      </c>
      <c r="H118" t="inlineStr">
        <is>
          <t>up</t>
        </is>
      </c>
      <c r="I118" t="inlineStr">
        <is>
          <t>up</t>
        </is>
      </c>
      <c r="J118" t="n">
        <v>67.8</v>
      </c>
      <c r="K118" t="inlineStr">
        <is>
          <t>bull</t>
        </is>
      </c>
      <c r="L118" t="inlineStr">
        <is>
          <t>+</t>
        </is>
      </c>
      <c r="M118" t="n">
        <v>29.4</v>
      </c>
      <c r="N118" t="n">
        <v>3.76</v>
      </c>
      <c r="O118" t="n">
        <v>4423.39</v>
      </c>
      <c r="P118" t="inlineStr">
        <is>
          <t>above</t>
        </is>
      </c>
      <c r="Q118" t="n">
        <v>4419.53</v>
      </c>
      <c r="R118" t="n">
        <v>1.38</v>
      </c>
      <c r="S118" t="n">
        <v>5982</v>
      </c>
      <c r="T118" t="inlineStr"/>
      <c r="U118" t="inlineStr"/>
      <c r="V118" t="inlineStr">
        <is>
          <t>No setup</t>
        </is>
      </c>
      <c r="W118" t="n">
        <v>0</v>
      </c>
      <c r="X118" t="inlineStr">
        <is>
          <t>ORH</t>
        </is>
      </c>
      <c r="Y118" t="inlineStr"/>
      <c r="Z118" t="n">
        <v>1.67</v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2026-09-03</t>
        </is>
      </c>
      <c r="B119" t="inlineStr">
        <is>
          <t>08:52</t>
        </is>
      </c>
      <c r="C119" t="inlineStr">
        <is>
          <t>MGC</t>
        </is>
      </c>
      <c r="D119" t="inlineStr">
        <is>
          <t>Long</t>
        </is>
      </c>
      <c r="E119" t="n">
        <v>88</v>
      </c>
      <c r="F119" t="inlineStr">
        <is>
          <t>up</t>
        </is>
      </c>
      <c r="G119" t="inlineStr">
        <is>
          <t>up</t>
        </is>
      </c>
      <c r="H119" t="inlineStr">
        <is>
          <t>up</t>
        </is>
      </c>
      <c r="I119" t="inlineStr">
        <is>
          <t>up</t>
        </is>
      </c>
      <c r="J119" t="n">
        <v>80.3</v>
      </c>
      <c r="K119" t="inlineStr">
        <is>
          <t>bull</t>
        </is>
      </c>
      <c r="L119" t="inlineStr">
        <is>
          <t>+</t>
        </is>
      </c>
      <c r="M119" t="n">
        <v>40.3</v>
      </c>
      <c r="N119" t="n">
        <v>8.82</v>
      </c>
      <c r="O119" t="n">
        <v>4456.59</v>
      </c>
      <c r="P119" t="inlineStr">
        <is>
          <t>above</t>
        </is>
      </c>
      <c r="Q119" t="n">
        <v>4473.35</v>
      </c>
      <c r="R119" t="n">
        <v>4.73</v>
      </c>
      <c r="S119" t="n">
        <v>19756</v>
      </c>
      <c r="T119" t="n">
        <v>3</v>
      </c>
      <c r="U119" t="inlineStr">
        <is>
          <t>extended (no pullback)</t>
        </is>
      </c>
      <c r="V119" t="inlineStr">
        <is>
          <t>Weak</t>
        </is>
      </c>
      <c r="W119" t="n">
        <v>1</v>
      </c>
      <c r="X119" t="inlineStr">
        <is>
          <t>Round</t>
        </is>
      </c>
      <c r="Y119" t="inlineStr">
        <is>
          <t>strong bullish close</t>
        </is>
      </c>
      <c r="Z119" t="n">
        <v>2.63</v>
      </c>
      <c r="AA119" t="inlineStr">
        <is>
          <t>Yes</t>
        </is>
      </c>
      <c r="AB119" t="inlineStr">
        <is>
          <t>Yes</t>
        </is>
      </c>
    </row>
    <row r="120">
      <c r="A120" t="inlineStr">
        <is>
          <t>2026-09-03</t>
        </is>
      </c>
      <c r="B120" t="inlineStr">
        <is>
          <t>09:22</t>
        </is>
      </c>
      <c r="C120" t="inlineStr">
        <is>
          <t>MGC</t>
        </is>
      </c>
      <c r="D120" t="inlineStr">
        <is>
          <t>Long</t>
        </is>
      </c>
      <c r="E120" t="n">
        <v>-15</v>
      </c>
      <c r="F120" t="inlineStr">
        <is>
          <t>up</t>
        </is>
      </c>
      <c r="G120" t="inlineStr">
        <is>
          <t>up</t>
        </is>
      </c>
      <c r="H120" t="inlineStr">
        <is>
          <t>up</t>
        </is>
      </c>
      <c r="I120" t="inlineStr">
        <is>
          <t>up</t>
        </is>
      </c>
      <c r="J120" t="n">
        <v>67.59999999999999</v>
      </c>
      <c r="K120" t="inlineStr">
        <is>
          <t>bull</t>
        </is>
      </c>
      <c r="L120" t="inlineStr">
        <is>
          <t>+</t>
        </is>
      </c>
      <c r="M120" t="n">
        <v>48.2</v>
      </c>
      <c r="N120" t="n">
        <v>8.220000000000001</v>
      </c>
      <c r="O120" t="n">
        <v>4462.76</v>
      </c>
      <c r="P120" t="inlineStr">
        <is>
          <t>above</t>
        </is>
      </c>
      <c r="Q120" t="n">
        <v>4475.5</v>
      </c>
      <c r="R120" t="n">
        <v>1.94</v>
      </c>
      <c r="S120" t="n">
        <v>15338</v>
      </c>
      <c r="T120" t="n">
        <v>20</v>
      </c>
      <c r="U120" t="inlineStr">
        <is>
          <t>shallow</t>
        </is>
      </c>
      <c r="V120" t="inlineStr">
        <is>
          <t>Weak</t>
        </is>
      </c>
      <c r="W120" t="n">
        <v>1</v>
      </c>
      <c r="X120" t="inlineStr">
        <is>
          <t>Round</t>
        </is>
      </c>
      <c r="Y120" t="inlineStr">
        <is>
          <t>strong bullish close</t>
        </is>
      </c>
      <c r="Z120" t="n">
        <v>0.91</v>
      </c>
      <c r="AA120" t="inlineStr">
        <is>
          <t>Yes</t>
        </is>
      </c>
      <c r="AB120" t="inlineStr">
        <is>
          <t>Yes</t>
        </is>
      </c>
    </row>
    <row r="121">
      <c r="A121" t="inlineStr">
        <is>
          <t>2026-09-03</t>
        </is>
      </c>
      <c r="B121" t="inlineStr">
        <is>
          <t>09:51</t>
        </is>
      </c>
      <c r="C121" t="inlineStr">
        <is>
          <t>MNQ</t>
        </is>
      </c>
      <c r="D121" t="inlineStr">
        <is>
          <t>Short</t>
        </is>
      </c>
      <c r="E121" t="n">
        <v>294</v>
      </c>
      <c r="F121" t="inlineStr">
        <is>
          <t>flat</t>
        </is>
      </c>
      <c r="G121" t="inlineStr">
        <is>
          <t>up</t>
        </is>
      </c>
      <c r="H121" t="inlineStr">
        <is>
          <t>up</t>
        </is>
      </c>
      <c r="I121" t="inlineStr">
        <is>
          <t>up</t>
        </is>
      </c>
      <c r="J121" t="n">
        <v>73.09999999999999</v>
      </c>
      <c r="K121" t="inlineStr">
        <is>
          <t>bull</t>
        </is>
      </c>
      <c r="L121" t="inlineStr">
        <is>
          <t>+</t>
        </is>
      </c>
      <c r="M121" t="n">
        <v>39.8</v>
      </c>
      <c r="N121" t="n">
        <v>42.36</v>
      </c>
      <c r="O121" t="n">
        <v>29302.29</v>
      </c>
      <c r="P121" t="inlineStr">
        <is>
          <t>above</t>
        </is>
      </c>
      <c r="Q121" t="n">
        <v>29254.5</v>
      </c>
      <c r="R121" t="n">
        <v>0.96</v>
      </c>
      <c r="S121" t="n">
        <v>27169</v>
      </c>
      <c r="T121" t="inlineStr"/>
      <c r="U121" t="inlineStr"/>
      <c r="V121" t="inlineStr">
        <is>
          <t>No setup</t>
        </is>
      </c>
      <c r="W121" t="n">
        <v>0</v>
      </c>
      <c r="X121" t="inlineStr">
        <is>
          <t>Round</t>
        </is>
      </c>
      <c r="Y121" t="inlineStr"/>
      <c r="Z121" t="n">
        <v>1.98</v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2026-09-03</t>
        </is>
      </c>
      <c r="B122" t="inlineStr">
        <is>
          <t>09:56</t>
        </is>
      </c>
      <c r="C122" t="inlineStr">
        <is>
          <t>MGC</t>
        </is>
      </c>
      <c r="D122" t="inlineStr">
        <is>
          <t>Long</t>
        </is>
      </c>
      <c r="E122" t="n">
        <v>-168</v>
      </c>
      <c r="F122" t="inlineStr">
        <is>
          <t>up</t>
        </is>
      </c>
      <c r="G122" t="inlineStr">
        <is>
          <t>up</t>
        </is>
      </c>
      <c r="H122" t="inlineStr">
        <is>
          <t>up</t>
        </is>
      </c>
      <c r="I122" t="inlineStr">
        <is>
          <t>down</t>
        </is>
      </c>
      <c r="J122" t="n">
        <v>53.4</v>
      </c>
      <c r="K122" t="inlineStr">
        <is>
          <t>bull</t>
        </is>
      </c>
      <c r="L122" t="inlineStr">
        <is>
          <t>-</t>
        </is>
      </c>
      <c r="M122" t="n">
        <v>35.8</v>
      </c>
      <c r="N122" t="n">
        <v>8.48</v>
      </c>
      <c r="O122" t="n">
        <v>4515.74</v>
      </c>
      <c r="P122" t="inlineStr">
        <is>
          <t>below</t>
        </is>
      </c>
      <c r="Q122" t="n">
        <v>4510.53</v>
      </c>
      <c r="R122" t="n">
        <v>1.6</v>
      </c>
      <c r="S122" t="n">
        <v>-258</v>
      </c>
      <c r="T122" t="n">
        <v>40</v>
      </c>
      <c r="U122" t="inlineStr">
        <is>
          <t>golden</t>
        </is>
      </c>
      <c r="V122" t="inlineStr">
        <is>
          <t>Good</t>
        </is>
      </c>
      <c r="W122" t="n">
        <v>2</v>
      </c>
      <c r="X122" t="inlineStr">
        <is>
          <t>Round</t>
        </is>
      </c>
      <c r="Y122" t="inlineStr">
        <is>
          <t>strong bullish close</t>
        </is>
      </c>
      <c r="Z122" t="n">
        <v>0.89</v>
      </c>
      <c r="AA122" t="inlineStr">
        <is>
          <t>No</t>
        </is>
      </c>
      <c r="AB122" t="inlineStr">
        <is>
          <t>Yes</t>
        </is>
      </c>
    </row>
    <row r="123">
      <c r="A123" t="inlineStr">
        <is>
          <t>2026-09-03</t>
        </is>
      </c>
      <c r="B123" t="inlineStr">
        <is>
          <t>10:08</t>
        </is>
      </c>
      <c r="C123" t="inlineStr">
        <is>
          <t>MGC</t>
        </is>
      </c>
      <c r="D123" t="inlineStr">
        <is>
          <t>Long</t>
        </is>
      </c>
      <c r="E123" t="n">
        <v>-184</v>
      </c>
      <c r="F123" t="inlineStr">
        <is>
          <t>up</t>
        </is>
      </c>
      <c r="G123" t="inlineStr">
        <is>
          <t>up</t>
        </is>
      </c>
      <c r="H123" t="inlineStr">
        <is>
          <t>up</t>
        </is>
      </c>
      <c r="I123" t="inlineStr">
        <is>
          <t>down</t>
        </is>
      </c>
      <c r="J123" t="n">
        <v>48.8</v>
      </c>
      <c r="K123" t="inlineStr">
        <is>
          <t>bull</t>
        </is>
      </c>
      <c r="L123" t="inlineStr">
        <is>
          <t>-</t>
        </is>
      </c>
      <c r="M123" t="n">
        <v>32</v>
      </c>
      <c r="N123" t="n">
        <v>9.08</v>
      </c>
      <c r="O123" t="n">
        <v>4514.94</v>
      </c>
      <c r="P123" t="inlineStr">
        <is>
          <t>above</t>
        </is>
      </c>
      <c r="Q123" t="n">
        <v>4510.53</v>
      </c>
      <c r="R123" t="n">
        <v>1.23</v>
      </c>
      <c r="S123" t="n">
        <v>-684</v>
      </c>
      <c r="T123" t="n">
        <v>33</v>
      </c>
      <c r="U123" t="inlineStr">
        <is>
          <t>shallow</t>
        </is>
      </c>
      <c r="V123" t="inlineStr">
        <is>
          <t>Good</t>
        </is>
      </c>
      <c r="W123" t="n">
        <v>2</v>
      </c>
      <c r="X123" t="inlineStr">
        <is>
          <t>Round</t>
        </is>
      </c>
      <c r="Y123" t="inlineStr">
        <is>
          <t>strong bearish close</t>
        </is>
      </c>
      <c r="Z123" t="n">
        <v>0.65</v>
      </c>
      <c r="AA123" t="inlineStr">
        <is>
          <t>No</t>
        </is>
      </c>
      <c r="AB123" t="inlineStr">
        <is>
          <t>Yes</t>
        </is>
      </c>
    </row>
    <row r="124">
      <c r="A124" t="inlineStr">
        <is>
          <t>2026-09-03</t>
        </is>
      </c>
      <c r="B124" t="inlineStr">
        <is>
          <t>10:30</t>
        </is>
      </c>
      <c r="C124" t="inlineStr">
        <is>
          <t>MNQ</t>
        </is>
      </c>
      <c r="D124" t="inlineStr">
        <is>
          <t>Short</t>
        </is>
      </c>
      <c r="E124" t="n">
        <v>271.5</v>
      </c>
      <c r="F124" t="inlineStr">
        <is>
          <t>flat</t>
        </is>
      </c>
      <c r="G124" t="inlineStr">
        <is>
          <t>up</t>
        </is>
      </c>
      <c r="H124" t="inlineStr">
        <is>
          <t>up</t>
        </is>
      </c>
      <c r="I124" t="inlineStr">
        <is>
          <t>up</t>
        </is>
      </c>
      <c r="J124" t="n">
        <v>53.2</v>
      </c>
      <c r="K124" t="inlineStr">
        <is>
          <t>bull</t>
        </is>
      </c>
      <c r="L124" t="inlineStr">
        <is>
          <t>-</t>
        </is>
      </c>
      <c r="M124" t="n">
        <v>35.6</v>
      </c>
      <c r="N124" t="n">
        <v>47.79</v>
      </c>
      <c r="O124" t="n">
        <v>29306.63</v>
      </c>
      <c r="P124" t="inlineStr">
        <is>
          <t>above</t>
        </is>
      </c>
      <c r="Q124" t="n">
        <v>29254.5</v>
      </c>
      <c r="R124" t="n">
        <v>1.11</v>
      </c>
      <c r="S124" t="n">
        <v>31712</v>
      </c>
      <c r="T124" t="n">
        <v>86</v>
      </c>
      <c r="U124" t="inlineStr">
        <is>
          <t>broke the leg (reversal risk)</t>
        </is>
      </c>
      <c r="V124" t="inlineStr">
        <is>
          <t>Weak</t>
        </is>
      </c>
      <c r="W124" t="n">
        <v>1</v>
      </c>
      <c r="X124" t="inlineStr">
        <is>
          <t>ORH/Round</t>
        </is>
      </c>
      <c r="Y124" t="inlineStr">
        <is>
          <t>strong bearish close</t>
        </is>
      </c>
      <c r="Z124" t="n">
        <v>1.14</v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2026-09-03</t>
        </is>
      </c>
      <c r="B125" t="inlineStr">
        <is>
          <t>11:38</t>
        </is>
      </c>
      <c r="C125" t="inlineStr">
        <is>
          <t>MNQ</t>
        </is>
      </c>
      <c r="D125" t="inlineStr">
        <is>
          <t>Long</t>
        </is>
      </c>
      <c r="E125" t="n">
        <v>3</v>
      </c>
      <c r="F125" t="inlineStr">
        <is>
          <t>up</t>
        </is>
      </c>
      <c r="G125" t="inlineStr">
        <is>
          <t>up</t>
        </is>
      </c>
      <c r="H125" t="inlineStr">
        <is>
          <t>up</t>
        </is>
      </c>
      <c r="I125" t="inlineStr">
        <is>
          <t>up</t>
        </is>
      </c>
      <c r="J125" t="n">
        <v>73</v>
      </c>
      <c r="K125" t="inlineStr">
        <is>
          <t>bull</t>
        </is>
      </c>
      <c r="L125" t="inlineStr">
        <is>
          <t>+</t>
        </is>
      </c>
      <c r="M125" t="n">
        <v>41.8</v>
      </c>
      <c r="N125" t="n">
        <v>44.91</v>
      </c>
      <c r="O125" t="n">
        <v>29349.11</v>
      </c>
      <c r="P125" t="inlineStr">
        <is>
          <t>above</t>
        </is>
      </c>
      <c r="Q125" t="n">
        <v>29323.84</v>
      </c>
      <c r="R125" t="n">
        <v>0.98</v>
      </c>
      <c r="S125" t="n">
        <v>64323</v>
      </c>
      <c r="T125" t="n">
        <v>7</v>
      </c>
      <c r="U125" t="inlineStr">
        <is>
          <t>extended (no pullback)</t>
        </is>
      </c>
      <c r="V125" t="inlineStr">
        <is>
          <t>Weak</t>
        </is>
      </c>
      <c r="W125" t="n">
        <v>1</v>
      </c>
      <c r="X125" t="inlineStr">
        <is>
          <t>Round</t>
        </is>
      </c>
      <c r="Y125" t="inlineStr">
        <is>
          <t>strong bearish close</t>
        </is>
      </c>
      <c r="Z125" t="n">
        <v>0.55</v>
      </c>
      <c r="AA125" t="inlineStr">
        <is>
          <t>Yes</t>
        </is>
      </c>
      <c r="AB125" t="inlineStr">
        <is>
          <t>Yes</t>
        </is>
      </c>
    </row>
    <row r="126">
      <c r="A126" t="inlineStr">
        <is>
          <t>2026-09-03</t>
        </is>
      </c>
      <c r="B126" t="inlineStr">
        <is>
          <t>11:59</t>
        </is>
      </c>
      <c r="C126" t="inlineStr">
        <is>
          <t>MGC</t>
        </is>
      </c>
      <c r="D126" t="inlineStr">
        <is>
          <t>Short</t>
        </is>
      </c>
      <c r="E126" t="n">
        <v>-117</v>
      </c>
      <c r="F126" t="inlineStr">
        <is>
          <t>up</t>
        </is>
      </c>
      <c r="G126" t="inlineStr">
        <is>
          <t>up</t>
        </is>
      </c>
      <c r="H126" t="inlineStr">
        <is>
          <t>up</t>
        </is>
      </c>
      <c r="I126" t="inlineStr">
        <is>
          <t>up</t>
        </is>
      </c>
      <c r="J126" t="n">
        <v>56.1</v>
      </c>
      <c r="K126" t="inlineStr">
        <is>
          <t>bull</t>
        </is>
      </c>
      <c r="L126" t="inlineStr">
        <is>
          <t>-</t>
        </is>
      </c>
      <c r="M126" t="n">
        <v>25.8</v>
      </c>
      <c r="N126" t="n">
        <v>8.18</v>
      </c>
      <c r="O126" t="n">
        <v>4529.84</v>
      </c>
      <c r="P126" t="inlineStr">
        <is>
          <t>above</t>
        </is>
      </c>
      <c r="Q126" t="n">
        <v>4548.06</v>
      </c>
      <c r="R126" t="n">
        <v>1.02</v>
      </c>
      <c r="S126" t="n">
        <v>4232</v>
      </c>
      <c r="T126" t="n">
        <v>18</v>
      </c>
      <c r="U126" t="inlineStr">
        <is>
          <t>shallow</t>
        </is>
      </c>
      <c r="V126" t="inlineStr">
        <is>
          <t>Good</t>
        </is>
      </c>
      <c r="W126" t="n">
        <v>2</v>
      </c>
      <c r="X126" t="inlineStr">
        <is>
          <t>Round</t>
        </is>
      </c>
      <c r="Y126" t="inlineStr">
        <is>
          <t>strong bullish close</t>
        </is>
      </c>
      <c r="Z126" t="n">
        <v>0.53</v>
      </c>
      <c r="AA126" t="inlineStr">
        <is>
          <t>No</t>
        </is>
      </c>
      <c r="AB126" t="inlineStr">
        <is>
          <t>No</t>
        </is>
      </c>
    </row>
    <row r="127">
      <c r="A127" t="inlineStr">
        <is>
          <t>2026-09-03</t>
        </is>
      </c>
      <c r="B127" t="inlineStr">
        <is>
          <t>13:57</t>
        </is>
      </c>
      <c r="C127" t="inlineStr">
        <is>
          <t>MNQ</t>
        </is>
      </c>
      <c r="D127" t="inlineStr">
        <is>
          <t>Long</t>
        </is>
      </c>
      <c r="E127" t="n">
        <v>67.5</v>
      </c>
      <c r="F127" t="inlineStr">
        <is>
          <t>up</t>
        </is>
      </c>
      <c r="G127" t="inlineStr">
        <is>
          <t>up</t>
        </is>
      </c>
      <c r="H127" t="inlineStr">
        <is>
          <t>up</t>
        </is>
      </c>
      <c r="I127" t="inlineStr">
        <is>
          <t>up</t>
        </is>
      </c>
      <c r="J127" t="n">
        <v>65.2</v>
      </c>
      <c r="K127" t="inlineStr">
        <is>
          <t>bull</t>
        </is>
      </c>
      <c r="L127" t="inlineStr">
        <is>
          <t>-</t>
        </is>
      </c>
      <c r="M127" t="n">
        <v>33.3</v>
      </c>
      <c r="N127" t="n">
        <v>22.03</v>
      </c>
      <c r="O127" t="n">
        <v>29391.26</v>
      </c>
      <c r="P127" t="inlineStr">
        <is>
          <t>above</t>
        </is>
      </c>
      <c r="Q127" t="n">
        <v>29512.79</v>
      </c>
      <c r="R127" t="n">
        <v>1</v>
      </c>
      <c r="S127" t="n">
        <v>62862</v>
      </c>
      <c r="T127" t="n">
        <v>-4</v>
      </c>
      <c r="U127" t="inlineStr">
        <is>
          <t>extended (no pullback)</t>
        </is>
      </c>
      <c r="V127" t="inlineStr">
        <is>
          <t>Weak</t>
        </is>
      </c>
      <c r="W127" t="n">
        <v>1</v>
      </c>
      <c r="X127" t="inlineStr">
        <is>
          <t>No</t>
        </is>
      </c>
      <c r="Y127" t="inlineStr">
        <is>
          <t>strong bearish close</t>
        </is>
      </c>
      <c r="Z127" t="n">
        <v>0.8100000000000001</v>
      </c>
      <c r="AA127" t="inlineStr">
        <is>
          <t>Yes</t>
        </is>
      </c>
      <c r="AB127" t="inlineStr">
        <is>
          <t>Yes</t>
        </is>
      </c>
    </row>
    <row r="128">
      <c r="A128" t="inlineStr">
        <is>
          <t>2026-09-03</t>
        </is>
      </c>
      <c r="B128" t="inlineStr">
        <is>
          <t>15:03</t>
        </is>
      </c>
      <c r="C128" t="inlineStr">
        <is>
          <t>MGC</t>
        </is>
      </c>
      <c r="D128" t="inlineStr">
        <is>
          <t>Short</t>
        </is>
      </c>
      <c r="E128" t="n">
        <v>-49</v>
      </c>
      <c r="F128" t="inlineStr">
        <is>
          <t>up</t>
        </is>
      </c>
      <c r="G128" t="inlineStr">
        <is>
          <t>up</t>
        </is>
      </c>
      <c r="H128" t="inlineStr">
        <is>
          <t>up</t>
        </is>
      </c>
      <c r="I128" t="inlineStr">
        <is>
          <t>down</t>
        </is>
      </c>
      <c r="J128" t="n">
        <v>31.2</v>
      </c>
      <c r="K128" t="inlineStr">
        <is>
          <t>bear</t>
        </is>
      </c>
      <c r="L128" t="inlineStr">
        <is>
          <t>-</t>
        </is>
      </c>
      <c r="M128" t="n">
        <v>26.8</v>
      </c>
      <c r="N128" t="n">
        <v>3.97</v>
      </c>
      <c r="O128" t="n">
        <v>4531.22</v>
      </c>
      <c r="P128" t="inlineStr">
        <is>
          <t>below</t>
        </is>
      </c>
      <c r="Q128" t="n">
        <v>4539.7</v>
      </c>
      <c r="R128" t="n">
        <v>1</v>
      </c>
      <c r="S128" t="n">
        <v>3167</v>
      </c>
      <c r="T128" t="n">
        <v>3</v>
      </c>
      <c r="U128" t="inlineStr">
        <is>
          <t>extended (no pullback)</t>
        </is>
      </c>
      <c r="V128" t="inlineStr">
        <is>
          <t>No setup</t>
        </is>
      </c>
      <c r="W128" t="n">
        <v>0</v>
      </c>
      <c r="X128" t="inlineStr">
        <is>
          <t>No</t>
        </is>
      </c>
      <c r="Y128" t="inlineStr">
        <is>
          <t>bearish pin</t>
        </is>
      </c>
      <c r="Z128" t="n">
        <v>0.66</v>
      </c>
      <c r="AA128" t="inlineStr">
        <is>
          <t>No</t>
        </is>
      </c>
      <c r="AB128" t="inlineStr">
        <is>
          <t>No</t>
        </is>
      </c>
    </row>
    <row r="129">
      <c r="A129" t="inlineStr">
        <is>
          <t>2026-09-03</t>
        </is>
      </c>
      <c r="B129" t="inlineStr">
        <is>
          <t>22:13</t>
        </is>
      </c>
      <c r="C129" t="inlineStr">
        <is>
          <t>MGC</t>
        </is>
      </c>
      <c r="D129" t="inlineStr">
        <is>
          <t>Long</t>
        </is>
      </c>
      <c r="E129" t="n">
        <v>-48</v>
      </c>
      <c r="F129" t="inlineStr">
        <is>
          <t>up</t>
        </is>
      </c>
      <c r="G129" t="inlineStr">
        <is>
          <t>up</t>
        </is>
      </c>
      <c r="H129" t="inlineStr">
        <is>
          <t>up</t>
        </is>
      </c>
      <c r="I129" t="inlineStr">
        <is>
          <t>down</t>
        </is>
      </c>
      <c r="J129" t="n">
        <v>53.7</v>
      </c>
      <c r="K129" t="inlineStr">
        <is>
          <t>bull</t>
        </is>
      </c>
      <c r="L129" t="inlineStr">
        <is>
          <t>+</t>
        </is>
      </c>
      <c r="M129" t="n">
        <v>14.1</v>
      </c>
      <c r="N129" t="n">
        <v>5.13</v>
      </c>
      <c r="O129" t="n">
        <v>4529.3</v>
      </c>
      <c r="P129" t="inlineStr">
        <is>
          <t>below</t>
        </is>
      </c>
      <c r="Q129" t="n">
        <v>4522.99</v>
      </c>
      <c r="R129" t="n">
        <v>0.57</v>
      </c>
      <c r="S129" t="n">
        <v>1092</v>
      </c>
      <c r="T129" t="n">
        <v>20</v>
      </c>
      <c r="U129" t="inlineStr">
        <is>
          <t>shallow</t>
        </is>
      </c>
      <c r="V129" t="inlineStr">
        <is>
          <t>Good</t>
        </is>
      </c>
      <c r="W129" t="n">
        <v>2</v>
      </c>
      <c r="X129" t="inlineStr">
        <is>
          <t>No</t>
        </is>
      </c>
      <c r="Y129" t="inlineStr"/>
      <c r="Z129" t="n">
        <v>0.68</v>
      </c>
      <c r="AA129" t="inlineStr">
        <is>
          <t>No</t>
        </is>
      </c>
      <c r="AB129" t="inlineStr">
        <is>
          <t>Yes</t>
        </is>
      </c>
    </row>
    <row r="130">
      <c r="A130" t="inlineStr">
        <is>
          <t>2026-09-03</t>
        </is>
      </c>
      <c r="B130" t="inlineStr">
        <is>
          <t>22:45</t>
        </is>
      </c>
      <c r="C130" t="inlineStr">
        <is>
          <t>MGC</t>
        </is>
      </c>
      <c r="D130" t="inlineStr">
        <is>
          <t>Long</t>
        </is>
      </c>
      <c r="E130" t="n">
        <v>72</v>
      </c>
      <c r="F130" t="inlineStr">
        <is>
          <t>up</t>
        </is>
      </c>
      <c r="G130" t="inlineStr">
        <is>
          <t>up</t>
        </is>
      </c>
      <c r="H130" t="inlineStr">
        <is>
          <t>up</t>
        </is>
      </c>
      <c r="I130" t="inlineStr">
        <is>
          <t>down</t>
        </is>
      </c>
      <c r="J130" t="n">
        <v>50</v>
      </c>
      <c r="K130" t="inlineStr">
        <is>
          <t>bear</t>
        </is>
      </c>
      <c r="L130" t="inlineStr">
        <is>
          <t>-</t>
        </is>
      </c>
      <c r="M130" t="n">
        <v>11.8</v>
      </c>
      <c r="N130" t="n">
        <v>5.34</v>
      </c>
      <c r="O130" t="n">
        <v>4529.09</v>
      </c>
      <c r="P130" t="inlineStr">
        <is>
          <t>below</t>
        </is>
      </c>
      <c r="Q130" t="n">
        <v>4522.99</v>
      </c>
      <c r="R130" t="n">
        <v>0.71</v>
      </c>
      <c r="S130" t="n">
        <v>854</v>
      </c>
      <c r="T130" t="n">
        <v>66</v>
      </c>
      <c r="U130" t="inlineStr">
        <is>
          <t>deep</t>
        </is>
      </c>
      <c r="V130" t="inlineStr">
        <is>
          <t>No setup</t>
        </is>
      </c>
      <c r="W130" t="n">
        <v>0</v>
      </c>
      <c r="X130" t="inlineStr">
        <is>
          <t>Round</t>
        </is>
      </c>
      <c r="Y130" t="inlineStr">
        <is>
          <t>strong bullish close</t>
        </is>
      </c>
      <c r="Z130" t="n">
        <v>0.64</v>
      </c>
      <c r="AA130" t="inlineStr">
        <is>
          <t>No</t>
        </is>
      </c>
      <c r="AB130" t="inlineStr">
        <is>
          <t>Yes</t>
        </is>
      </c>
    </row>
    <row r="131">
      <c r="A131" t="inlineStr">
        <is>
          <t>2026-09-04</t>
        </is>
      </c>
      <c r="B131" t="inlineStr">
        <is>
          <t>09:52</t>
        </is>
      </c>
      <c r="C131" t="inlineStr">
        <is>
          <t>MGC</t>
        </is>
      </c>
      <c r="D131" t="inlineStr">
        <is>
          <t>Long</t>
        </is>
      </c>
      <c r="E131" t="n">
        <v>-144</v>
      </c>
      <c r="F131" t="inlineStr">
        <is>
          <t>flat</t>
        </is>
      </c>
      <c r="G131" t="inlineStr">
        <is>
          <t>down</t>
        </is>
      </c>
      <c r="H131" t="inlineStr">
        <is>
          <t>down</t>
        </is>
      </c>
      <c r="I131" t="inlineStr">
        <is>
          <t>down</t>
        </is>
      </c>
      <c r="J131" t="n">
        <v>49.1</v>
      </c>
      <c r="K131" t="inlineStr">
        <is>
          <t>bear</t>
        </is>
      </c>
      <c r="L131" t="inlineStr">
        <is>
          <t>+</t>
        </is>
      </c>
      <c r="M131" t="n">
        <v>31.9</v>
      </c>
      <c r="N131" t="n">
        <v>13.29</v>
      </c>
      <c r="O131" t="n">
        <v>4465.44</v>
      </c>
      <c r="P131" t="inlineStr">
        <is>
          <t>above</t>
        </is>
      </c>
      <c r="Q131" t="n">
        <v>4473.32</v>
      </c>
      <c r="R131" t="n">
        <v>1.12</v>
      </c>
      <c r="S131" t="n">
        <v>-990</v>
      </c>
      <c r="T131" t="n">
        <v>14</v>
      </c>
      <c r="U131" t="inlineStr">
        <is>
          <t>extended (no pullback)</t>
        </is>
      </c>
      <c r="V131" t="inlineStr">
        <is>
          <t>Weak</t>
        </is>
      </c>
      <c r="W131" t="n">
        <v>1</v>
      </c>
      <c r="X131" t="inlineStr">
        <is>
          <t>Round</t>
        </is>
      </c>
      <c r="Y131" t="inlineStr">
        <is>
          <t>bearish engulfing</t>
        </is>
      </c>
      <c r="Z131" t="n">
        <v>0.45</v>
      </c>
      <c r="AA131" t="inlineStr">
        <is>
          <t>No</t>
        </is>
      </c>
      <c r="AB131" t="inlineStr">
        <is>
          <t>No</t>
        </is>
      </c>
    </row>
    <row r="132">
      <c r="A132" t="inlineStr">
        <is>
          <t>2026-09-04</t>
        </is>
      </c>
      <c r="B132" t="inlineStr">
        <is>
          <t>10:13</t>
        </is>
      </c>
      <c r="C132" t="inlineStr">
        <is>
          <t>MGC</t>
        </is>
      </c>
      <c r="D132" t="inlineStr">
        <is>
          <t>Short</t>
        </is>
      </c>
      <c r="E132" t="n">
        <v>-126</v>
      </c>
      <c r="F132" t="inlineStr">
        <is>
          <t>flat</t>
        </is>
      </c>
      <c r="G132" t="inlineStr">
        <is>
          <t>down</t>
        </is>
      </c>
      <c r="H132" t="inlineStr">
        <is>
          <t>down</t>
        </is>
      </c>
      <c r="I132" t="inlineStr">
        <is>
          <t>up</t>
        </is>
      </c>
      <c r="J132" t="n">
        <v>55.5</v>
      </c>
      <c r="K132" t="inlineStr">
        <is>
          <t>bear</t>
        </is>
      </c>
      <c r="L132" t="inlineStr">
        <is>
          <t>+</t>
        </is>
      </c>
      <c r="M132" t="n">
        <v>26.1</v>
      </c>
      <c r="N132" t="n">
        <v>13.2</v>
      </c>
      <c r="O132" t="n">
        <v>4466.43</v>
      </c>
      <c r="P132" t="inlineStr">
        <is>
          <t>above</t>
        </is>
      </c>
      <c r="Q132" t="n">
        <v>4463.32</v>
      </c>
      <c r="R132" t="n">
        <v>1.4</v>
      </c>
      <c r="S132" t="n">
        <v>661</v>
      </c>
      <c r="T132" t="n">
        <v>54</v>
      </c>
      <c r="U132" t="inlineStr">
        <is>
          <t>golden</t>
        </is>
      </c>
      <c r="V132" t="inlineStr">
        <is>
          <t>Weak</t>
        </is>
      </c>
      <c r="W132" t="n">
        <v>1</v>
      </c>
      <c r="X132" t="inlineStr">
        <is>
          <t>Round</t>
        </is>
      </c>
      <c r="Y132" t="inlineStr">
        <is>
          <t>strong bullish close</t>
        </is>
      </c>
      <c r="Z132" t="n">
        <v>0.43</v>
      </c>
      <c r="AA132" t="inlineStr">
        <is>
          <t>No</t>
        </is>
      </c>
      <c r="AB132" t="inlineStr">
        <is>
          <t>No</t>
        </is>
      </c>
    </row>
    <row r="133">
      <c r="A133" t="inlineStr">
        <is>
          <t>2026-09-04</t>
        </is>
      </c>
      <c r="B133" t="inlineStr">
        <is>
          <t>10:35</t>
        </is>
      </c>
      <c r="C133" t="inlineStr">
        <is>
          <t>MNQ</t>
        </is>
      </c>
      <c r="D133" t="inlineStr">
        <is>
          <t>Short</t>
        </is>
      </c>
      <c r="E133" t="n">
        <v>28.5</v>
      </c>
      <c r="F133" t="inlineStr">
        <is>
          <t>up</t>
        </is>
      </c>
      <c r="G133" t="inlineStr">
        <is>
          <t>up</t>
        </is>
      </c>
      <c r="H133" t="inlineStr">
        <is>
          <t>up</t>
        </is>
      </c>
      <c r="I133" t="inlineStr">
        <is>
          <t>up</t>
        </is>
      </c>
      <c r="J133" t="n">
        <v>45</v>
      </c>
      <c r="K133" t="inlineStr">
        <is>
          <t>bear</t>
        </is>
      </c>
      <c r="L133" t="inlineStr">
        <is>
          <t>-</t>
        </is>
      </c>
      <c r="M133" t="n">
        <v>23</v>
      </c>
      <c r="N133" t="n">
        <v>38.86</v>
      </c>
      <c r="O133" t="n">
        <v>29622.08</v>
      </c>
      <c r="P133" t="inlineStr">
        <is>
          <t>below</t>
        </is>
      </c>
      <c r="Q133" t="n">
        <v>29593.6</v>
      </c>
      <c r="R133" t="n">
        <v>0.98</v>
      </c>
      <c r="S133" t="n">
        <v>32021</v>
      </c>
      <c r="T133" t="n">
        <v>35</v>
      </c>
      <c r="U133" t="inlineStr">
        <is>
          <t>shallow</t>
        </is>
      </c>
      <c r="V133" t="inlineStr">
        <is>
          <t>Weak</t>
        </is>
      </c>
      <c r="W133" t="n">
        <v>1</v>
      </c>
      <c r="X133" t="inlineStr">
        <is>
          <t>PDH/ORL</t>
        </is>
      </c>
      <c r="Y133" t="inlineStr">
        <is>
          <t>strong bullish close</t>
        </is>
      </c>
      <c r="Z133" t="n">
        <v>0.82</v>
      </c>
      <c r="AA133" t="inlineStr">
        <is>
          <t>No</t>
        </is>
      </c>
      <c r="AB133" t="inlineStr">
        <is>
          <t>No</t>
        </is>
      </c>
    </row>
    <row r="134">
      <c r="A134" t="inlineStr">
        <is>
          <t>2026-09-04</t>
        </is>
      </c>
      <c r="B134" t="inlineStr">
        <is>
          <t>10:48</t>
        </is>
      </c>
      <c r="C134" t="inlineStr">
        <is>
          <t>MNQ</t>
        </is>
      </c>
      <c r="D134" t="inlineStr">
        <is>
          <t>Short</t>
        </is>
      </c>
      <c r="E134" t="n">
        <v>276.5</v>
      </c>
      <c r="F134" t="inlineStr">
        <is>
          <t>up</t>
        </is>
      </c>
      <c r="G134" t="inlineStr">
        <is>
          <t>up</t>
        </is>
      </c>
      <c r="H134" t="inlineStr">
        <is>
          <t>up</t>
        </is>
      </c>
      <c r="I134" t="inlineStr">
        <is>
          <t>down</t>
        </is>
      </c>
      <c r="J134" t="n">
        <v>34.1</v>
      </c>
      <c r="K134" t="inlineStr">
        <is>
          <t>bear</t>
        </is>
      </c>
      <c r="L134" t="inlineStr">
        <is>
          <t>-</t>
        </is>
      </c>
      <c r="M134" t="n">
        <v>25.7</v>
      </c>
      <c r="N134" t="n">
        <v>39.72</v>
      </c>
      <c r="O134" t="n">
        <v>29614.03</v>
      </c>
      <c r="P134" t="inlineStr">
        <is>
          <t>below</t>
        </is>
      </c>
      <c r="Q134" t="n">
        <v>29625.87</v>
      </c>
      <c r="R134" t="n">
        <v>1.27</v>
      </c>
      <c r="S134" t="n">
        <v>19017</v>
      </c>
      <c r="T134" t="n">
        <v>16</v>
      </c>
      <c r="U134" t="inlineStr">
        <is>
          <t>shallow</t>
        </is>
      </c>
      <c r="V134" t="inlineStr">
        <is>
          <t>No setup</t>
        </is>
      </c>
      <c r="W134" t="n">
        <v>0</v>
      </c>
      <c r="X134" t="inlineStr">
        <is>
          <t>Round</t>
        </is>
      </c>
      <c r="Y134" t="inlineStr">
        <is>
          <t>strong bearish close</t>
        </is>
      </c>
      <c r="Z134" t="n">
        <v>0.98</v>
      </c>
      <c r="AA134" t="inlineStr">
        <is>
          <t>No</t>
        </is>
      </c>
      <c r="AB134" t="inlineStr">
        <is>
          <t>No</t>
        </is>
      </c>
    </row>
    <row r="135">
      <c r="A135" t="inlineStr">
        <is>
          <t>2026-09-04</t>
        </is>
      </c>
      <c r="B135" t="inlineStr">
        <is>
          <t>11:45</t>
        </is>
      </c>
      <c r="C135" t="inlineStr">
        <is>
          <t>MNQ</t>
        </is>
      </c>
      <c r="D135" t="inlineStr">
        <is>
          <t>Short</t>
        </is>
      </c>
      <c r="E135" t="n">
        <v>36</v>
      </c>
      <c r="F135" t="inlineStr">
        <is>
          <t>up</t>
        </is>
      </c>
      <c r="G135" t="inlineStr">
        <is>
          <t>up</t>
        </is>
      </c>
      <c r="H135" t="inlineStr">
        <is>
          <t>up</t>
        </is>
      </c>
      <c r="I135" t="inlineStr">
        <is>
          <t>down</t>
        </is>
      </c>
      <c r="J135" t="n">
        <v>39.5</v>
      </c>
      <c r="K135" t="inlineStr">
        <is>
          <t>bear</t>
        </is>
      </c>
      <c r="L135" t="inlineStr">
        <is>
          <t>-</t>
        </is>
      </c>
      <c r="M135" t="n">
        <v>37.3</v>
      </c>
      <c r="N135" t="n">
        <v>33.59</v>
      </c>
      <c r="O135" t="n">
        <v>29583.66</v>
      </c>
      <c r="P135" t="inlineStr">
        <is>
          <t>below</t>
        </is>
      </c>
      <c r="Q135" t="n">
        <v>29624.95</v>
      </c>
      <c r="R135" t="n">
        <v>1.01</v>
      </c>
      <c r="S135" t="n">
        <v>27683</v>
      </c>
      <c r="T135" t="n">
        <v>19</v>
      </c>
      <c r="U135" t="inlineStr">
        <is>
          <t>shallow</t>
        </is>
      </c>
      <c r="V135" t="inlineStr">
        <is>
          <t>Weak</t>
        </is>
      </c>
      <c r="W135" t="n">
        <v>1</v>
      </c>
      <c r="X135" t="inlineStr">
        <is>
          <t>No</t>
        </is>
      </c>
      <c r="Y135" t="inlineStr"/>
      <c r="Z135" t="n">
        <v>0.67</v>
      </c>
      <c r="AA135" t="inlineStr">
        <is>
          <t>No</t>
        </is>
      </c>
      <c r="AB135" t="inlineStr">
        <is>
          <t>No</t>
        </is>
      </c>
    </row>
    <row r="136">
      <c r="A136" t="inlineStr">
        <is>
          <t>2026-09-04</t>
        </is>
      </c>
      <c r="B136" t="inlineStr">
        <is>
          <t>12:11</t>
        </is>
      </c>
      <c r="C136" t="inlineStr">
        <is>
          <t>MGC</t>
        </is>
      </c>
      <c r="D136" t="inlineStr">
        <is>
          <t>Long</t>
        </is>
      </c>
      <c r="E136" t="n">
        <v>8</v>
      </c>
      <c r="F136" t="inlineStr">
        <is>
          <t>flat</t>
        </is>
      </c>
      <c r="G136" t="inlineStr">
        <is>
          <t>down</t>
        </is>
      </c>
      <c r="H136" t="inlineStr">
        <is>
          <t>up</t>
        </is>
      </c>
      <c r="I136" t="inlineStr">
        <is>
          <t>up</t>
        </is>
      </c>
      <c r="J136" t="n">
        <v>53.2</v>
      </c>
      <c r="K136" t="inlineStr">
        <is>
          <t>bull</t>
        </is>
      </c>
      <c r="L136" t="inlineStr">
        <is>
          <t>-</t>
        </is>
      </c>
      <c r="M136" t="n">
        <v>13.4</v>
      </c>
      <c r="N136" t="n">
        <v>8.369999999999999</v>
      </c>
      <c r="O136" t="n">
        <v>4475.45</v>
      </c>
      <c r="P136" t="inlineStr">
        <is>
          <t>above</t>
        </is>
      </c>
      <c r="Q136" t="n">
        <v>4463.82</v>
      </c>
      <c r="R136" t="n">
        <v>1.34</v>
      </c>
      <c r="S136" t="n">
        <v>-564</v>
      </c>
      <c r="T136" t="n">
        <v>16</v>
      </c>
      <c r="U136" t="inlineStr">
        <is>
          <t>shallow</t>
        </is>
      </c>
      <c r="V136" t="inlineStr">
        <is>
          <t>Weak</t>
        </is>
      </c>
      <c r="W136" t="n">
        <v>1</v>
      </c>
      <c r="X136" t="inlineStr">
        <is>
          <t>ORH/Round</t>
        </is>
      </c>
      <c r="Y136" t="inlineStr">
        <is>
          <t>strong bullish close</t>
        </is>
      </c>
      <c r="Z136" t="n">
        <v>0.71</v>
      </c>
      <c r="AA136" t="inlineStr">
        <is>
          <t>No</t>
        </is>
      </c>
      <c r="AB136" t="inlineStr">
        <is>
          <t>No</t>
        </is>
      </c>
    </row>
    <row r="137">
      <c r="A137" t="inlineStr">
        <is>
          <t>2026-09-04</t>
        </is>
      </c>
      <c r="B137" t="inlineStr">
        <is>
          <t>13:10</t>
        </is>
      </c>
      <c r="C137" t="inlineStr">
        <is>
          <t>MNQ</t>
        </is>
      </c>
      <c r="D137" t="inlineStr">
        <is>
          <t>Long</t>
        </is>
      </c>
      <c r="E137" t="n">
        <v>-5</v>
      </c>
      <c r="F137" t="inlineStr">
        <is>
          <t>up</t>
        </is>
      </c>
      <c r="G137" t="inlineStr">
        <is>
          <t>down</t>
        </is>
      </c>
      <c r="H137" t="inlineStr">
        <is>
          <t>up</t>
        </is>
      </c>
      <c r="I137" t="inlineStr">
        <is>
          <t>down</t>
        </is>
      </c>
      <c r="J137" t="n">
        <v>44.8</v>
      </c>
      <c r="K137" t="inlineStr">
        <is>
          <t>bull</t>
        </is>
      </c>
      <c r="L137" t="inlineStr">
        <is>
          <t>+</t>
        </is>
      </c>
      <c r="M137" t="n">
        <v>22.3</v>
      </c>
      <c r="N137" t="n">
        <v>23.56</v>
      </c>
      <c r="O137" t="n">
        <v>29576.45</v>
      </c>
      <c r="P137" t="inlineStr">
        <is>
          <t>below</t>
        </is>
      </c>
      <c r="Q137" t="n">
        <v>29624.95</v>
      </c>
      <c r="R137" t="n">
        <v>0.9399999999999999</v>
      </c>
      <c r="S137" t="n">
        <v>29933</v>
      </c>
      <c r="T137" t="n">
        <v>46</v>
      </c>
      <c r="U137" t="inlineStr">
        <is>
          <t>golden</t>
        </is>
      </c>
      <c r="V137" t="inlineStr">
        <is>
          <t>Good</t>
        </is>
      </c>
      <c r="W137" t="n">
        <v>2</v>
      </c>
      <c r="X137" t="inlineStr">
        <is>
          <t>Round</t>
        </is>
      </c>
      <c r="Y137" t="inlineStr">
        <is>
          <t>strong bearish close</t>
        </is>
      </c>
      <c r="Z137" t="n">
        <v>0.71</v>
      </c>
      <c r="AA137" t="inlineStr">
        <is>
          <t>No</t>
        </is>
      </c>
      <c r="AB137" t="inlineStr">
        <is>
          <t>Yes</t>
        </is>
      </c>
    </row>
    <row r="138">
      <c r="A138" t="inlineStr">
        <is>
          <t>2026-09-04</t>
        </is>
      </c>
      <c r="B138" t="inlineStr">
        <is>
          <t>13:15</t>
        </is>
      </c>
      <c r="C138" t="inlineStr">
        <is>
          <t>MNQ</t>
        </is>
      </c>
      <c r="D138" t="inlineStr">
        <is>
          <t>Long</t>
        </is>
      </c>
      <c r="E138" t="n">
        <v>-4.5</v>
      </c>
      <c r="F138" t="inlineStr">
        <is>
          <t>up</t>
        </is>
      </c>
      <c r="G138" t="inlineStr">
        <is>
          <t>down</t>
        </is>
      </c>
      <c r="H138" t="inlineStr">
        <is>
          <t>up</t>
        </is>
      </c>
      <c r="I138" t="inlineStr">
        <is>
          <t>down</t>
        </is>
      </c>
      <c r="J138" t="n">
        <v>43.7</v>
      </c>
      <c r="K138" t="inlineStr">
        <is>
          <t>bull</t>
        </is>
      </c>
      <c r="L138" t="inlineStr">
        <is>
          <t>-</t>
        </is>
      </c>
      <c r="M138" t="n">
        <v>21.7</v>
      </c>
      <c r="N138" t="n">
        <v>23.09</v>
      </c>
      <c r="O138" t="n">
        <v>29575.96</v>
      </c>
      <c r="P138" t="inlineStr">
        <is>
          <t>below</t>
        </is>
      </c>
      <c r="Q138" t="n">
        <v>29624.95</v>
      </c>
      <c r="R138" t="n">
        <v>1.04</v>
      </c>
      <c r="S138" t="n">
        <v>28692</v>
      </c>
      <c r="T138" t="n">
        <v>53</v>
      </c>
      <c r="U138" t="inlineStr">
        <is>
          <t>golden</t>
        </is>
      </c>
      <c r="V138" t="inlineStr">
        <is>
          <t>Good</t>
        </is>
      </c>
      <c r="W138" t="n">
        <v>2</v>
      </c>
      <c r="X138" t="inlineStr">
        <is>
          <t>No</t>
        </is>
      </c>
      <c r="Y138" t="inlineStr">
        <is>
          <t>strong bearish close</t>
        </is>
      </c>
      <c r="Z138" t="n">
        <v>0.93</v>
      </c>
      <c r="AA138" t="inlineStr">
        <is>
          <t>No</t>
        </is>
      </c>
      <c r="AB138" t="inlineStr">
        <is>
          <t>Yes</t>
        </is>
      </c>
    </row>
    <row r="139">
      <c r="A139" t="inlineStr">
        <is>
          <t>2026-09-04</t>
        </is>
      </c>
      <c r="B139" t="inlineStr">
        <is>
          <t>13:16</t>
        </is>
      </c>
      <c r="C139" t="inlineStr">
        <is>
          <t>MNQ</t>
        </is>
      </c>
      <c r="D139" t="inlineStr">
        <is>
          <t>Short</t>
        </is>
      </c>
      <c r="E139" t="n">
        <v>-55.5</v>
      </c>
      <c r="F139" t="inlineStr">
        <is>
          <t>up</t>
        </is>
      </c>
      <c r="G139" t="inlineStr">
        <is>
          <t>down</t>
        </is>
      </c>
      <c r="H139" t="inlineStr">
        <is>
          <t>up</t>
        </is>
      </c>
      <c r="I139" t="inlineStr">
        <is>
          <t>down</t>
        </is>
      </c>
      <c r="J139" t="n">
        <v>43.7</v>
      </c>
      <c r="K139" t="inlineStr">
        <is>
          <t>bull</t>
        </is>
      </c>
      <c r="L139" t="inlineStr">
        <is>
          <t>-</t>
        </is>
      </c>
      <c r="M139" t="n">
        <v>21.7</v>
      </c>
      <c r="N139" t="n">
        <v>23.09</v>
      </c>
      <c r="O139" t="n">
        <v>29575.96</v>
      </c>
      <c r="P139" t="inlineStr">
        <is>
          <t>below</t>
        </is>
      </c>
      <c r="Q139" t="n">
        <v>29624.95</v>
      </c>
      <c r="R139" t="n">
        <v>1.04</v>
      </c>
      <c r="S139" t="n">
        <v>28692</v>
      </c>
      <c r="T139" t="n">
        <v>26</v>
      </c>
      <c r="U139" t="inlineStr">
        <is>
          <t>shallow</t>
        </is>
      </c>
      <c r="V139" t="inlineStr">
        <is>
          <t>Weak</t>
        </is>
      </c>
      <c r="W139" t="n">
        <v>1</v>
      </c>
      <c r="X139" t="inlineStr">
        <is>
          <t>No</t>
        </is>
      </c>
      <c r="Y139" t="inlineStr">
        <is>
          <t>strong bearish close</t>
        </is>
      </c>
      <c r="Z139" t="n">
        <v>0.93</v>
      </c>
      <c r="AA139" t="inlineStr">
        <is>
          <t>No</t>
        </is>
      </c>
      <c r="AB139" t="inlineStr">
        <is>
          <t>No</t>
        </is>
      </c>
    </row>
    <row r="140">
      <c r="A140" t="inlineStr">
        <is>
          <t>2026-09-04</t>
        </is>
      </c>
      <c r="B140" t="inlineStr">
        <is>
          <t>13:22</t>
        </is>
      </c>
      <c r="C140" t="inlineStr">
        <is>
          <t>MNQ</t>
        </is>
      </c>
      <c r="D140" t="inlineStr">
        <is>
          <t>Short</t>
        </is>
      </c>
      <c r="E140" t="n">
        <v>190</v>
      </c>
      <c r="F140" t="inlineStr">
        <is>
          <t>up</t>
        </is>
      </c>
      <c r="G140" t="inlineStr">
        <is>
          <t>down</t>
        </is>
      </c>
      <c r="H140" t="inlineStr">
        <is>
          <t>up</t>
        </is>
      </c>
      <c r="I140" t="inlineStr">
        <is>
          <t>down</t>
        </is>
      </c>
      <c r="J140" t="n">
        <v>40</v>
      </c>
      <c r="K140" t="inlineStr">
        <is>
          <t>bear</t>
        </is>
      </c>
      <c r="L140" t="inlineStr">
        <is>
          <t>-</t>
        </is>
      </c>
      <c r="M140" t="n">
        <v>21.6</v>
      </c>
      <c r="N140" t="n">
        <v>22.76</v>
      </c>
      <c r="O140" t="n">
        <v>29575.48</v>
      </c>
      <c r="P140" t="inlineStr">
        <is>
          <t>below</t>
        </is>
      </c>
      <c r="Q140" t="n">
        <v>29624.95</v>
      </c>
      <c r="R140" t="n">
        <v>0.97</v>
      </c>
      <c r="S140" t="n">
        <v>26508</v>
      </c>
      <c r="T140" t="n">
        <v>20</v>
      </c>
      <c r="U140" t="inlineStr">
        <is>
          <t>shallow</t>
        </is>
      </c>
      <c r="V140" t="inlineStr">
        <is>
          <t>Weak</t>
        </is>
      </c>
      <c r="W140" t="n">
        <v>1</v>
      </c>
      <c r="X140" t="inlineStr">
        <is>
          <t>No</t>
        </is>
      </c>
      <c r="Y140" t="inlineStr">
        <is>
          <t>strong bearish close</t>
        </is>
      </c>
      <c r="Z140" t="n">
        <v>0.78</v>
      </c>
      <c r="AA140" t="inlineStr">
        <is>
          <t>No</t>
        </is>
      </c>
      <c r="AB14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2026-09-05T19:26:57Z</dcterms:modified>
  <cp:lastModifiedBy>Abdul Basit</cp:lastModifiedBy>
</cp:coreProperties>
</file>