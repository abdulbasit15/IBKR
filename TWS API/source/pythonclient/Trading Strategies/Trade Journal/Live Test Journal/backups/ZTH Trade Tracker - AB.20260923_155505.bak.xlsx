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Trade Tracker - Eval" sheetId="1" state="visible" r:id="rId1"/>
    <sheet name="Multipliers" sheetId="2" state="visible" r:id="rId2"/>
    <sheet name="Tag Options" sheetId="3" state="visible" r:id="rId3"/>
    <sheet name="Trading Rules" sheetId="4" state="visible" r:id="rId4"/>
    <sheet name="Indicators" sheetId="5" state="visible" r:id="rId5"/>
    <sheet name="Economic News" sheetId="6" state="visible" r:id="rId6"/>
    <sheet name="Analysis" sheetId="7" state="visible" r:id="rId7"/>
    <sheet name="AI Sugges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3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FFFFFF"/>
      <sz val="11"/>
    </font>
    <font>
      <name val="Calibri"/>
      <i val="1"/>
      <color rgb="FF6B7280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b val="1"/>
      <color rgb="FF111827"/>
      <sz val="13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FF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2" fillId="0" borderId="1"/>
    <xf numFmtId="0" fontId="5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 vertical="top" wrapText="1"/>
    </xf>
    <xf numFmtId="164" fontId="3" fillId="0" borderId="0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2" fontId="2" fillId="0" borderId="0" applyAlignment="1" pivotButton="0" quotePrefix="0" xfId="0">
      <alignment horizontal="left" vertical="top" wrapText="1"/>
    </xf>
    <xf numFmtId="10" fontId="3" fillId="0" borderId="0" applyAlignment="1" pivotButton="0" quotePrefix="0" xfId="0">
      <alignment horizontal="left" vertical="top" wrapText="1"/>
    </xf>
    <xf numFmtId="2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1">
      <alignment horizontal="left" vertical="top" wrapText="1"/>
    </xf>
    <xf numFmtId="14" fontId="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6" fillId="4" borderId="0" pivotButton="0" quotePrefix="0" xfId="0"/>
    <xf numFmtId="0" fontId="7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10" fillId="0" borderId="0" pivotButton="0" quotePrefix="0" xfId="0"/>
    <xf numFmtId="0" fontId="11" fillId="3" borderId="2" applyAlignment="1" pivotButton="0" quotePrefix="0" xfId="0">
      <alignment horizontal="left" vertical="top" wrapText="1"/>
    </xf>
    <xf numFmtId="2" fontId="11" fillId="3" borderId="2" applyAlignment="1" pivotButton="0" quotePrefix="0" xfId="0">
      <alignment horizontal="left" vertical="top" wrapText="1"/>
    </xf>
    <xf numFmtId="4" fontId="11" fillId="3" borderId="2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165" fontId="3" fillId="0" borderId="0" applyAlignment="1" pivotButton="0" quotePrefix="0" xfId="0">
      <alignment horizontal="left"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tabSelected="1" workbookViewId="0">
      <pane ySplit="1" topLeftCell="A28" activePane="bottomLeft" state="frozen"/>
      <selection pane="bottomLeft" activeCell="B1" sqref="B1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4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Format="1" customHeight="1" s="24">
      <c r="A1" s="20" t="n"/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1" t="n"/>
      <c r="L1" s="21" t="n"/>
      <c r="M1" s="20" t="n"/>
      <c r="N1" s="22" t="n"/>
      <c r="O1" s="20" t="n"/>
      <c r="P1" s="20" t="n"/>
      <c r="Q1" s="20" t="inlineStr">
        <is>
          <t>Trade Setup</t>
        </is>
      </c>
      <c r="R1" s="20" t="n"/>
      <c r="S1" s="20" t="n"/>
      <c r="T1" s="20" t="n"/>
      <c r="U1" s="20" t="n"/>
      <c r="V1" s="23" t="inlineStr">
        <is>
          <t>Mistakes</t>
        </is>
      </c>
      <c r="W1" s="23" t="inlineStr">
        <is>
          <t>Rules</t>
        </is>
      </c>
      <c r="X1" s="23" t="inlineStr">
        <is>
          <t>Market Conditions</t>
        </is>
      </c>
      <c r="Y1" s="23" t="inlineStr">
        <is>
          <t>Emotion Before Trade</t>
        </is>
      </c>
      <c r="Z1" s="23" t="inlineStr">
        <is>
          <t>Process</t>
        </is>
      </c>
      <c r="AA1" s="23" t="inlineStr">
        <is>
          <t>Learning</t>
        </is>
      </c>
    </row>
    <row r="2" ht="75" customHeight="1">
      <c r="A2" s="3" t="n">
        <v>1</v>
      </c>
      <c r="B2" s="11" t="n">
        <v>46274</v>
      </c>
      <c r="C2" s="8" t="n">
        <v>0.4517361111111111</v>
      </c>
      <c r="D2" s="3" t="inlineStr">
        <is>
          <t>MNQ</t>
        </is>
      </c>
      <c r="E2" s="3" t="inlineStr">
        <is>
          <t>Long</t>
        </is>
      </c>
      <c r="F2" s="5" t="n">
        <v>29521</v>
      </c>
      <c r="G2" s="5" t="n">
        <v>29528.5</v>
      </c>
      <c r="H2" s="3" t="n">
        <v>2</v>
      </c>
      <c r="I2" s="5" t="n"/>
      <c r="J2" s="5" t="n">
        <v>29549</v>
      </c>
      <c r="K2" s="6">
        <f>IF(AND(I2&lt;&gt;"",J2&lt;&gt;"",F2&lt;&gt;""), (J2-F2)/(F2-I2), "")</f>
        <v/>
      </c>
      <c r="L2" s="6">
        <f>IF(AND(F2&lt;&gt;"",G2&lt;&gt;"",I2&lt;&gt;""), (G2-F2)/(F2-I2), "")</f>
        <v/>
      </c>
      <c r="M2" s="3">
        <f>IF(N2&gt;0,"Win",IF(N2&lt;0,"Loss",""))</f>
        <v/>
      </c>
      <c r="N2" s="13">
        <f>IF(AND(F2&lt;&gt;"",G2&lt;&gt;"",H2&lt;&gt;"",D2&lt;&gt;""), IF(E2="Long", (G2-F2)*H2*VLOOKUP(D2,Multipliers!A:B,2,FALSE), (F2-G2)*H2*VLOOKUP(D2,Multipliers!A:B,2,FALSE)), "")</f>
        <v/>
      </c>
      <c r="O2" s="7">
        <f>IF(AND(N2&lt;&gt;"",F2&lt;&gt;"",H2&lt;&gt;"",D2&lt;&gt;""), N2/(F2*H2*VLOOKUP(D2,Multipliers!A:B,2,FALSE)), "")</f>
        <v/>
      </c>
      <c r="P2" s="3">
        <f>N2</f>
        <v/>
      </c>
      <c r="Q2" s="3" t="inlineStr">
        <is>
          <t>Break and Retest</t>
        </is>
      </c>
      <c r="R2" s="3" t="inlineStr">
        <is>
          <t>Imported from Tradovate</t>
        </is>
      </c>
      <c r="S2" s="3" t="inlineStr">
        <is>
          <t>MNQ</t>
        </is>
      </c>
      <c r="T2" s="3" t="n"/>
      <c r="U2" s="3" t="n"/>
      <c r="V2" s="3" t="inlineStr">
        <is>
          <t>Overtraded</t>
        </is>
      </c>
      <c r="W2" s="3" t="n"/>
      <c r="X2" s="3" t="n"/>
      <c r="Y2" s="3" t="n"/>
      <c r="Z2" s="3" t="n"/>
      <c r="AA2" s="3" t="n"/>
    </row>
    <row r="3" ht="18" customHeight="1">
      <c r="A3" s="3" t="n">
        <v>2</v>
      </c>
      <c r="B3" s="11" t="n">
        <v>46274</v>
      </c>
      <c r="C3" s="8" t="n">
        <v>0.6256944444444444</v>
      </c>
      <c r="D3" s="3" t="inlineStr">
        <is>
          <t>MNQ</t>
        </is>
      </c>
      <c r="E3" s="3" t="inlineStr">
        <is>
          <t>Long</t>
        </is>
      </c>
      <c r="F3" s="5" t="n">
        <v>29450.5</v>
      </c>
      <c r="G3" s="5" t="n">
        <v>29434.5</v>
      </c>
      <c r="H3" s="3" t="n">
        <v>1</v>
      </c>
      <c r="I3" s="5" t="n">
        <v>29430.5</v>
      </c>
      <c r="J3" s="5" t="n">
        <v>29490.5</v>
      </c>
      <c r="K3" s="6">
        <f>IF(AND(I3&lt;&gt;"",J3&lt;&gt;"",F3&lt;&gt;""), (J3-F3)/(F3-I3), "")</f>
        <v/>
      </c>
      <c r="L3" s="6">
        <f>IF(AND(F3&lt;&gt;"",G3&lt;&gt;"",I3&lt;&gt;""), (G3-F3)/(F3-I3), "")</f>
        <v/>
      </c>
      <c r="M3" s="3">
        <f>IF(N3&gt;0,"Win",IF(N3&lt;0,"Loss",""))</f>
        <v/>
      </c>
      <c r="N3" s="13">
        <f>IF(AND(F3&lt;&gt;"",G3&lt;&gt;"",H3&lt;&gt;"",D3&lt;&gt;""), IF(E3="Long", (G3-F3)*H3*VLOOKUP(D3,Multipliers!A:B,2,FALSE), (F3-G3)*H3*VLOOKUP(D3,Multipliers!A:B,2,FALSE)), "")</f>
        <v/>
      </c>
      <c r="O3" s="7">
        <f>IF(AND(N3&lt;&gt;"",F3&lt;&gt;"",H3&lt;&gt;"",D3&lt;&gt;""), N3/(F3*H3*VLOOKUP(D3,Multipliers!A:B,2,FALSE)), "")</f>
        <v/>
      </c>
      <c r="P3" s="3">
        <f>P2+N3</f>
        <v/>
      </c>
      <c r="Q3" s="3" t="inlineStr">
        <is>
          <t>Break and Retest</t>
        </is>
      </c>
      <c r="R3" s="3" t="inlineStr">
        <is>
          <t>Imported from Tradovate</t>
        </is>
      </c>
      <c r="S3" s="3" t="inlineStr">
        <is>
          <t>MNQ</t>
        </is>
      </c>
      <c r="T3" s="10" t="n"/>
      <c r="U3" s="10" t="n"/>
      <c r="V3" s="3" t="inlineStr">
        <is>
          <t>Overtraded</t>
        </is>
      </c>
      <c r="W3" s="3" t="n"/>
      <c r="X3" s="3" t="n"/>
      <c r="Y3" s="3" t="n"/>
      <c r="Z3" s="3" t="n"/>
      <c r="AA3" s="3" t="n"/>
    </row>
    <row r="4" ht="60" customHeight="1">
      <c r="A4" s="3" t="n">
        <v>3</v>
      </c>
      <c r="B4" s="11" t="n">
        <v>46274</v>
      </c>
      <c r="C4" s="8" t="n">
        <v>0.6303125000000001</v>
      </c>
      <c r="D4" s="3" t="inlineStr">
        <is>
          <t>MGC</t>
        </is>
      </c>
      <c r="E4" s="3" t="inlineStr">
        <is>
          <t>Long</t>
        </is>
      </c>
      <c r="F4" s="5" t="n">
        <v>4444.7</v>
      </c>
      <c r="G4" s="5" t="n">
        <v>4444.9</v>
      </c>
      <c r="H4" s="3" t="n">
        <v>1</v>
      </c>
      <c r="I4" s="5" t="n">
        <v>4436.7</v>
      </c>
      <c r="J4" s="5" t="n">
        <v>4460.7</v>
      </c>
      <c r="K4" s="6">
        <f>IF(AND(I4&lt;&gt;"",J4&lt;&gt;"",F4&lt;&gt;""), (J4-F4)/(F4-I4), "")</f>
        <v/>
      </c>
      <c r="L4" s="6">
        <f>IF(AND(F4&lt;&gt;"",G4&lt;&gt;"",I4&lt;&gt;""), (G4-F4)/(F4-I4), "")</f>
        <v/>
      </c>
      <c r="M4" s="3">
        <f>IF(N4&gt;0,"Win",IF(N4&lt;0,"Loss",""))</f>
        <v/>
      </c>
      <c r="N4" s="13">
        <f>IF(AND(F4&lt;&gt;"",G4&lt;&gt;"",H4&lt;&gt;"",D4&lt;&gt;""), IF(E4="Long", (G4-F4)*H4*VLOOKUP(D4,Multipliers!A:B,2,FALSE), (F4-G4)*H4*VLOOKUP(D4,Multipliers!A:B,2,FALSE)), "")</f>
        <v/>
      </c>
      <c r="O4" s="7">
        <f>IF(AND(N4&lt;&gt;"",F4&lt;&gt;"",H4&lt;&gt;"",D4&lt;&gt;""), N4/(F4*H4*VLOOKUP(D4,Multipliers!A:B,2,FALSE)), "")</f>
        <v/>
      </c>
      <c r="P4" s="3">
        <f>P3+N4</f>
        <v/>
      </c>
      <c r="Q4" s="3" t="inlineStr">
        <is>
          <t>Break and Retest</t>
        </is>
      </c>
      <c r="R4" s="3" t="inlineStr">
        <is>
          <t>Imported from Tradovate</t>
        </is>
      </c>
      <c r="S4" s="3" t="inlineStr">
        <is>
          <t>MGC</t>
        </is>
      </c>
      <c r="T4" s="3" t="n"/>
      <c r="U4" s="3" t="n"/>
      <c r="V4" s="3" t="inlineStr">
        <is>
          <t>Cut winner early, Revenge trade, Overtraded</t>
        </is>
      </c>
      <c r="W4" s="3" t="n"/>
      <c r="X4" s="3" t="n"/>
      <c r="Y4" s="3" t="n"/>
      <c r="Z4" s="3" t="n"/>
      <c r="AA4" s="3" t="n"/>
    </row>
    <row r="5" ht="75" customHeight="1">
      <c r="A5" s="3" t="n">
        <v>4</v>
      </c>
      <c r="B5" s="11" t="n">
        <v>46274</v>
      </c>
      <c r="C5" s="8" t="n">
        <v>0.630625</v>
      </c>
      <c r="D5" s="3" t="inlineStr">
        <is>
          <t>MNQ</t>
        </is>
      </c>
      <c r="E5" s="3" t="inlineStr">
        <is>
          <t>Long</t>
        </is>
      </c>
      <c r="F5" s="5" t="n">
        <v>29454.5</v>
      </c>
      <c r="G5" s="5" t="n">
        <v>29463.25</v>
      </c>
      <c r="H5" s="3" t="n">
        <v>1</v>
      </c>
      <c r="I5" s="5" t="n"/>
      <c r="J5" s="5" t="n"/>
      <c r="K5" s="6">
        <f>IF(AND(I5&lt;&gt;"",J5&lt;&gt;"",F5&lt;&gt;""), (J5-F5)/(F5-I5), "")</f>
        <v/>
      </c>
      <c r="L5" s="6">
        <f>IF(AND(F5&lt;&gt;"",G5&lt;&gt;"",I5&lt;&gt;""), (G5-F5)/(F5-I5), "")</f>
        <v/>
      </c>
      <c r="M5" s="3">
        <f>IF(N5&gt;0,"Win",IF(N5&lt;0,"Loss",""))</f>
        <v/>
      </c>
      <c r="N5" s="13">
        <f>IF(AND(F5&lt;&gt;"",G5&lt;&gt;"",H5&lt;&gt;"",D5&lt;&gt;""), IF(E5="Long", (G5-F5)*H5*VLOOKUP(D5,Multipliers!A:B,2,FALSE), (F5-G5)*H5*VLOOKUP(D5,Multipliers!A:B,2,FALSE)), "")</f>
        <v/>
      </c>
      <c r="O5" s="7">
        <f>IF(AND(N5&lt;&gt;"",F5&lt;&gt;"",H5&lt;&gt;"",D5&lt;&gt;""), N5/(F5*H5*VLOOKUP(D5,Multipliers!A:B,2,FALSE)), "")</f>
        <v/>
      </c>
      <c r="P5" s="3">
        <f>P4+N5</f>
        <v/>
      </c>
      <c r="Q5" s="3" t="inlineStr">
        <is>
          <t>Break and Retest</t>
        </is>
      </c>
      <c r="R5" s="3" t="inlineStr">
        <is>
          <t>Imported from Tradovate</t>
        </is>
      </c>
      <c r="S5" s="3" t="inlineStr">
        <is>
          <t>MNQ</t>
        </is>
      </c>
      <c r="T5" s="3" t="n"/>
      <c r="U5" s="3" t="n"/>
      <c r="V5" s="3" t="inlineStr">
        <is>
          <t>Overtraded</t>
        </is>
      </c>
      <c r="W5" s="3" t="n"/>
      <c r="X5" s="3" t="n"/>
      <c r="Y5" s="3" t="n"/>
      <c r="Z5" s="3" t="n"/>
      <c r="AA5" s="3" t="n"/>
    </row>
    <row r="6" ht="75" customHeight="1">
      <c r="A6" s="3" t="n">
        <v>5</v>
      </c>
      <c r="B6" s="11" t="n">
        <v>46274</v>
      </c>
      <c r="C6" s="8" t="n">
        <v>0.6469328703703704</v>
      </c>
      <c r="D6" s="3" t="inlineStr">
        <is>
          <t>MNQ</t>
        </is>
      </c>
      <c r="E6" s="3" t="inlineStr">
        <is>
          <t>Long</t>
        </is>
      </c>
      <c r="F6" s="5" t="n">
        <v>29453.25</v>
      </c>
      <c r="G6" s="5" t="n">
        <v>29441.5</v>
      </c>
      <c r="H6" s="3" t="n">
        <v>1</v>
      </c>
      <c r="I6" s="5" t="n">
        <v>29433.25</v>
      </c>
      <c r="J6" s="5" t="n">
        <v>29493.25</v>
      </c>
      <c r="K6" s="6">
        <f>IF(AND(I6&lt;&gt;"",J6&lt;&gt;"",F6&lt;&gt;""), (J6-F6)/(F6-I6), "")</f>
        <v/>
      </c>
      <c r="L6" s="6">
        <f>IF(AND(F6&lt;&gt;"",G6&lt;&gt;"",I6&lt;&gt;""), (G6-F6)/(F6-I6), "")</f>
        <v/>
      </c>
      <c r="M6" s="3">
        <f>IF(N6&gt;0,"Win",IF(N6&lt;0,"Loss",""))</f>
        <v/>
      </c>
      <c r="N6" s="13">
        <f>IF(AND(F6&lt;&gt;"",G6&lt;&gt;"",H6&lt;&gt;"",D6&lt;&gt;""), IF(E6="Long", (G6-F6)*H6*VLOOKUP(D6,Multipliers!A:B,2,FALSE), (F6-G6)*H6*VLOOKUP(D6,Multipliers!A:B,2,FALSE)), "")</f>
        <v/>
      </c>
      <c r="O6" s="7">
        <f>IF(AND(N6&lt;&gt;"",F6&lt;&gt;"",H6&lt;&gt;"",D6&lt;&gt;""), N6/(F6*H6*VLOOKUP(D6,Multipliers!A:B,2,FALSE)), "")</f>
        <v/>
      </c>
      <c r="P6" s="3">
        <f>P5+N6</f>
        <v/>
      </c>
      <c r="Q6" s="3" t="inlineStr">
        <is>
          <t>Break and Retest</t>
        </is>
      </c>
      <c r="R6" s="3" t="inlineStr">
        <is>
          <t>Imported from Tradovate</t>
        </is>
      </c>
      <c r="S6" s="3" t="inlineStr">
        <is>
          <t>MNQ</t>
        </is>
      </c>
      <c r="T6" s="3" t="n"/>
      <c r="U6" s="3" t="n"/>
      <c r="V6" s="3" t="inlineStr">
        <is>
          <t>Overtraded</t>
        </is>
      </c>
      <c r="W6" s="3" t="n"/>
      <c r="X6" s="3" t="n"/>
      <c r="Y6" s="3" t="n"/>
      <c r="Z6" s="3" t="n"/>
      <c r="AA6" s="3" t="n"/>
    </row>
    <row r="7" ht="75" customHeight="1">
      <c r="A7" s="3" t="n">
        <v>6</v>
      </c>
      <c r="B7" s="11" t="n">
        <v>46274</v>
      </c>
      <c r="C7" s="8" t="n">
        <v>0.9402893518518518</v>
      </c>
      <c r="D7" s="3" t="inlineStr">
        <is>
          <t>MNQ</t>
        </is>
      </c>
      <c r="E7" s="3" t="inlineStr">
        <is>
          <t>Short</t>
        </is>
      </c>
      <c r="F7" s="5" t="n">
        <v>29384.75</v>
      </c>
      <c r="G7" s="5" t="n">
        <v>29383</v>
      </c>
      <c r="H7" s="3" t="n">
        <v>2</v>
      </c>
      <c r="I7" s="5" t="n">
        <v>29400.5</v>
      </c>
      <c r="J7" s="5" t="n">
        <v>29383</v>
      </c>
      <c r="K7" s="6">
        <f>IF(AND(I7&lt;&gt;"",J7&lt;&gt;"",F7&lt;&gt;""), (J7-F7)/(F7-I7), "")</f>
        <v/>
      </c>
      <c r="L7" s="6">
        <f>IF(AND(F7&lt;&gt;"",G7&lt;&gt;"",I7&lt;&gt;""), (G7-F7)/(F7-I7), "")</f>
        <v/>
      </c>
      <c r="M7" s="3">
        <f>IF(N7&gt;0,"Win",IF(N7&lt;0,"Loss",""))</f>
        <v/>
      </c>
      <c r="N7" s="13">
        <f>IF(AND(F7&lt;&gt;"",G7&lt;&gt;"",H7&lt;&gt;"",D7&lt;&gt;""), IF(E7="Long", (G7-F7)*H7*VLOOKUP(D7,Multipliers!A:B,2,FALSE), (F7-G7)*H7*VLOOKUP(D7,Multipliers!A:B,2,FALSE)), "")</f>
        <v/>
      </c>
      <c r="O7" s="7">
        <f>IF(AND(N7&lt;&gt;"",F7&lt;&gt;"",H7&lt;&gt;"",D7&lt;&gt;""), N7/(F7*H7*VLOOKUP(D7,Multipliers!A:B,2,FALSE)), "")</f>
        <v/>
      </c>
      <c r="P7" s="3">
        <f>P6+N7</f>
        <v/>
      </c>
      <c r="Q7" s="3" t="inlineStr">
        <is>
          <t>Break and Retest</t>
        </is>
      </c>
      <c r="R7" s="3" t="inlineStr">
        <is>
          <t>Imported from Tradovate</t>
        </is>
      </c>
      <c r="S7" s="3" t="inlineStr">
        <is>
          <t>MNQ</t>
        </is>
      </c>
      <c r="T7" s="3" t="n"/>
      <c r="U7" s="3" t="n"/>
      <c r="V7" s="3" t="inlineStr">
        <is>
          <t>Overtraded</t>
        </is>
      </c>
      <c r="W7" s="3" t="n"/>
      <c r="X7" s="3" t="n"/>
      <c r="Y7" s="3" t="n"/>
      <c r="Z7" s="3" t="n"/>
      <c r="AA7" s="3" t="n"/>
    </row>
    <row r="8" ht="75" customHeight="1">
      <c r="A8" s="3" t="n">
        <v>7</v>
      </c>
      <c r="B8" s="11" t="n">
        <v>46274</v>
      </c>
      <c r="C8" s="8" t="n">
        <v>0.9419791666666667</v>
      </c>
      <c r="D8" s="3" t="inlineStr">
        <is>
          <t>MGC</t>
        </is>
      </c>
      <c r="E8" s="3" t="inlineStr">
        <is>
          <t>Short</t>
        </is>
      </c>
      <c r="F8" s="5" t="n">
        <v>4457.8</v>
      </c>
      <c r="G8" s="5" t="n">
        <v>4462.7</v>
      </c>
      <c r="H8" s="3" t="n">
        <v>2</v>
      </c>
      <c r="I8" s="5" t="n">
        <v>4462.7</v>
      </c>
      <c r="J8" s="5" t="n">
        <v>4457.2</v>
      </c>
      <c r="K8" s="6">
        <f>IF(AND(I8&lt;&gt;"",J8&lt;&gt;"",F8&lt;&gt;""), (J8-F8)/(F8-I8), "")</f>
        <v/>
      </c>
      <c r="L8" s="6">
        <f>IF(AND(F8&lt;&gt;"",G8&lt;&gt;"",I8&lt;&gt;""), (G8-F8)/(F8-I8), "")</f>
        <v/>
      </c>
      <c r="M8" s="3">
        <f>IF(N8&gt;0,"Win",IF(N8&lt;0,"Loss",""))</f>
        <v/>
      </c>
      <c r="N8" s="13">
        <f>IF(AND(F8&lt;&gt;"",G8&lt;&gt;"",H8&lt;&gt;"",D8&lt;&gt;""), IF(E8="Long", (G8-F8)*H8*VLOOKUP(D8,Multipliers!A:B,2,FALSE), (F8-G8)*H8*VLOOKUP(D8,Multipliers!A:B,2,FALSE)), "")</f>
        <v/>
      </c>
      <c r="O8" s="7">
        <f>IF(AND(N8&lt;&gt;"",F8&lt;&gt;"",H8&lt;&gt;"",D8&lt;&gt;""), N8/(F8*H8*VLOOKUP(D8,Multipliers!A:B,2,FALSE)), "")</f>
        <v/>
      </c>
      <c r="P8" s="3">
        <f>P7+N8</f>
        <v/>
      </c>
      <c r="Q8" s="3" t="inlineStr">
        <is>
          <t>Break and Retest</t>
        </is>
      </c>
      <c r="R8" s="3" t="inlineStr">
        <is>
          <t>Imported from Tradovate</t>
        </is>
      </c>
      <c r="S8" s="3" t="inlineStr">
        <is>
          <t>MGC</t>
        </is>
      </c>
      <c r="T8" s="3" t="n"/>
      <c r="U8" s="3" t="n"/>
      <c r="V8" s="3" t="inlineStr">
        <is>
          <t>Overtraded</t>
        </is>
      </c>
      <c r="W8" s="3" t="n"/>
      <c r="X8" s="3" t="n"/>
      <c r="Y8" s="3" t="n"/>
      <c r="Z8" s="3" t="n"/>
      <c r="AA8" s="3" t="n"/>
    </row>
    <row r="9" ht="75" customHeight="1">
      <c r="A9" s="3" t="n">
        <v>8</v>
      </c>
      <c r="B9" s="11" t="n">
        <v>46274</v>
      </c>
      <c r="C9" s="8" t="n">
        <v>0.9459606481481482</v>
      </c>
      <c r="D9" s="3" t="inlineStr">
        <is>
          <t>MGC</t>
        </is>
      </c>
      <c r="E9" s="3" t="inlineStr">
        <is>
          <t>Long</t>
        </is>
      </c>
      <c r="F9" s="5" t="n">
        <v>4463.4</v>
      </c>
      <c r="G9" s="5" t="n">
        <v>4461.4</v>
      </c>
      <c r="H9" s="3" t="n">
        <v>2</v>
      </c>
      <c r="I9" s="5" t="n">
        <v>4461.4</v>
      </c>
      <c r="J9" s="5" t="n">
        <v>4464.4</v>
      </c>
      <c r="K9" s="6">
        <f>IF(AND(I9&lt;&gt;"",J9&lt;&gt;"",F9&lt;&gt;""), (J9-F9)/(F9-I9), "")</f>
        <v/>
      </c>
      <c r="L9" s="6">
        <f>IF(AND(F9&lt;&gt;"",G9&lt;&gt;"",I9&lt;&gt;""), (G9-F9)/(F9-I9), "")</f>
        <v/>
      </c>
      <c r="M9" s="3">
        <f>IF(N9&gt;0,"Win",IF(N9&lt;0,"Loss",""))</f>
        <v/>
      </c>
      <c r="N9" s="13">
        <f>IF(AND(F9&lt;&gt;"",G9&lt;&gt;"",H9&lt;&gt;"",D9&lt;&gt;""), IF(E9="Long", (G9-F9)*H9*VLOOKUP(D9,Multipliers!A:B,2,FALSE), (F9-G9)*H9*VLOOKUP(D9,Multipliers!A:B,2,FALSE)), "")</f>
        <v/>
      </c>
      <c r="O9" s="7">
        <f>IF(AND(N9&lt;&gt;"",F9&lt;&gt;"",H9&lt;&gt;"",D9&lt;&gt;""), N9/(F9*H9*VLOOKUP(D9,Multipliers!A:B,2,FALSE)), "")</f>
        <v/>
      </c>
      <c r="P9" s="3">
        <f>P8+N9</f>
        <v/>
      </c>
      <c r="Q9" s="3" t="inlineStr">
        <is>
          <t>Break and Retest</t>
        </is>
      </c>
      <c r="R9" s="3" t="inlineStr">
        <is>
          <t>Imported from Tradovate</t>
        </is>
      </c>
      <c r="S9" s="3" t="inlineStr">
        <is>
          <t>MGC</t>
        </is>
      </c>
      <c r="T9" s="3" t="n"/>
      <c r="U9" s="3" t="n"/>
      <c r="V9" s="3" t="inlineStr">
        <is>
          <t>Revenge trade, Overtraded</t>
        </is>
      </c>
      <c r="W9" s="3" t="n"/>
      <c r="X9" s="3" t="n"/>
      <c r="Y9" s="3" t="n"/>
      <c r="Z9" s="3" t="n"/>
      <c r="AA9" s="3" t="n"/>
    </row>
    <row r="10" ht="75" customHeight="1">
      <c r="A10" s="3" t="n">
        <v>9</v>
      </c>
      <c r="B10" s="11" t="n">
        <v>46274</v>
      </c>
      <c r="C10" s="8" t="n">
        <v>0.9490625</v>
      </c>
      <c r="D10" s="3" t="inlineStr">
        <is>
          <t>MGC</t>
        </is>
      </c>
      <c r="E10" s="3" t="inlineStr">
        <is>
          <t>Short</t>
        </is>
      </c>
      <c r="F10" s="5" t="n">
        <v>4460.6</v>
      </c>
      <c r="G10" s="5" t="n">
        <v>4462.5</v>
      </c>
      <c r="H10" s="3" t="n">
        <v>2</v>
      </c>
      <c r="I10" s="5" t="n">
        <v>4462.5</v>
      </c>
      <c r="J10" s="5" t="n">
        <v>4459.5</v>
      </c>
      <c r="K10" s="6">
        <f>IF(AND(I10&lt;&gt;"",J10&lt;&gt;"",F10&lt;&gt;""), (J10-F10)/(F10-I10), "")</f>
        <v/>
      </c>
      <c r="L10" s="6">
        <f>IF(AND(F10&lt;&gt;"",G10&lt;&gt;"",I10&lt;&gt;""), (G10-F10)/(F10-I10), "")</f>
        <v/>
      </c>
      <c r="M10" s="3">
        <f>IF(N10&gt;0,"Win",IF(N10&lt;0,"Loss",""))</f>
        <v/>
      </c>
      <c r="N10" s="13">
        <f>IF(AND(F10&lt;&gt;"",G10&lt;&gt;"",H10&lt;&gt;"",D10&lt;&gt;""), IF(E10="Long", (G10-F10)*H10*VLOOKUP(D10,Multipliers!A:B,2,FALSE), (F10-G10)*H10*VLOOKUP(D10,Multipliers!A:B,2,FALSE)), "")</f>
        <v/>
      </c>
      <c r="O10" s="7">
        <f>IF(AND(N10&lt;&gt;"",F10&lt;&gt;"",H10&lt;&gt;"",D10&lt;&gt;""), N10/(F10*H10*VLOOKUP(D10,Multipliers!A:B,2,FALSE)), "")</f>
        <v/>
      </c>
      <c r="P10" s="3">
        <f>P9+N10</f>
        <v/>
      </c>
      <c r="Q10" s="3" t="inlineStr">
        <is>
          <t>Break and Retest</t>
        </is>
      </c>
      <c r="R10" s="3" t="inlineStr">
        <is>
          <t>Imported from Tradovate</t>
        </is>
      </c>
      <c r="S10" s="3" t="inlineStr">
        <is>
          <t>MGC</t>
        </is>
      </c>
      <c r="T10" s="3" t="n"/>
      <c r="U10" s="3" t="n"/>
      <c r="V10" s="3" t="inlineStr">
        <is>
          <t>Revenge trade, Overtraded</t>
        </is>
      </c>
      <c r="W10" s="3" t="n"/>
      <c r="X10" s="3" t="n"/>
      <c r="Y10" s="3" t="n"/>
      <c r="Z10" s="3" t="n"/>
      <c r="AA10" s="3" t="n"/>
    </row>
    <row r="11" ht="75" customHeight="1">
      <c r="A11" s="3" t="n">
        <v>10</v>
      </c>
      <c r="B11" s="11" t="n">
        <v>46274</v>
      </c>
      <c r="C11" s="8" t="n">
        <v>0.9522453703703704</v>
      </c>
      <c r="D11" s="3" t="inlineStr">
        <is>
          <t>MGC</t>
        </is>
      </c>
      <c r="E11" s="3" t="inlineStr">
        <is>
          <t>Short</t>
        </is>
      </c>
      <c r="F11" s="5" t="n">
        <v>4462.1</v>
      </c>
      <c r="G11" s="5" t="n">
        <v>4464.1</v>
      </c>
      <c r="H11" s="3" t="n">
        <v>2</v>
      </c>
      <c r="I11" s="5" t="n">
        <v>4464.1</v>
      </c>
      <c r="J11" s="5" t="n">
        <v>4461.1</v>
      </c>
      <c r="K11" s="6">
        <f>IF(AND(I11&lt;&gt;"",J11&lt;&gt;"",F11&lt;&gt;""), (J11-F11)/(F11-I11), "")</f>
        <v/>
      </c>
      <c r="L11" s="6">
        <f>IF(AND(F11&lt;&gt;"",G11&lt;&gt;"",I11&lt;&gt;""), (G11-F11)/(F11-I11), "")</f>
        <v/>
      </c>
      <c r="M11" s="3">
        <f>IF(N11&gt;0,"Win",IF(N11&lt;0,"Loss",""))</f>
        <v/>
      </c>
      <c r="N11" s="13">
        <f>IF(AND(F11&lt;&gt;"",G11&lt;&gt;"",H11&lt;&gt;"",D11&lt;&gt;""), IF(E11="Long", (G11-F11)*H11*VLOOKUP(D11,Multipliers!A:B,2,FALSE), (F11-G11)*H11*VLOOKUP(D11,Multipliers!A:B,2,FALSE)), "")</f>
        <v/>
      </c>
      <c r="O11" s="7">
        <f>IF(AND(N11&lt;&gt;"",F11&lt;&gt;"",H11&lt;&gt;"",D11&lt;&gt;""), N11/(F11*H11*VLOOKUP(D11,Multipliers!A:B,2,FALSE)), "")</f>
        <v/>
      </c>
      <c r="P11" s="3">
        <f>P10+N11</f>
        <v/>
      </c>
      <c r="Q11" s="3" t="inlineStr">
        <is>
          <t>Break and Retest</t>
        </is>
      </c>
      <c r="R11" s="3" t="inlineStr">
        <is>
          <t>Imported from Tradovate</t>
        </is>
      </c>
      <c r="S11" s="3" t="inlineStr">
        <is>
          <t>MGC</t>
        </is>
      </c>
      <c r="T11" s="3" t="n"/>
      <c r="U11" s="3" t="n"/>
      <c r="V11" s="3" t="inlineStr">
        <is>
          <t>Revenge trade, Overtraded</t>
        </is>
      </c>
      <c r="W11" s="3" t="n"/>
      <c r="X11" s="3" t="n"/>
      <c r="Y11" s="3" t="n"/>
      <c r="Z11" s="3" t="n"/>
      <c r="AA11" s="3" t="n"/>
    </row>
    <row r="12" ht="75" customHeight="1">
      <c r="A12" s="3" t="n">
        <v>11</v>
      </c>
      <c r="B12" s="11" t="n">
        <v>46274</v>
      </c>
      <c r="C12" s="8" t="n">
        <v>0.9537731481481482</v>
      </c>
      <c r="D12" s="3" t="inlineStr">
        <is>
          <t>MGC</t>
        </is>
      </c>
      <c r="E12" s="3" t="inlineStr">
        <is>
          <t>Long</t>
        </is>
      </c>
      <c r="F12" s="5" t="n">
        <v>4464.1</v>
      </c>
      <c r="G12" s="5" t="n">
        <v>4455.2</v>
      </c>
      <c r="H12" s="3" t="n">
        <v>2</v>
      </c>
      <c r="I12" s="5" t="n"/>
      <c r="J12" s="5" t="n">
        <v>4465</v>
      </c>
      <c r="K12" s="6">
        <f>IF(AND(I12&lt;&gt;"",J12&lt;&gt;"",F12&lt;&gt;""), (J12-F12)/(F12-I12), "")</f>
        <v/>
      </c>
      <c r="L12" s="6">
        <f>IF(AND(F12&lt;&gt;"",G12&lt;&gt;"",I12&lt;&gt;""), (G12-F12)/(F12-I12), "")</f>
        <v/>
      </c>
      <c r="M12" s="3">
        <f>IF(N12&gt;0,"Win",IF(N12&lt;0,"Loss",""))</f>
        <v/>
      </c>
      <c r="N12" s="13">
        <f>IF(AND(F12&lt;&gt;"",G12&lt;&gt;"",H12&lt;&gt;"",D12&lt;&gt;""), IF(E12="Long", (G12-F12)*H12*VLOOKUP(D12,Multipliers!A:B,2,FALSE), (F12-G12)*H12*VLOOKUP(D12,Multipliers!A:B,2,FALSE)), "")</f>
        <v/>
      </c>
      <c r="O12" s="7">
        <f>IF(AND(N12&lt;&gt;"",F12&lt;&gt;"",H12&lt;&gt;"",D12&lt;&gt;""), N12/(F12*H12*VLOOKUP(D12,Multipliers!A:B,2,FALSE)), "")</f>
        <v/>
      </c>
      <c r="P12" s="3">
        <f>P11+N12</f>
        <v/>
      </c>
      <c r="Q12" s="3" t="inlineStr">
        <is>
          <t>Break and Retest</t>
        </is>
      </c>
      <c r="R12" s="3" t="inlineStr">
        <is>
          <t>Imported from Tradovate</t>
        </is>
      </c>
      <c r="S12" s="3" t="inlineStr">
        <is>
          <t>MGC</t>
        </is>
      </c>
      <c r="T12" s="3" t="n"/>
      <c r="U12" s="3" t="n"/>
      <c r="V12" s="3" t="inlineStr">
        <is>
          <t>Revenge trade, Overtraded</t>
        </is>
      </c>
      <c r="W12" s="3" t="n"/>
      <c r="X12" s="3" t="n"/>
      <c r="Y12" s="3" t="n"/>
      <c r="Z12" s="3" t="n"/>
      <c r="AA12" s="3" t="n"/>
    </row>
    <row r="13" ht="75" customHeight="1">
      <c r="A13" s="3" t="n">
        <v>12</v>
      </c>
      <c r="B13" s="11" t="n">
        <v>46274</v>
      </c>
      <c r="C13" s="8" t="n">
        <v>0.9742824074074075</v>
      </c>
      <c r="D13" s="3" t="inlineStr">
        <is>
          <t>MNQ</t>
        </is>
      </c>
      <c r="E13" s="3" t="inlineStr">
        <is>
          <t>Short</t>
        </is>
      </c>
      <c r="F13" s="5" t="n">
        <v>29404.25</v>
      </c>
      <c r="G13" s="5" t="n">
        <v>29402</v>
      </c>
      <c r="H13" s="3" t="n">
        <v>1</v>
      </c>
      <c r="I13" s="5" t="n">
        <v>29409.5</v>
      </c>
      <c r="J13" s="5" t="n">
        <v>29399.75</v>
      </c>
      <c r="K13" s="6">
        <f>IF(AND(I13&lt;&gt;"",J13&lt;&gt;"",F13&lt;&gt;""), (J13-F13)/(F13-I13), "")</f>
        <v/>
      </c>
      <c r="L13" s="6">
        <f>IF(AND(F13&lt;&gt;"",G13&lt;&gt;"",I13&lt;&gt;""), (G13-F13)/(F13-I13), "")</f>
        <v/>
      </c>
      <c r="M13" s="3">
        <f>IF(N13&gt;0,"Win",IF(N13&lt;0,"Loss",""))</f>
        <v/>
      </c>
      <c r="N13" s="13">
        <f>IF(AND(F13&lt;&gt;"",G13&lt;&gt;"",H13&lt;&gt;"",D13&lt;&gt;""), IF(E13="Long", (G13-F13)*H13*VLOOKUP(D13,Multipliers!A:B,2,FALSE), (F13-G13)*H13*VLOOKUP(D13,Multipliers!A:B,2,FALSE)), "")</f>
        <v/>
      </c>
      <c r="O13" s="7">
        <f>IF(AND(N13&lt;&gt;"",F13&lt;&gt;"",H13&lt;&gt;"",D13&lt;&gt;""), N13/(F13*H13*VLOOKUP(D13,Multipliers!A:B,2,FALSE)), "")</f>
        <v/>
      </c>
      <c r="P13" s="3">
        <f>P12+N13</f>
        <v/>
      </c>
      <c r="Q13" s="3" t="inlineStr">
        <is>
          <t>Break and Retest</t>
        </is>
      </c>
      <c r="R13" s="3" t="inlineStr">
        <is>
          <t>Imported from Tradovate</t>
        </is>
      </c>
      <c r="S13" s="3" t="inlineStr">
        <is>
          <t>MNQ</t>
        </is>
      </c>
      <c r="T13" s="3" t="n"/>
      <c r="U13" s="3" t="n"/>
      <c r="V13" s="3" t="inlineStr">
        <is>
          <t>Overtraded</t>
        </is>
      </c>
      <c r="W13" s="3" t="n"/>
      <c r="X13" s="3" t="n"/>
      <c r="Y13" s="3" t="n"/>
      <c r="Z13" s="3" t="n"/>
      <c r="AA13" s="3" t="n"/>
    </row>
    <row r="14" ht="15.75" customHeight="1">
      <c r="A14" s="3" t="n">
        <v>13</v>
      </c>
      <c r="B14" s="11" t="n">
        <v>46274</v>
      </c>
      <c r="C14" s="8" t="n">
        <v>0.9746527777777778</v>
      </c>
      <c r="D14" s="3" t="inlineStr">
        <is>
          <t>MNQ</t>
        </is>
      </c>
      <c r="E14" s="3" t="inlineStr">
        <is>
          <t>Short</t>
        </is>
      </c>
      <c r="F14" s="5" t="n">
        <v>29403</v>
      </c>
      <c r="G14" s="5" t="n">
        <v>29400.75</v>
      </c>
      <c r="H14" s="3" t="n">
        <v>1</v>
      </c>
      <c r="I14" s="5" t="n">
        <v>29409.5</v>
      </c>
      <c r="J14" s="5" t="n">
        <v>29399.75</v>
      </c>
      <c r="K14" s="6">
        <f>IF(AND(I14&lt;&gt;"",J14&lt;&gt;"",F14&lt;&gt;""), (J14-F14)/(F14-I14), "")</f>
        <v/>
      </c>
      <c r="L14" s="6">
        <f>IF(AND(F14&lt;&gt;"",G14&lt;&gt;"",I14&lt;&gt;""), (G14-F14)/(F14-I14), "")</f>
        <v/>
      </c>
      <c r="M14" s="3">
        <f>IF(N14&gt;0,"Win",IF(N14&lt;0,"Loss",""))</f>
        <v/>
      </c>
      <c r="N14" s="13">
        <f>IF(AND(F14&lt;&gt;"",G14&lt;&gt;"",H14&lt;&gt;"",D14&lt;&gt;""), IF(E14="Long", (G14-F14)*H14*VLOOKUP(D14,Multipliers!A:B,2,FALSE), (F14-G14)*H14*VLOOKUP(D14,Multipliers!A:B,2,FALSE)), "")</f>
        <v/>
      </c>
      <c r="O14" s="7">
        <f>IF(AND(N14&lt;&gt;"",F14&lt;&gt;"",H14&lt;&gt;"",D14&lt;&gt;""), N14/(F14*H14*VLOOKUP(D14,Multipliers!A:B,2,FALSE)), "")</f>
        <v/>
      </c>
      <c r="P14" s="3">
        <f>P13+N14</f>
        <v/>
      </c>
      <c r="Q14" s="3" t="inlineStr">
        <is>
          <t>Break and Retest</t>
        </is>
      </c>
      <c r="R14" s="3" t="inlineStr">
        <is>
          <t>Imported from Tradovate</t>
        </is>
      </c>
      <c r="S14" s="3" t="inlineStr">
        <is>
          <t>MNQ</t>
        </is>
      </c>
      <c r="T14" s="3" t="n"/>
      <c r="U14" s="3" t="n"/>
      <c r="V14" s="3" t="inlineStr">
        <is>
          <t>Overtraded</t>
        </is>
      </c>
      <c r="W14" s="3" t="n"/>
      <c r="X14" s="3" t="n"/>
      <c r="Y14" s="3" t="n"/>
      <c r="Z14" s="3" t="n"/>
      <c r="AA14" s="3" t="n"/>
    </row>
    <row r="15" ht="15.75" customHeight="1">
      <c r="A15" s="3" t="n">
        <v>14</v>
      </c>
      <c r="B15" s="11" t="n">
        <v>46274</v>
      </c>
      <c r="C15" s="8" t="n">
        <v>0.9754513888888889</v>
      </c>
      <c r="D15" s="3" t="inlineStr">
        <is>
          <t>MNQ</t>
        </is>
      </c>
      <c r="E15" s="3" t="inlineStr">
        <is>
          <t>Short</t>
        </is>
      </c>
      <c r="F15" s="5" t="n">
        <v>29402.25</v>
      </c>
      <c r="G15" s="5" t="n">
        <v>29399.75</v>
      </c>
      <c r="H15" s="3" t="n">
        <v>2</v>
      </c>
      <c r="I15" s="5" t="n">
        <v>29409.5</v>
      </c>
      <c r="J15" s="5" t="n">
        <v>29399.75</v>
      </c>
      <c r="K15" s="6">
        <f>IF(AND(I15&lt;&gt;"",J15&lt;&gt;"",F15&lt;&gt;""), (J15-F15)/(F15-I15), "")</f>
        <v/>
      </c>
      <c r="L15" s="6">
        <f>IF(AND(F15&lt;&gt;"",G15&lt;&gt;"",I15&lt;&gt;""), (G15-F15)/(F15-I15), "")</f>
        <v/>
      </c>
      <c r="M15" s="3">
        <f>IF(N15&gt;0,"Win",IF(N15&lt;0,"Loss",""))</f>
        <v/>
      </c>
      <c r="N15" s="13">
        <f>IF(AND(F15&lt;&gt;"",G15&lt;&gt;"",H15&lt;&gt;"",D15&lt;&gt;""), IF(E15="Long", (G15-F15)*H15*VLOOKUP(D15,Multipliers!A:B,2,FALSE), (F15-G15)*H15*VLOOKUP(D15,Multipliers!A:B,2,FALSE)), "")</f>
        <v/>
      </c>
      <c r="O15" s="7">
        <f>IF(AND(N15&lt;&gt;"",F15&lt;&gt;"",H15&lt;&gt;"",D15&lt;&gt;""), N15/(F15*H15*VLOOKUP(D15,Multipliers!A:B,2,FALSE)), "")</f>
        <v/>
      </c>
      <c r="P15" s="3">
        <f>P14+N15</f>
        <v/>
      </c>
      <c r="Q15" s="3" t="inlineStr">
        <is>
          <t>Break and Retest</t>
        </is>
      </c>
      <c r="R15" s="3" t="inlineStr">
        <is>
          <t>Imported from Tradovate</t>
        </is>
      </c>
      <c r="S15" s="3" t="inlineStr">
        <is>
          <t>MNQ</t>
        </is>
      </c>
      <c r="T15" s="3" t="n"/>
      <c r="U15" s="3" t="n"/>
      <c r="V15" s="3" t="inlineStr">
        <is>
          <t>Overtraded</t>
        </is>
      </c>
      <c r="W15" s="3" t="n"/>
      <c r="X15" s="3" t="n"/>
      <c r="Y15" s="3" t="n"/>
      <c r="Z15" s="3" t="n"/>
      <c r="AA15" s="3" t="n"/>
    </row>
    <row r="16" ht="15.75" customHeight="1">
      <c r="A16" s="3" t="n">
        <v>15</v>
      </c>
      <c r="B16" s="11" t="n">
        <v>46274</v>
      </c>
      <c r="C16" s="8" t="n">
        <v>0.9758912037037037</v>
      </c>
      <c r="D16" s="3" t="inlineStr">
        <is>
          <t>MNQ</t>
        </is>
      </c>
      <c r="E16" s="3" t="inlineStr">
        <is>
          <t>Short</t>
        </is>
      </c>
      <c r="F16" s="5" t="n">
        <v>29403</v>
      </c>
      <c r="G16" s="5" t="n">
        <v>29400.5</v>
      </c>
      <c r="H16" s="3" t="n">
        <v>2</v>
      </c>
      <c r="I16" s="5" t="n">
        <v>29409.5</v>
      </c>
      <c r="J16" s="5" t="n">
        <v>29399.75</v>
      </c>
      <c r="K16" s="6">
        <f>IF(AND(I16&lt;&gt;"",J16&lt;&gt;"",F16&lt;&gt;""), (J16-F16)/(F16-I16), "")</f>
        <v/>
      </c>
      <c r="L16" s="6">
        <f>IF(AND(F16&lt;&gt;"",G16&lt;&gt;"",I16&lt;&gt;""), (G16-F16)/(F16-I16), "")</f>
        <v/>
      </c>
      <c r="M16" s="3">
        <f>IF(N16&gt;0,"Win",IF(N16&lt;0,"Loss",""))</f>
        <v/>
      </c>
      <c r="N16" s="13">
        <f>IF(AND(F16&lt;&gt;"",G16&lt;&gt;"",H16&lt;&gt;"",D16&lt;&gt;""), IF(E16="Long", (G16-F16)*H16*VLOOKUP(D16,Multipliers!A:B,2,FALSE), (F16-G16)*H16*VLOOKUP(D16,Multipliers!A:B,2,FALSE)), "")</f>
        <v/>
      </c>
      <c r="O16" s="7">
        <f>IF(AND(N16&lt;&gt;"",F16&lt;&gt;"",H16&lt;&gt;"",D16&lt;&gt;""), N16/(F16*H16*VLOOKUP(D16,Multipliers!A:B,2,FALSE)), "")</f>
        <v/>
      </c>
      <c r="P16" s="3">
        <f>P15+N16</f>
        <v/>
      </c>
      <c r="Q16" s="3" t="inlineStr">
        <is>
          <t>Break and Retest</t>
        </is>
      </c>
      <c r="R16" s="3" t="inlineStr">
        <is>
          <t>Imported from Tradovate</t>
        </is>
      </c>
      <c r="S16" s="3" t="inlineStr">
        <is>
          <t>MNQ</t>
        </is>
      </c>
      <c r="T16" s="3" t="n"/>
      <c r="U16" s="3" t="n"/>
      <c r="V16" s="3" t="inlineStr">
        <is>
          <t>Overtraded</t>
        </is>
      </c>
      <c r="W16" s="3" t="n"/>
      <c r="X16" s="3" t="n"/>
      <c r="Y16" s="3" t="n"/>
      <c r="Z16" s="3" t="n"/>
      <c r="AA16" s="3" t="n"/>
    </row>
    <row r="17" ht="15.75" customHeight="1">
      <c r="A17" s="3" t="n">
        <v>16</v>
      </c>
      <c r="B17" s="11" t="n">
        <v>46274</v>
      </c>
      <c r="C17" s="8" t="n">
        <v>0.9793981481481482</v>
      </c>
      <c r="D17" s="3" t="inlineStr">
        <is>
          <t>MNQ</t>
        </is>
      </c>
      <c r="E17" s="3" t="inlineStr">
        <is>
          <t>Short</t>
        </is>
      </c>
      <c r="F17" s="5" t="n">
        <v>29402.25</v>
      </c>
      <c r="G17" s="5" t="n">
        <v>29406.75</v>
      </c>
      <c r="H17" s="3" t="n">
        <v>2</v>
      </c>
      <c r="I17" s="5" t="n">
        <v>29406.75</v>
      </c>
      <c r="J17" s="5" t="n">
        <v>29399.25</v>
      </c>
      <c r="K17" s="6">
        <f>IF(AND(I17&lt;&gt;"",J17&lt;&gt;"",F17&lt;&gt;""), (J17-F17)/(F17-I17), "")</f>
        <v/>
      </c>
      <c r="L17" s="6">
        <f>IF(AND(F17&lt;&gt;"",G17&lt;&gt;"",I17&lt;&gt;""), (G17-F17)/(F17-I17), "")</f>
        <v/>
      </c>
      <c r="M17" s="3">
        <f>IF(N17&gt;0,"Win",IF(N17&lt;0,"Loss",""))</f>
        <v/>
      </c>
      <c r="N17" s="13">
        <f>IF(AND(F17&lt;&gt;"",G17&lt;&gt;"",H17&lt;&gt;"",D17&lt;&gt;""), IF(E17="Long", (G17-F17)*H17*VLOOKUP(D17,Multipliers!A:B,2,FALSE), (F17-G17)*H17*VLOOKUP(D17,Multipliers!A:B,2,FALSE)), "")</f>
        <v/>
      </c>
      <c r="O17" s="7">
        <f>IF(AND(N17&lt;&gt;"",F17&lt;&gt;"",H17&lt;&gt;"",D17&lt;&gt;""), N17/(F17*H17*VLOOKUP(D17,Multipliers!A:B,2,FALSE)), "")</f>
        <v/>
      </c>
      <c r="P17" s="3">
        <f>P16+N17</f>
        <v/>
      </c>
      <c r="Q17" s="3" t="inlineStr">
        <is>
          <t>Break and Retest</t>
        </is>
      </c>
      <c r="R17" s="3" t="inlineStr">
        <is>
          <t>Imported from Tradovate</t>
        </is>
      </c>
      <c r="S17" s="3" t="inlineStr">
        <is>
          <t>MNQ</t>
        </is>
      </c>
      <c r="T17" s="3" t="n"/>
      <c r="U17" s="3" t="n"/>
      <c r="V17" s="3" t="inlineStr">
        <is>
          <t>Overtraded</t>
        </is>
      </c>
      <c r="W17" s="3" t="n"/>
      <c r="X17" s="3" t="n"/>
      <c r="Y17" s="3" t="n"/>
      <c r="Z17" s="3" t="n"/>
      <c r="AA17" s="3" t="n"/>
    </row>
    <row r="18" ht="15.75" customHeight="1">
      <c r="A18" s="3" t="n">
        <v>17</v>
      </c>
      <c r="B18" s="11" t="n">
        <v>46274</v>
      </c>
      <c r="C18" s="8" t="n">
        <v>0.9801851851851852</v>
      </c>
      <c r="D18" s="3" t="inlineStr">
        <is>
          <t>MNQ</t>
        </is>
      </c>
      <c r="E18" s="3" t="inlineStr">
        <is>
          <t>Long</t>
        </is>
      </c>
      <c r="F18" s="5" t="n">
        <v>29410.25</v>
      </c>
      <c r="G18" s="5" t="n">
        <v>29412.75</v>
      </c>
      <c r="H18" s="3" t="n">
        <v>2</v>
      </c>
      <c r="I18" s="5" t="n">
        <v>29405.25</v>
      </c>
      <c r="J18" s="5" t="n">
        <v>29412.75</v>
      </c>
      <c r="K18" s="6">
        <f>IF(AND(I18&lt;&gt;"",J18&lt;&gt;"",F18&lt;&gt;""), (J18-F18)/(F18-I18), "")</f>
        <v/>
      </c>
      <c r="L18" s="6">
        <f>IF(AND(F18&lt;&gt;"",G18&lt;&gt;"",I18&lt;&gt;""), (G18-F18)/(F18-I18), "")</f>
        <v/>
      </c>
      <c r="M18" s="3">
        <f>IF(N18&gt;0,"Win",IF(N18&lt;0,"Loss",""))</f>
        <v/>
      </c>
      <c r="N18" s="13">
        <f>IF(AND(F18&lt;&gt;"",G18&lt;&gt;"",H18&lt;&gt;"",D18&lt;&gt;""), IF(E18="Long", (G18-F18)*H18*VLOOKUP(D18,Multipliers!A:B,2,FALSE), (F18-G18)*H18*VLOOKUP(D18,Multipliers!A:B,2,FALSE)), "")</f>
        <v/>
      </c>
      <c r="O18" s="7">
        <f>IF(AND(N18&lt;&gt;"",F18&lt;&gt;"",H18&lt;&gt;"",D18&lt;&gt;""), N18/(F18*H18*VLOOKUP(D18,Multipliers!A:B,2,FALSE)), "")</f>
        <v/>
      </c>
      <c r="P18" s="3">
        <f>P17+N18</f>
        <v/>
      </c>
      <c r="Q18" s="3" t="inlineStr">
        <is>
          <t>Break and Retest</t>
        </is>
      </c>
      <c r="R18" s="3" t="inlineStr">
        <is>
          <t>Imported from Tradovate</t>
        </is>
      </c>
      <c r="S18" s="3" t="inlineStr">
        <is>
          <t>MNQ</t>
        </is>
      </c>
      <c r="T18" s="3" t="n"/>
      <c r="U18" s="3" t="n"/>
      <c r="V18" s="3" t="inlineStr">
        <is>
          <t>Revenge trade, Overtraded</t>
        </is>
      </c>
      <c r="W18" s="3" t="n"/>
      <c r="X18" s="3" t="n"/>
      <c r="Y18" s="3" t="n"/>
      <c r="Z18" s="3" t="n"/>
      <c r="AA18" s="3" t="n"/>
    </row>
    <row r="19" ht="15.75" customHeight="1">
      <c r="A19" s="3" t="n">
        <v>18</v>
      </c>
      <c r="B19" s="11" t="n">
        <v>46275</v>
      </c>
      <c r="C19" s="8" t="n">
        <v>0.36875</v>
      </c>
      <c r="D19" s="3" t="inlineStr">
        <is>
          <t>MGC</t>
        </is>
      </c>
      <c r="E19" s="3" t="inlineStr">
        <is>
          <t>Long</t>
        </is>
      </c>
      <c r="F19" s="5" t="n">
        <v>4396.2</v>
      </c>
      <c r="G19" s="5" t="n">
        <v>4390.9</v>
      </c>
      <c r="H19" s="3" t="n">
        <v>1</v>
      </c>
      <c r="I19" s="5" t="n">
        <v>4390.5</v>
      </c>
      <c r="J19" s="5" t="n">
        <v>4398.8</v>
      </c>
      <c r="K19" s="6">
        <f>IF(AND(I19&lt;&gt;"",J19&lt;&gt;"",F19&lt;&gt;""), (J19-F19)/(F19-I19), "")</f>
        <v/>
      </c>
      <c r="L19" s="6">
        <f>IF(AND(F19&lt;&gt;"",G19&lt;&gt;"",I19&lt;&gt;""), (G19-F19)/(F19-I19), "")</f>
        <v/>
      </c>
      <c r="M19" s="3">
        <f>IF(N19&gt;0,"Win",IF(N19&lt;0,"Loss",""))</f>
        <v/>
      </c>
      <c r="N19" s="13">
        <f>IF(AND(F19&lt;&gt;"",G19&lt;&gt;"",H19&lt;&gt;"",D19&lt;&gt;""), IF(E19="Long", (G19-F19)*H19*VLOOKUP(D19,Multipliers!A:B,2,FALSE), (F19-G19)*H19*VLOOKUP(D19,Multipliers!A:B,2,FALSE)), "")</f>
        <v/>
      </c>
      <c r="O19" s="7">
        <f>IF(AND(N19&lt;&gt;"",F19&lt;&gt;"",H19&lt;&gt;"",D19&lt;&gt;""), N19/(F19*H19*VLOOKUP(D19,Multipliers!A:B,2,FALSE)), "")</f>
        <v/>
      </c>
      <c r="P19" s="3">
        <f>P18+N19</f>
        <v/>
      </c>
      <c r="Q19" s="3" t="inlineStr">
        <is>
          <t>Break and Retest</t>
        </is>
      </c>
      <c r="R19" s="3" t="inlineStr">
        <is>
          <t>Imported from Tradovate</t>
        </is>
      </c>
      <c r="S19" s="3" t="inlineStr">
        <is>
          <t>MGC</t>
        </is>
      </c>
      <c r="T19" s="3" t="n"/>
      <c r="U19" s="3" t="n"/>
      <c r="V19" s="3" t="inlineStr">
        <is>
          <t>Overtraded</t>
        </is>
      </c>
      <c r="W19" s="3" t="n"/>
      <c r="X19" s="3" t="n"/>
      <c r="Y19" s="3" t="n"/>
      <c r="Z19" s="3" t="n"/>
      <c r="AA19" s="3" t="n"/>
    </row>
    <row r="20" ht="15.75" customHeight="1">
      <c r="A20" s="3" t="n">
        <v>19</v>
      </c>
      <c r="B20" s="11" t="n">
        <v>46275</v>
      </c>
      <c r="C20" s="8" t="n">
        <v>0.3717245370370371</v>
      </c>
      <c r="D20" s="3" t="inlineStr">
        <is>
          <t>MGC</t>
        </is>
      </c>
      <c r="E20" s="3" t="inlineStr">
        <is>
          <t>Short</t>
        </is>
      </c>
      <c r="F20" s="5" t="n">
        <v>4383.4</v>
      </c>
      <c r="G20" s="5" t="n">
        <v>4381.2</v>
      </c>
      <c r="H20" s="3" t="n">
        <v>1</v>
      </c>
      <c r="I20" s="5" t="n">
        <v>4388.4</v>
      </c>
      <c r="J20" s="5" t="n">
        <v>4375.2</v>
      </c>
      <c r="K20" s="6">
        <f>IF(AND(I20&lt;&gt;"",J20&lt;&gt;"",F20&lt;&gt;""), (J20-F20)/(F20-I20), "")</f>
        <v/>
      </c>
      <c r="L20" s="6">
        <f>IF(AND(F20&lt;&gt;"",G20&lt;&gt;"",I20&lt;&gt;""), (G20-F20)/(F20-I20), "")</f>
        <v/>
      </c>
      <c r="M20" s="3">
        <f>IF(N20&gt;0,"Win",IF(N20&lt;0,"Loss",""))</f>
        <v/>
      </c>
      <c r="N20" s="13">
        <f>IF(AND(F20&lt;&gt;"",G20&lt;&gt;"",H20&lt;&gt;"",D20&lt;&gt;""), IF(E20="Long", (G20-F20)*H20*VLOOKUP(D20,Multipliers!A:B,2,FALSE), (F20-G20)*H20*VLOOKUP(D20,Multipliers!A:B,2,FALSE)), "")</f>
        <v/>
      </c>
      <c r="O20" s="7">
        <f>IF(AND(N20&lt;&gt;"",F20&lt;&gt;"",H20&lt;&gt;"",D20&lt;&gt;""), N20/(F20*H20*VLOOKUP(D20,Multipliers!A:B,2,FALSE)), "")</f>
        <v/>
      </c>
      <c r="P20" s="3">
        <f>P19+N20</f>
        <v/>
      </c>
      <c r="Q20" s="3" t="inlineStr">
        <is>
          <t>Break and Retest</t>
        </is>
      </c>
      <c r="R20" s="3" t="inlineStr">
        <is>
          <t>Imported from Tradovate</t>
        </is>
      </c>
      <c r="S20" s="3" t="inlineStr">
        <is>
          <t>MGC</t>
        </is>
      </c>
      <c r="T20" s="3" t="n"/>
      <c r="U20" s="3" t="n"/>
      <c r="V20" s="3" t="inlineStr">
        <is>
          <t>Cut winner early, Revenge trade, Overtraded</t>
        </is>
      </c>
      <c r="W20" s="3" t="n"/>
      <c r="X20" s="3" t="n"/>
      <c r="Y20" s="3" t="n"/>
      <c r="Z20" s="3" t="n"/>
      <c r="AA20" s="3" t="n"/>
    </row>
    <row r="21" ht="15.75" customHeight="1">
      <c r="A21" s="3" t="n">
        <v>20</v>
      </c>
      <c r="B21" s="11" t="n">
        <v>46275</v>
      </c>
      <c r="C21" s="8" t="n">
        <v>0.4701273148148148</v>
      </c>
      <c r="D21" s="3" t="inlineStr">
        <is>
          <t>MGC</t>
        </is>
      </c>
      <c r="E21" s="3" t="inlineStr">
        <is>
          <t>Long</t>
        </is>
      </c>
      <c r="F21" s="5" t="n">
        <v>4404.2</v>
      </c>
      <c r="G21" s="5" t="n">
        <v>4406.2</v>
      </c>
      <c r="H21" s="3" t="n">
        <v>1</v>
      </c>
      <c r="I21" s="5" t="n"/>
      <c r="J21" s="5" t="n"/>
      <c r="K21" s="6">
        <f>IF(AND(I21&lt;&gt;"",J21&lt;&gt;"",F21&lt;&gt;""), (J21-F21)/(F21-I21), "")</f>
        <v/>
      </c>
      <c r="L21" s="6">
        <f>IF(AND(F21&lt;&gt;"",G21&lt;&gt;"",I21&lt;&gt;""), (G21-F21)/(F21-I21), "")</f>
        <v/>
      </c>
      <c r="M21" s="3">
        <f>IF(N21&gt;0,"Win",IF(N21&lt;0,"Loss",""))</f>
        <v/>
      </c>
      <c r="N21" s="13">
        <f>IF(AND(F21&lt;&gt;"",G21&lt;&gt;"",H21&lt;&gt;"",D21&lt;&gt;""), IF(E21="Long", (G21-F21)*H21*VLOOKUP(D21,Multipliers!A:B,2,FALSE), (F21-G21)*H21*VLOOKUP(D21,Multipliers!A:B,2,FALSE)), "")</f>
        <v/>
      </c>
      <c r="O21" s="7">
        <f>IF(AND(N21&lt;&gt;"",F21&lt;&gt;"",H21&lt;&gt;"",D21&lt;&gt;""), N21/(F21*H21*VLOOKUP(D21,Multipliers!A:B,2,FALSE)), "")</f>
        <v/>
      </c>
      <c r="P21" s="3">
        <f>P20+N21</f>
        <v/>
      </c>
      <c r="Q21" s="3" t="inlineStr">
        <is>
          <t>Break and Retest</t>
        </is>
      </c>
      <c r="R21" s="3" t="inlineStr">
        <is>
          <t>Imported from Tradovate</t>
        </is>
      </c>
      <c r="S21" s="3" t="inlineStr">
        <is>
          <t>MGC</t>
        </is>
      </c>
      <c r="T21" s="3" t="n"/>
      <c r="U21" s="3" t="n"/>
      <c r="V21" s="3" t="inlineStr">
        <is>
          <t>Overtraded</t>
        </is>
      </c>
      <c r="W21" s="3" t="n"/>
      <c r="X21" s="3" t="n"/>
      <c r="Y21" s="3" t="n"/>
      <c r="Z21" s="3" t="n"/>
      <c r="AA21" s="3" t="n"/>
    </row>
    <row r="22" ht="15.75" customHeight="1">
      <c r="A22" s="3" t="n">
        <v>21</v>
      </c>
      <c r="B22" s="11" t="n">
        <v>46275</v>
      </c>
      <c r="C22" s="8" t="n">
        <v>0.622824074074074</v>
      </c>
      <c r="D22" s="3" t="inlineStr">
        <is>
          <t>MGC</t>
        </is>
      </c>
      <c r="E22" s="3" t="inlineStr">
        <is>
          <t>Long</t>
        </is>
      </c>
      <c r="F22" s="5" t="n">
        <v>4378.4</v>
      </c>
      <c r="G22" s="5" t="n">
        <v>4358.1</v>
      </c>
      <c r="H22" s="3" t="n">
        <v>2</v>
      </c>
      <c r="I22" s="5" t="n"/>
      <c r="J22" s="5" t="n"/>
      <c r="K22" s="6">
        <f>IF(AND(I22&lt;&gt;"",J22&lt;&gt;"",F22&lt;&gt;""), (J22-F22)/(F22-I22), "")</f>
        <v/>
      </c>
      <c r="L22" s="6">
        <f>IF(AND(F22&lt;&gt;"",G22&lt;&gt;"",I22&lt;&gt;""), (G22-F22)/(F22-I22), "")</f>
        <v/>
      </c>
      <c r="M22" s="3">
        <f>IF(N22&gt;0,"Win",IF(N22&lt;0,"Loss",""))</f>
        <v/>
      </c>
      <c r="N22" s="13">
        <f>IF(AND(F22&lt;&gt;"",G22&lt;&gt;"",H22&lt;&gt;"",D22&lt;&gt;""), IF(E22="Long", (G22-F22)*H22*VLOOKUP(D22,Multipliers!A:B,2,FALSE), (F22-G22)*H22*VLOOKUP(D22,Multipliers!A:B,2,FALSE)), "")</f>
        <v/>
      </c>
      <c r="O22" s="7">
        <f>IF(AND(N22&lt;&gt;"",F22&lt;&gt;"",H22&lt;&gt;"",D22&lt;&gt;""), N22/(F22*H22*VLOOKUP(D22,Multipliers!A:B,2,FALSE)), "")</f>
        <v/>
      </c>
      <c r="P22" s="3">
        <f>P21+N22</f>
        <v/>
      </c>
      <c r="Q22" s="3" t="inlineStr">
        <is>
          <t>Break and Retest</t>
        </is>
      </c>
      <c r="R22" s="3" t="inlineStr">
        <is>
          <t>Imported from Tradovate</t>
        </is>
      </c>
      <c r="S22" s="3" t="inlineStr">
        <is>
          <t>MGC</t>
        </is>
      </c>
      <c r="T22" s="3" t="n"/>
      <c r="U22" s="3" t="n"/>
      <c r="V22" s="3" t="inlineStr">
        <is>
          <t>Overtraded</t>
        </is>
      </c>
      <c r="W22" s="3" t="n"/>
      <c r="X22" s="3" t="n"/>
      <c r="Y22" s="3" t="n"/>
      <c r="Z22" s="3" t="n"/>
      <c r="AA22" s="3" t="n"/>
    </row>
    <row r="23" ht="15.75" customHeight="1">
      <c r="A23" s="3" t="n">
        <v>22</v>
      </c>
      <c r="B23" s="11" t="n">
        <v>46275</v>
      </c>
      <c r="C23" s="8" t="n">
        <v>0.8737037037037036</v>
      </c>
      <c r="D23" s="3" t="inlineStr">
        <is>
          <t>MGC</t>
        </is>
      </c>
      <c r="E23" s="3" t="inlineStr">
        <is>
          <t>Short</t>
        </is>
      </c>
      <c r="F23" s="5" t="n">
        <v>4370.7</v>
      </c>
      <c r="G23" s="5" t="n">
        <v>4375.7</v>
      </c>
      <c r="H23" s="3" t="n">
        <v>2</v>
      </c>
      <c r="I23" s="5" t="n">
        <v>4375.7</v>
      </c>
      <c r="J23" s="5" t="n">
        <v>4365.7</v>
      </c>
      <c r="K23" s="6">
        <f>IF(AND(I23&lt;&gt;"",J23&lt;&gt;"",F23&lt;&gt;""), (J23-F23)/(F23-I23), "")</f>
        <v/>
      </c>
      <c r="L23" s="6">
        <f>IF(AND(F23&lt;&gt;"",G23&lt;&gt;"",I23&lt;&gt;""), (G23-F23)/(F23-I23), "")</f>
        <v/>
      </c>
      <c r="M23" s="3">
        <f>IF(N23&gt;0,"Win",IF(N23&lt;0,"Loss",""))</f>
        <v/>
      </c>
      <c r="N23" s="13">
        <f>IF(AND(F23&lt;&gt;"",G23&lt;&gt;"",H23&lt;&gt;"",D23&lt;&gt;""), IF(E23="Long", (G23-F23)*H23*VLOOKUP(D23,Multipliers!A:B,2,FALSE), (F23-G23)*H23*VLOOKUP(D23,Multipliers!A:B,2,FALSE)), "")</f>
        <v/>
      </c>
      <c r="O23" s="7">
        <f>IF(AND(N23&lt;&gt;"",F23&lt;&gt;"",H23&lt;&gt;"",D23&lt;&gt;""), N23/(F23*H23*VLOOKUP(D23,Multipliers!A:B,2,FALSE)), "")</f>
        <v/>
      </c>
      <c r="P23" s="3">
        <f>P22+N23</f>
        <v/>
      </c>
      <c r="Q23" s="3" t="inlineStr">
        <is>
          <t>Break and Retest</t>
        </is>
      </c>
      <c r="R23" s="3" t="inlineStr">
        <is>
          <t>Imported from Tradovate</t>
        </is>
      </c>
      <c r="S23" s="3" t="inlineStr">
        <is>
          <t>MGC</t>
        </is>
      </c>
      <c r="T23" s="3" t="n"/>
      <c r="U23" s="3" t="n"/>
      <c r="V23" s="3" t="inlineStr">
        <is>
          <t>Overtraded</t>
        </is>
      </c>
      <c r="W23" s="3" t="n"/>
      <c r="X23" s="3" t="n"/>
      <c r="Y23" s="3" t="n"/>
      <c r="Z23" s="3" t="n"/>
      <c r="AA23" s="3" t="n"/>
    </row>
    <row r="24" ht="15.75" customHeight="1">
      <c r="A24" s="3" t="n">
        <v>23</v>
      </c>
      <c r="B24" s="11" t="n">
        <v>46275</v>
      </c>
      <c r="C24" s="8" t="n">
        <v>0.8765625</v>
      </c>
      <c r="D24" s="3" t="inlineStr">
        <is>
          <t>MGC</t>
        </is>
      </c>
      <c r="E24" s="3" t="inlineStr">
        <is>
          <t>Long</t>
        </is>
      </c>
      <c r="F24" s="3" t="n">
        <v>4376.5</v>
      </c>
      <c r="G24" s="3" t="n">
        <v>4375.7</v>
      </c>
      <c r="H24" s="3" t="n">
        <v>1</v>
      </c>
      <c r="I24" s="5" t="n"/>
      <c r="J24" s="5" t="n"/>
      <c r="K24" s="6">
        <f>IF(AND(I24&lt;&gt;"",J24&lt;&gt;"",F24&lt;&gt;""), (J24-F24)/(F24-I24), "")</f>
        <v/>
      </c>
      <c r="L24" s="6">
        <f>IF(AND(F24&lt;&gt;"",G24&lt;&gt;"",I24&lt;&gt;""), (G24-F24)/(F24-I24), "")</f>
        <v/>
      </c>
      <c r="M24" s="3">
        <f>IF(N24&gt;0,"Win",IF(N24&lt;0,"Loss",""))</f>
        <v/>
      </c>
      <c r="N24" s="13">
        <f>IF(AND(F24&lt;&gt;"",G24&lt;&gt;"",H24&lt;&gt;"",D24&lt;&gt;""), IF(E24="Long", (G24-F24)*H24*VLOOKUP(D24,Multipliers!A:B,2,FALSE), (F24-G24)*H24*VLOOKUP(D24,Multipliers!A:B,2,FALSE)), "")</f>
        <v/>
      </c>
      <c r="O24" s="7">
        <f>IF(AND(N24&lt;&gt;"",F24&lt;&gt;"",H24&lt;&gt;"",D24&lt;&gt;""), N24/(F24*H24*VLOOKUP(D24,Multipliers!A:B,2,FALSE)), "")</f>
        <v/>
      </c>
      <c r="P24" s="3">
        <f>P23+N24</f>
        <v/>
      </c>
      <c r="Q24" s="3" t="inlineStr">
        <is>
          <t>Break and Retest</t>
        </is>
      </c>
      <c r="R24" s="3" t="inlineStr">
        <is>
          <t>Imported from Tradovate</t>
        </is>
      </c>
      <c r="S24" s="3" t="inlineStr">
        <is>
          <t>MGC</t>
        </is>
      </c>
      <c r="T24" s="3" t="n"/>
      <c r="U24" s="3" t="n"/>
      <c r="V24" s="3" t="inlineStr">
        <is>
          <t>Overtraded</t>
        </is>
      </c>
      <c r="W24" s="3" t="n"/>
      <c r="X24" s="3" t="n"/>
      <c r="Y24" s="3" t="n"/>
      <c r="Z24" s="3" t="n"/>
      <c r="AA24" s="3" t="n"/>
    </row>
    <row r="25" ht="15.75" customHeight="1">
      <c r="A25" s="3" t="n">
        <v>24</v>
      </c>
      <c r="B25" s="11" t="n">
        <v>46275</v>
      </c>
      <c r="C25" s="8" t="n">
        <v>0.8778703703703704</v>
      </c>
      <c r="D25" s="3" t="inlineStr">
        <is>
          <t>MNQ</t>
        </is>
      </c>
      <c r="E25" s="3" t="inlineStr">
        <is>
          <t>Long</t>
        </is>
      </c>
      <c r="F25" s="3" t="n">
        <v>29165</v>
      </c>
      <c r="G25" s="3" t="n">
        <v>29155.67</v>
      </c>
      <c r="H25" s="3" t="n">
        <v>9</v>
      </c>
      <c r="I25" s="3" t="n">
        <v>29155.75</v>
      </c>
      <c r="J25" s="5" t="n">
        <v>29180.75</v>
      </c>
      <c r="K25" s="6">
        <f>IF(AND(I25&lt;&gt;"",J25&lt;&gt;"",F25&lt;&gt;""), (J25-F25)/(F25-I25), "")</f>
        <v/>
      </c>
      <c r="L25" s="6">
        <f>IF(AND(F25&lt;&gt;"",G25&lt;&gt;"",I25&lt;&gt;""), (G25-F25)/(F25-I25), "")</f>
        <v/>
      </c>
      <c r="M25" s="3">
        <f>IF(N25&gt;0,"Win",IF(N25&lt;0,"Loss",""))</f>
        <v/>
      </c>
      <c r="N25" s="13">
        <f>IF(AND(F25&lt;&gt;"",G25&lt;&gt;"",H25&lt;&gt;"",D25&lt;&gt;""), IF(E25="Long", (G25-F25)*H25*VLOOKUP(D25,Multipliers!A:B,2,FALSE), (F25-G25)*H25*VLOOKUP(D25,Multipliers!A:B,2,FALSE)), "")</f>
        <v/>
      </c>
      <c r="O25" s="7">
        <f>IF(AND(N25&lt;&gt;"",F25&lt;&gt;"",H25&lt;&gt;"",D25&lt;&gt;""), N25/(F25*H25*VLOOKUP(D25,Multipliers!A:B,2,FALSE)), "")</f>
        <v/>
      </c>
      <c r="P25" s="3">
        <f>P24+N25</f>
        <v/>
      </c>
      <c r="Q25" s="3" t="inlineStr">
        <is>
          <t>Break and Retest</t>
        </is>
      </c>
      <c r="R25" s="3" t="inlineStr">
        <is>
          <t>Imported from Tradovate</t>
        </is>
      </c>
      <c r="S25" s="3" t="inlineStr">
        <is>
          <t>MNQ</t>
        </is>
      </c>
      <c r="T25" s="3" t="n"/>
      <c r="U25" s="3" t="n"/>
      <c r="V25" s="3" t="inlineStr">
        <is>
          <t>Oversized, Revenge trade, Overtraded</t>
        </is>
      </c>
      <c r="W25" s="3" t="n"/>
      <c r="X25" s="3" t="n"/>
      <c r="Y25" s="3" t="n"/>
      <c r="Z25" s="3" t="n"/>
      <c r="AA25" s="3" t="n"/>
    </row>
    <row r="26" ht="15.75" customHeight="1">
      <c r="A26" s="3" t="n">
        <v>25</v>
      </c>
      <c r="B26" s="11" t="n">
        <v>46288</v>
      </c>
      <c r="C26" s="8" t="n">
        <v>0.4242939814814815</v>
      </c>
      <c r="D26" s="3" t="inlineStr">
        <is>
          <t>MNQ</t>
        </is>
      </c>
      <c r="E26" s="3" t="inlineStr">
        <is>
          <t>Short</t>
        </is>
      </c>
      <c r="F26" s="3" t="n">
        <v>30742.125</v>
      </c>
      <c r="G26" s="3" t="n">
        <v>30708.375</v>
      </c>
      <c r="H26" s="3" t="n">
        <v>2</v>
      </c>
      <c r="I26" s="3" t="n">
        <v>30768.5</v>
      </c>
      <c r="J26" s="5" t="n">
        <v>30708.25</v>
      </c>
      <c r="K26" s="6">
        <f>IF(AND(I26&lt;&gt;"",J26&lt;&gt;"",F26&lt;&gt;""), (J26-F26)/(F26-I26), "")</f>
        <v/>
      </c>
      <c r="L26" s="6">
        <f>IF(AND(F26&lt;&gt;"",G26&lt;&gt;"",I26&lt;&gt;""), (G26-F26)/(F26-I26), "")</f>
        <v/>
      </c>
      <c r="M26" s="3">
        <f>IF(N26&gt;0,"Win",IF(N26&lt;0,"Loss",""))</f>
        <v/>
      </c>
      <c r="N26" s="13">
        <f>IF(AND(F26&lt;&gt;"",G26&lt;&gt;"",H26&lt;&gt;"",D26&lt;&gt;""), IF(E26="Long", (G26-F26)*H26*VLOOKUP(D26,Multipliers!A:B,2,FALSE), (F26-G26)*H26*VLOOKUP(D26,Multipliers!A:B,2,FALSE)), "")</f>
        <v/>
      </c>
      <c r="O26" s="7">
        <f>IF(AND(N26&lt;&gt;"",F26&lt;&gt;"",H26&lt;&gt;"",D26&lt;&gt;""), N26/(F26*H26*VLOOKUP(D26,Multipliers!A:B,2,FALSE)), "")</f>
        <v/>
      </c>
      <c r="P26" s="3">
        <f>P25+N26</f>
        <v/>
      </c>
      <c r="Q26" s="3" t="inlineStr">
        <is>
          <t>Break and Retest</t>
        </is>
      </c>
      <c r="R26" s="3" t="inlineStr">
        <is>
          <t>Imported from Tradovate</t>
        </is>
      </c>
      <c r="S26" s="3" t="inlineStr">
        <is>
          <t>MNQ</t>
        </is>
      </c>
      <c r="T26" s="3" t="n"/>
      <c r="U26" s="3" t="n"/>
      <c r="V26" s="3" t="inlineStr">
        <is>
          <t>Overtraded</t>
        </is>
      </c>
      <c r="W26" s="3" t="n"/>
      <c r="X26" s="3" t="n"/>
      <c r="Y26" s="3" t="n"/>
      <c r="Z26" s="3" t="n"/>
      <c r="AA26" s="3" t="n"/>
    </row>
    <row r="27" ht="15.75" customHeight="1">
      <c r="A27" s="3" t="n">
        <v>26</v>
      </c>
      <c r="B27" s="11" t="n">
        <v>46288</v>
      </c>
      <c r="C27" s="8" t="n">
        <v>0.4315277777777778</v>
      </c>
      <c r="D27" s="3" t="inlineStr">
        <is>
          <t>MGC</t>
        </is>
      </c>
      <c r="E27" s="3" t="inlineStr">
        <is>
          <t>Short</t>
        </is>
      </c>
      <c r="F27" s="3" t="n">
        <v>4316.2</v>
      </c>
      <c r="G27" s="3" t="n">
        <v>4322.2</v>
      </c>
      <c r="H27" s="3" t="n">
        <v>3</v>
      </c>
      <c r="I27" s="3" t="n">
        <v>4322.2</v>
      </c>
      <c r="J27" s="5" t="n">
        <v>4304.2</v>
      </c>
      <c r="K27" s="6">
        <f>IF(AND(I27&lt;&gt;"",J27&lt;&gt;"",F27&lt;&gt;""), (J27-F27)/(F27-I27), "")</f>
        <v/>
      </c>
      <c r="L27" s="6">
        <f>IF(AND(F27&lt;&gt;"",G27&lt;&gt;"",I27&lt;&gt;""), (G27-F27)/(F27-I27), "")</f>
        <v/>
      </c>
      <c r="M27" s="3">
        <f>IF(N27&gt;0,"Win",IF(N27&lt;0,"Loss",""))</f>
        <v/>
      </c>
      <c r="N27" s="13">
        <f>IF(AND(F27&lt;&gt;"",G27&lt;&gt;"",H27&lt;&gt;"",D27&lt;&gt;""), IF(E27="Long", (G27-F27)*H27*VLOOKUP(D27,Multipliers!A:B,2,FALSE), (F27-G27)*H27*VLOOKUP(D27,Multipliers!A:B,2,FALSE)), "")</f>
        <v/>
      </c>
      <c r="O27" s="7">
        <f>IF(AND(N27&lt;&gt;"",F27&lt;&gt;"",H27&lt;&gt;"",D27&lt;&gt;""), N27/(F27*H27*VLOOKUP(D27,Multipliers!A:B,2,FALSE)), "")</f>
        <v/>
      </c>
      <c r="P27" s="3">
        <f>P26+N27</f>
        <v/>
      </c>
      <c r="Q27" s="3" t="inlineStr">
        <is>
          <t>Break and Retest</t>
        </is>
      </c>
      <c r="R27" s="3" t="inlineStr">
        <is>
          <t>Imported from Tradovate</t>
        </is>
      </c>
      <c r="S27" s="3" t="inlineStr">
        <is>
          <t>MGC</t>
        </is>
      </c>
      <c r="T27" s="3" t="n"/>
      <c r="U27" s="3" t="n"/>
      <c r="V27" s="3" t="inlineStr">
        <is>
          <t>Overtraded</t>
        </is>
      </c>
      <c r="W27" s="3" t="n"/>
      <c r="X27" s="3" t="n"/>
      <c r="Y27" s="3" t="n"/>
      <c r="Z27" s="3" t="n"/>
      <c r="AA27" s="3" t="n"/>
    </row>
    <row r="28" ht="15.75" customHeight="1">
      <c r="A28" s="3" t="n">
        <v>27</v>
      </c>
      <c r="B28" s="25" t="n">
        <v>46288</v>
      </c>
      <c r="C28" s="8" t="n">
        <v>0.439375</v>
      </c>
      <c r="D28" s="3" t="inlineStr">
        <is>
          <t>MGC</t>
        </is>
      </c>
      <c r="E28" s="3" t="inlineStr">
        <is>
          <t>Long</t>
        </is>
      </c>
      <c r="F28" s="3" t="n">
        <v>4322.7</v>
      </c>
      <c r="G28" s="3" t="n">
        <v>4325.6</v>
      </c>
      <c r="H28" s="3" t="n">
        <v>3</v>
      </c>
      <c r="I28" s="3" t="n">
        <v>4316.7</v>
      </c>
      <c r="J28" s="5" t="n">
        <v>4325.6</v>
      </c>
      <c r="K28" s="6">
        <f>IF(AND(I28&lt;&gt;"",J28&lt;&gt;"",F28&lt;&gt;""), (J28-F28)/(F28-I28), "")</f>
        <v/>
      </c>
      <c r="L28" s="6">
        <f>IF(AND(F28&lt;&gt;"",G28&lt;&gt;"",I28&lt;&gt;""), (G28-F28)/(F28-I28), "")</f>
        <v/>
      </c>
      <c r="M28" s="3">
        <f>IF(N28&gt;0,"Win",IF(N28&lt;0,"Loss",""))</f>
        <v/>
      </c>
      <c r="N28" s="13">
        <f>IF(AND(F28&lt;&gt;"",G28&lt;&gt;"",H28&lt;&gt;"",D28&lt;&gt;""), IF(E28="Long", (G28-F28)*H28*VLOOKUP(D28,Multipliers!A:B,2,FALSE), (F28-G28)*H28*VLOOKUP(D28,Multipliers!A:B,2,FALSE)), "")</f>
        <v/>
      </c>
      <c r="O28" s="7">
        <f>IF(AND(N28&lt;&gt;"",F28&lt;&gt;"",H28&lt;&gt;"",D28&lt;&gt;""), N28/(F28*H28*VLOOKUP(D28,Multipliers!A:B,2,FALSE)), "")</f>
        <v/>
      </c>
      <c r="P28" s="3">
        <f>P27+N28</f>
        <v/>
      </c>
      <c r="Q28" s="3" t="inlineStr">
        <is>
          <t>Break and Retest</t>
        </is>
      </c>
      <c r="R28" s="3" t="inlineStr">
        <is>
          <t>Imported from Tradovate</t>
        </is>
      </c>
      <c r="S28" s="3" t="inlineStr">
        <is>
          <t>MGC</t>
        </is>
      </c>
      <c r="T28" s="3" t="n"/>
      <c r="U28" s="3" t="n"/>
      <c r="V28" s="3" t="inlineStr">
        <is>
          <t>Revenge trade, Overtraded</t>
        </is>
      </c>
      <c r="W28" s="3" t="n"/>
      <c r="X28" s="3" t="n"/>
      <c r="Y28" s="3" t="n"/>
      <c r="Z28" s="3" t="n"/>
      <c r="AA28" s="3" t="n"/>
    </row>
    <row r="29" ht="15.75" customHeight="1">
      <c r="A29" s="3" t="n">
        <v>28</v>
      </c>
      <c r="B29" s="25" t="n">
        <v>46288</v>
      </c>
      <c r="C29" s="8" t="n">
        <v>0.4433564814814815</v>
      </c>
      <c r="D29" s="3" t="inlineStr">
        <is>
          <t>MNQ</t>
        </is>
      </c>
      <c r="E29" s="3" t="inlineStr">
        <is>
          <t>Short</t>
        </is>
      </c>
      <c r="F29" s="3" t="n">
        <v>30703.5</v>
      </c>
      <c r="G29" s="3" t="n">
        <v>30699</v>
      </c>
      <c r="H29" s="3" t="n">
        <v>2</v>
      </c>
      <c r="I29" s="3" t="n">
        <v>30723.75</v>
      </c>
      <c r="J29" s="5" t="n">
        <v>30699</v>
      </c>
      <c r="K29" s="6">
        <f>IF(AND(I29&lt;&gt;"",J29&lt;&gt;"",F29&lt;&gt;""), (J29-F29)/(F29-I29), "")</f>
        <v/>
      </c>
      <c r="L29" s="6">
        <f>IF(AND(F29&lt;&gt;"",G29&lt;&gt;"",I29&lt;&gt;""), (G29-F29)/(F29-I29), "")</f>
        <v/>
      </c>
      <c r="M29" s="3">
        <f>IF(N29&gt;0,"Win",IF(N29&lt;0,"Loss",""))</f>
        <v/>
      </c>
      <c r="N29" s="13">
        <f>IF(AND(F29&lt;&gt;"",G29&lt;&gt;"",H29&lt;&gt;"",D29&lt;&gt;""), IF(E29="Long", (G29-F29)*H29*VLOOKUP(D29,Multipliers!A:B,2,FALSE), (F29-G29)*H29*VLOOKUP(D29,Multipliers!A:B,2,FALSE)), "")</f>
        <v/>
      </c>
      <c r="O29" s="7">
        <f>IF(AND(N29&lt;&gt;"",F29&lt;&gt;"",H29&lt;&gt;"",D29&lt;&gt;""), N29/(F29*H29*VLOOKUP(D29,Multipliers!A:B,2,FALSE)), "")</f>
        <v/>
      </c>
      <c r="P29" s="3">
        <f>P28+N29</f>
        <v/>
      </c>
      <c r="Q29" s="3" t="inlineStr">
        <is>
          <t>Break and Retest</t>
        </is>
      </c>
      <c r="R29" s="3" t="inlineStr">
        <is>
          <t>Imported from Tradovate</t>
        </is>
      </c>
      <c r="S29" s="3" t="inlineStr">
        <is>
          <t>MNQ</t>
        </is>
      </c>
      <c r="T29" s="3" t="n"/>
      <c r="U29" s="3" t="n"/>
      <c r="V29" s="3" t="inlineStr">
        <is>
          <t>Overtraded</t>
        </is>
      </c>
      <c r="W29" s="3" t="n"/>
      <c r="X29" s="3" t="n"/>
      <c r="Y29" s="3" t="n"/>
      <c r="Z29" s="3" t="n"/>
      <c r="AA29" s="3" t="n"/>
    </row>
    <row r="30" ht="15.75" customHeight="1">
      <c r="A30" s="3" t="n">
        <v>29</v>
      </c>
      <c r="B30" s="25" t="n">
        <v>46288</v>
      </c>
      <c r="C30" s="8" t="n">
        <v>0.4625694444444444</v>
      </c>
      <c r="D30" s="3" t="inlineStr">
        <is>
          <t>MNQ</t>
        </is>
      </c>
      <c r="E30" s="3" t="inlineStr">
        <is>
          <t>Short</t>
        </is>
      </c>
      <c r="F30" s="3" t="n">
        <v>30783.1875</v>
      </c>
      <c r="G30" s="3" t="n">
        <v>30775</v>
      </c>
      <c r="H30" s="3" t="n">
        <v>8</v>
      </c>
      <c r="I30" s="3" t="n">
        <v>30817.75</v>
      </c>
      <c r="J30" s="5" t="n">
        <v>30757.75</v>
      </c>
      <c r="K30" s="6">
        <f>IF(AND(I30&lt;&gt;"",J30&lt;&gt;"",F30&lt;&gt;""), (J30-F30)/(F30-I30), "")</f>
        <v/>
      </c>
      <c r="L30" s="6">
        <f>IF(AND(F30&lt;&gt;"",G30&lt;&gt;"",I30&lt;&gt;""), (G30-F30)/(F30-I30), "")</f>
        <v/>
      </c>
      <c r="M30" s="3">
        <f>IF(N30&gt;0,"Win",IF(N30&lt;0,"Loss",""))</f>
        <v/>
      </c>
      <c r="N30" s="13">
        <f>IF(AND(F30&lt;&gt;"",G30&lt;&gt;"",H30&lt;&gt;"",D30&lt;&gt;""), IF(E30="Long", (G30-F30)*H30*VLOOKUP(D30,Multipliers!A:B,2,FALSE), (F30-G30)*H30*VLOOKUP(D30,Multipliers!A:B,2,FALSE)), "")</f>
        <v/>
      </c>
      <c r="O30" s="7">
        <f>IF(AND(N30&lt;&gt;"",F30&lt;&gt;"",H30&lt;&gt;"",D30&lt;&gt;""), N30/(F30*H30*VLOOKUP(D30,Multipliers!A:B,2,FALSE)), "")</f>
        <v/>
      </c>
      <c r="P30" s="3">
        <f>P29+N30</f>
        <v/>
      </c>
      <c r="Q30" s="3" t="inlineStr">
        <is>
          <t>Break and Retest</t>
        </is>
      </c>
      <c r="R30" s="3" t="inlineStr">
        <is>
          <t>Imported from Tradovate</t>
        </is>
      </c>
      <c r="S30" s="3" t="inlineStr">
        <is>
          <t>MNQ</t>
        </is>
      </c>
      <c r="T30" s="3" t="n"/>
      <c r="U30" s="3" t="n"/>
      <c r="V30" s="3" t="inlineStr">
        <is>
          <t>Oversized, Cut winner early, Overtraded</t>
        </is>
      </c>
      <c r="W30" s="3" t="n"/>
      <c r="X30" s="3" t="n"/>
      <c r="Y30" s="3" t="n"/>
      <c r="Z30" s="3" t="n"/>
      <c r="AA30" s="3" t="n"/>
    </row>
    <row r="31" ht="15.75" customHeight="1">
      <c r="A31" s="3" t="n">
        <v>30</v>
      </c>
      <c r="B31" s="25" t="n">
        <v>46288</v>
      </c>
      <c r="C31" s="8" t="n">
        <v>0.4783101851851852</v>
      </c>
      <c r="D31" s="3" t="inlineStr">
        <is>
          <t>MNQ</t>
        </is>
      </c>
      <c r="E31" s="3" t="inlineStr">
        <is>
          <t>Short</t>
        </is>
      </c>
      <c r="F31" s="3" t="n">
        <v>30777.375</v>
      </c>
      <c r="G31" s="3" t="n">
        <v>30764.5</v>
      </c>
      <c r="H31" s="3" t="n">
        <v>2</v>
      </c>
      <c r="I31" s="3" t="n"/>
      <c r="J31" s="5" t="n">
        <v>30764.5</v>
      </c>
      <c r="K31" s="6">
        <f>IF(AND(I31&lt;&gt;"",J31&lt;&gt;"",F31&lt;&gt;""), (J31-F31)/(F31-I31), "")</f>
        <v/>
      </c>
      <c r="L31" s="6">
        <f>IF(AND(F31&lt;&gt;"",G31&lt;&gt;"",I31&lt;&gt;""), (G31-F31)/(F31-I31), "")</f>
        <v/>
      </c>
      <c r="M31" s="3">
        <f>IF(N31&gt;0,"Win",IF(N31&lt;0,"Loss",""))</f>
        <v/>
      </c>
      <c r="N31" s="13">
        <f>IF(AND(F31&lt;&gt;"",G31&lt;&gt;"",H31&lt;&gt;"",D31&lt;&gt;""), IF(E31="Long", (G31-F31)*H31*VLOOKUP(D31,Multipliers!A:B,2,FALSE), (F31-G31)*H31*VLOOKUP(D31,Multipliers!A:B,2,FALSE)), "")</f>
        <v/>
      </c>
      <c r="O31" s="7">
        <f>IF(AND(N31&lt;&gt;"",F31&lt;&gt;"",H31&lt;&gt;"",D31&lt;&gt;""), N31/(F31*H31*VLOOKUP(D31,Multipliers!A:B,2,FALSE)), "")</f>
        <v/>
      </c>
      <c r="P31" s="3">
        <f>P30+N31</f>
        <v/>
      </c>
      <c r="Q31" s="3" t="inlineStr">
        <is>
          <t>Break and Retest</t>
        </is>
      </c>
      <c r="R31" s="3" t="inlineStr">
        <is>
          <t>Imported from Tradovate</t>
        </is>
      </c>
      <c r="S31" s="3" t="inlineStr">
        <is>
          <t>MNQ</t>
        </is>
      </c>
      <c r="T31" s="3" t="n"/>
      <c r="U31" s="3" t="n"/>
      <c r="V31" s="3" t="inlineStr">
        <is>
          <t>Overtraded</t>
        </is>
      </c>
      <c r="W31" s="3" t="n"/>
      <c r="X31" s="3" t="n"/>
      <c r="Y31" s="3" t="n"/>
      <c r="Z31" s="3" t="n"/>
      <c r="AA31" s="3" t="n"/>
    </row>
    <row r="32" ht="15.75" customHeight="1">
      <c r="A32" s="3" t="n">
        <v>31</v>
      </c>
      <c r="B32" s="25" t="n">
        <v>46288</v>
      </c>
      <c r="C32" s="8" t="n">
        <v>0.5482986111111111</v>
      </c>
      <c r="D32" s="3" t="inlineStr">
        <is>
          <t>MGC</t>
        </is>
      </c>
      <c r="E32" s="3" t="inlineStr">
        <is>
          <t>Short</t>
        </is>
      </c>
      <c r="F32" s="3" t="n">
        <v>4318.9</v>
      </c>
      <c r="G32" s="3" t="n">
        <v>4317.8</v>
      </c>
      <c r="H32" s="3" t="n">
        <v>1</v>
      </c>
      <c r="I32" s="3" t="n">
        <v>4326</v>
      </c>
      <c r="J32" s="5" t="n">
        <v>4317.8</v>
      </c>
      <c r="K32" s="6">
        <f>IF(AND(I32&lt;&gt;"",J32&lt;&gt;"",F32&lt;&gt;""), (J32-F32)/(F32-I32), "")</f>
        <v/>
      </c>
      <c r="L32" s="6">
        <f>IF(AND(F32&lt;&gt;"",G32&lt;&gt;"",I32&lt;&gt;""), (G32-F32)/(F32-I32), "")</f>
        <v/>
      </c>
      <c r="M32" s="3">
        <f>IF(N32&gt;0,"Win",IF(N32&lt;0,"Loss",""))</f>
        <v/>
      </c>
      <c r="N32" s="13">
        <f>IF(AND(F32&lt;&gt;"",G32&lt;&gt;"",H32&lt;&gt;"",D32&lt;&gt;""), IF(E32="Long", (G32-F32)*H32*VLOOKUP(D32,Multipliers!A:B,2,FALSE), (F32-G32)*H32*VLOOKUP(D32,Multipliers!A:B,2,FALSE)), "")</f>
        <v/>
      </c>
      <c r="O32" s="7">
        <f>IF(AND(N32&lt;&gt;"",F32&lt;&gt;"",H32&lt;&gt;"",D32&lt;&gt;""), N32/(F32*H32*VLOOKUP(D32,Multipliers!A:B,2,FALSE)), "")</f>
        <v/>
      </c>
      <c r="P32" s="3">
        <f>P31+N32</f>
        <v/>
      </c>
      <c r="Q32" s="3" t="inlineStr">
        <is>
          <t>Break and Retest</t>
        </is>
      </c>
      <c r="R32" s="3" t="inlineStr">
        <is>
          <t>Imported from Tradovate</t>
        </is>
      </c>
      <c r="S32" s="3" t="inlineStr">
        <is>
          <t>MGC</t>
        </is>
      </c>
      <c r="T32" s="3" t="n"/>
      <c r="U32" s="3" t="n"/>
      <c r="V32" s="3" t="inlineStr">
        <is>
          <t>Overtraded</t>
        </is>
      </c>
      <c r="W32" s="3" t="n"/>
      <c r="X32" s="3" t="n"/>
      <c r="Y32" s="3" t="n"/>
      <c r="Z32" s="3" t="n"/>
      <c r="AA32" s="3" t="n"/>
    </row>
    <row r="33" ht="15.75" customHeight="1">
      <c r="A33" s="3" t="n">
        <v>32</v>
      </c>
      <c r="B33" s="25" t="n">
        <v>46288</v>
      </c>
      <c r="C33" s="8" t="n">
        <v>0.5492476851851852</v>
      </c>
      <c r="D33" s="3" t="inlineStr">
        <is>
          <t>MNQ</t>
        </is>
      </c>
      <c r="E33" s="3" t="inlineStr">
        <is>
          <t>Short</t>
        </is>
      </c>
      <c r="F33" s="3" t="n">
        <v>30692.5</v>
      </c>
      <c r="G33" s="3" t="n">
        <v>30687</v>
      </c>
      <c r="H33" s="3" t="n">
        <v>2</v>
      </c>
      <c r="I33" s="3" t="n"/>
      <c r="J33" s="5" t="n">
        <v>30687</v>
      </c>
      <c r="K33" s="6">
        <f>IF(AND(I33&lt;&gt;"",J33&lt;&gt;"",F33&lt;&gt;""), (J33-F33)/(F33-I33), "")</f>
        <v/>
      </c>
      <c r="L33" s="6">
        <f>IF(AND(F33&lt;&gt;"",G33&lt;&gt;"",I33&lt;&gt;""), (G33-F33)/(F33-I33), "")</f>
        <v/>
      </c>
      <c r="M33" s="3">
        <f>IF(N33&gt;0,"Win",IF(N33&lt;0,"Loss",""))</f>
        <v/>
      </c>
      <c r="N33" s="13">
        <f>IF(AND(F33&lt;&gt;"",G33&lt;&gt;"",H33&lt;&gt;"",D33&lt;&gt;""), IF(E33="Long", (G33-F33)*H33*VLOOKUP(D33,Multipliers!A:B,2,FALSE), (F33-G33)*H33*VLOOKUP(D33,Multipliers!A:B,2,FALSE)), "")</f>
        <v/>
      </c>
      <c r="O33" s="7">
        <f>IF(AND(N33&lt;&gt;"",F33&lt;&gt;"",H33&lt;&gt;"",D33&lt;&gt;""), N33/(F33*H33*VLOOKUP(D33,Multipliers!A:B,2,FALSE)), "")</f>
        <v/>
      </c>
      <c r="P33" s="3">
        <f>P32+N33</f>
        <v/>
      </c>
      <c r="Q33" s="3" t="inlineStr">
        <is>
          <t>Break and Retest</t>
        </is>
      </c>
      <c r="R33" s="3" t="inlineStr">
        <is>
          <t>Imported from Tradovate</t>
        </is>
      </c>
      <c r="S33" s="3" t="inlineStr">
        <is>
          <t>MNQ</t>
        </is>
      </c>
      <c r="T33" s="3" t="n"/>
      <c r="U33" s="3" t="n"/>
      <c r="V33" s="3" t="inlineStr">
        <is>
          <t>Overtraded</t>
        </is>
      </c>
      <c r="W33" s="3" t="n"/>
      <c r="X33" s="3" t="n"/>
      <c r="Y33" s="3" t="n"/>
      <c r="Z33" s="3" t="n"/>
      <c r="AA33" s="3" t="n"/>
    </row>
    <row r="34" ht="15.75" customHeight="1">
      <c r="A34" s="3" t="n">
        <v>33</v>
      </c>
      <c r="B34" s="25" t="n">
        <v>46288</v>
      </c>
      <c r="C34" s="8" t="n">
        <v>0.572037037037037</v>
      </c>
      <c r="D34" s="3" t="inlineStr">
        <is>
          <t>MNQ</t>
        </is>
      </c>
      <c r="E34" s="3" t="inlineStr">
        <is>
          <t>Short</t>
        </is>
      </c>
      <c r="F34" s="3" t="n">
        <v>30741.625</v>
      </c>
      <c r="G34" s="3" t="n">
        <v>30739.25</v>
      </c>
      <c r="H34" s="3" t="n">
        <v>2</v>
      </c>
      <c r="I34" s="3" t="n"/>
      <c r="J34" s="5" t="n">
        <v>30739.25</v>
      </c>
      <c r="K34" s="6">
        <f>IF(AND(I34&lt;&gt;"",J34&lt;&gt;"",F34&lt;&gt;""), (J34-F34)/(F34-I34), "")</f>
        <v/>
      </c>
      <c r="L34" s="6">
        <f>IF(AND(F34&lt;&gt;"",G34&lt;&gt;"",I34&lt;&gt;""), (G34-F34)/(F34-I34), "")</f>
        <v/>
      </c>
      <c r="M34" s="3">
        <f>IF(N34&gt;0,"Win",IF(N34&lt;0,"Loss",""))</f>
        <v/>
      </c>
      <c r="N34" s="13">
        <f>IF(AND(F34&lt;&gt;"",G34&lt;&gt;"",H34&lt;&gt;"",D34&lt;&gt;""), IF(E34="Long", (G34-F34)*H34*VLOOKUP(D34,Multipliers!A:B,2,FALSE), (F34-G34)*H34*VLOOKUP(D34,Multipliers!A:B,2,FALSE)), "")</f>
        <v/>
      </c>
      <c r="O34" s="7">
        <f>IF(AND(N34&lt;&gt;"",F34&lt;&gt;"",H34&lt;&gt;"",D34&lt;&gt;""), N34/(F34*H34*VLOOKUP(D34,Multipliers!A:B,2,FALSE)), "")</f>
        <v/>
      </c>
      <c r="P34" s="3">
        <f>P33+N34</f>
        <v/>
      </c>
      <c r="Q34" s="3" t="inlineStr">
        <is>
          <t>Break and Retest</t>
        </is>
      </c>
      <c r="R34" s="3" t="inlineStr">
        <is>
          <t>Imported from Tradovate</t>
        </is>
      </c>
      <c r="S34" s="3" t="inlineStr">
        <is>
          <t>MNQ</t>
        </is>
      </c>
      <c r="T34" s="3" t="n"/>
      <c r="U34" s="3" t="n"/>
      <c r="V34" s="3" t="inlineStr">
        <is>
          <t>Overtraded</t>
        </is>
      </c>
      <c r="W34" s="3" t="n"/>
      <c r="X34" s="3" t="n"/>
      <c r="Y34" s="3" t="n"/>
      <c r="Z34" s="3" t="n"/>
      <c r="AA34" s="3" t="n"/>
    </row>
    <row r="35" ht="15.75" customHeight="1">
      <c r="A35" s="3" t="n"/>
      <c r="B35" s="11" t="n"/>
      <c r="C35" s="8" t="n"/>
      <c r="D35" s="3" t="n"/>
      <c r="E35" s="3" t="n"/>
      <c r="F35" s="3" t="n"/>
      <c r="G35" s="3" t="n"/>
      <c r="H35" s="3" t="n"/>
      <c r="I35" s="3" t="n"/>
      <c r="J35" s="5" t="n"/>
      <c r="K35" s="6" t="n"/>
      <c r="L35" s="6" t="n"/>
      <c r="M35" s="3" t="n"/>
      <c r="N35" s="13" t="n"/>
      <c r="O35" s="7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</row>
    <row r="36" ht="15.75" customHeight="1">
      <c r="A36" s="3" t="n"/>
      <c r="B36" s="11" t="n"/>
      <c r="C36" s="8" t="n"/>
      <c r="D36" s="3" t="n"/>
      <c r="E36" s="3" t="n"/>
      <c r="F36" s="3" t="n"/>
      <c r="G36" s="3" t="n"/>
      <c r="H36" s="3" t="n"/>
      <c r="I36" s="3" t="n"/>
      <c r="J36" s="5" t="n"/>
      <c r="K36" s="6" t="n"/>
      <c r="L36" s="6" t="n"/>
      <c r="M36" s="3" t="n"/>
      <c r="N36" s="13" t="n"/>
      <c r="O36" s="7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</row>
    <row r="37" ht="15.75" customHeight="1">
      <c r="A37" s="3" t="n"/>
      <c r="B37" s="11" t="n"/>
      <c r="C37" s="8" t="n"/>
      <c r="D37" s="3" t="n"/>
      <c r="E37" s="3" t="n"/>
      <c r="F37" s="3" t="n"/>
      <c r="G37" s="3" t="n"/>
      <c r="H37" s="3" t="n"/>
      <c r="I37" s="3" t="n"/>
      <c r="J37" s="5" t="n"/>
      <c r="K37" s="6" t="n"/>
      <c r="L37" s="6" t="n"/>
      <c r="M37" s="3" t="n"/>
      <c r="N37" s="13" t="n"/>
      <c r="O37" s="7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</row>
    <row r="38" ht="15.75" customHeight="1">
      <c r="A38" s="3" t="n"/>
      <c r="B38" s="11" t="n"/>
      <c r="C38" s="8" t="n"/>
      <c r="D38" s="3" t="n"/>
      <c r="E38" s="3" t="n"/>
      <c r="F38" s="3" t="n"/>
      <c r="G38" s="3" t="n"/>
      <c r="H38" s="3" t="n"/>
      <c r="I38" s="3" t="n"/>
      <c r="J38" s="3" t="n"/>
      <c r="K38" s="6" t="n"/>
      <c r="L38" s="6" t="n"/>
      <c r="M38" s="3" t="n"/>
      <c r="N38" s="13" t="n"/>
      <c r="O38" s="7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</row>
    <row r="39" ht="15.75" customHeight="1">
      <c r="A39" s="3" t="n"/>
      <c r="B39" s="11" t="n"/>
      <c r="C39" s="8" t="n"/>
      <c r="D39" s="3" t="n"/>
      <c r="E39" s="3" t="n"/>
      <c r="F39" s="3" t="n"/>
      <c r="G39" s="3" t="n"/>
      <c r="H39" s="3" t="n"/>
      <c r="I39" s="3" t="n"/>
      <c r="J39" s="3" t="n"/>
      <c r="K39" s="6" t="n"/>
      <c r="L39" s="6" t="n"/>
      <c r="M39" s="3" t="n"/>
      <c r="N39" s="13" t="n"/>
      <c r="O39" s="7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</row>
    <row r="40" ht="15.75" customHeight="1">
      <c r="A40" s="3" t="n"/>
      <c r="B40" s="11" t="n"/>
      <c r="C40" s="8" t="n"/>
      <c r="D40" s="3" t="n"/>
      <c r="E40" s="3" t="n"/>
      <c r="F40" s="3" t="n"/>
      <c r="G40" s="3" t="n"/>
      <c r="H40" s="3" t="n"/>
      <c r="I40" s="3" t="n"/>
      <c r="J40" s="3" t="n"/>
      <c r="K40" s="6" t="n"/>
      <c r="L40" s="6" t="n"/>
      <c r="M40" s="3" t="n"/>
      <c r="N40" s="13" t="n"/>
      <c r="O40" s="7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</row>
    <row r="41" ht="15.75" customHeight="1">
      <c r="A41" s="3" t="n"/>
      <c r="B41" s="11" t="n"/>
      <c r="C41" s="8" t="n"/>
      <c r="D41" s="3" t="n"/>
      <c r="E41" s="3" t="n"/>
      <c r="F41" s="3" t="n"/>
      <c r="G41" s="3" t="n"/>
      <c r="H41" s="3" t="n"/>
      <c r="I41" s="3" t="n"/>
      <c r="J41" s="3" t="n"/>
      <c r="K41" s="6" t="n"/>
      <c r="L41" s="6" t="n"/>
      <c r="M41" s="3" t="n"/>
      <c r="N41" s="13" t="n"/>
      <c r="O41" s="7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</row>
    <row r="42" ht="15.75" customHeight="1">
      <c r="A42" s="3" t="n"/>
      <c r="B42" s="11" t="n"/>
      <c r="C42" s="8" t="n"/>
      <c r="D42" s="3" t="n"/>
      <c r="E42" s="3" t="n"/>
      <c r="F42" s="3" t="n"/>
      <c r="G42" s="3" t="n"/>
      <c r="H42" s="3" t="n"/>
      <c r="I42" s="3" t="n"/>
      <c r="J42" s="3" t="n"/>
      <c r="K42" s="6" t="n"/>
      <c r="L42" s="6" t="n"/>
      <c r="M42" s="3" t="n"/>
      <c r="N42" s="13" t="n"/>
      <c r="O42" s="7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</row>
    <row r="43" ht="15.75" customHeight="1">
      <c r="A43" s="3" t="n"/>
      <c r="B43" s="11" t="n"/>
      <c r="C43" s="8" t="n"/>
      <c r="D43" s="3" t="n"/>
      <c r="E43" s="3" t="n"/>
      <c r="F43" s="3" t="n"/>
      <c r="G43" s="3" t="n"/>
      <c r="H43" s="3" t="n"/>
      <c r="I43" s="3" t="n"/>
      <c r="J43" s="3" t="n"/>
      <c r="K43" s="6" t="n"/>
      <c r="L43" s="6" t="n"/>
      <c r="M43" s="3" t="n"/>
      <c r="N43" s="13" t="n"/>
      <c r="O43" s="7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</row>
    <row r="44" ht="15.75" customHeight="1">
      <c r="A44" s="3" t="n"/>
      <c r="B44" s="11" t="n"/>
      <c r="C44" s="8" t="n"/>
      <c r="D44" s="3" t="n"/>
      <c r="E44" s="3" t="n"/>
      <c r="F44" s="3" t="n"/>
      <c r="G44" s="3" t="n"/>
      <c r="H44" s="3" t="n"/>
      <c r="I44" s="3" t="n"/>
      <c r="J44" s="3" t="n"/>
      <c r="K44" s="6" t="n"/>
      <c r="L44" s="6" t="n"/>
      <c r="M44" s="3" t="n"/>
      <c r="N44" s="13" t="n"/>
      <c r="O44" s="7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</row>
    <row r="45" ht="15.75" customHeight="1">
      <c r="A45" s="3" t="n"/>
      <c r="B45" s="11" t="n"/>
      <c r="C45" s="8" t="n"/>
      <c r="D45" s="3" t="n"/>
      <c r="E45" s="3" t="n"/>
      <c r="F45" s="3" t="n"/>
      <c r="G45" s="3" t="n"/>
      <c r="H45" s="3" t="n"/>
      <c r="I45" s="3" t="n"/>
      <c r="J45" s="3" t="n"/>
      <c r="K45" s="6" t="n"/>
      <c r="L45" s="6" t="n"/>
      <c r="M45" s="3" t="n"/>
      <c r="N45" s="13" t="n"/>
      <c r="O45" s="7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</row>
    <row r="46" ht="15.75" customHeight="1">
      <c r="A46" s="3" t="n"/>
      <c r="B46" s="11" t="n"/>
      <c r="C46" s="8" t="n"/>
      <c r="D46" s="3" t="n"/>
      <c r="E46" s="3" t="n"/>
      <c r="F46" s="3" t="n"/>
      <c r="G46" s="3" t="n"/>
      <c r="H46" s="3" t="n"/>
      <c r="I46" s="3" t="n"/>
      <c r="J46" s="3" t="n"/>
      <c r="K46" s="6" t="n"/>
      <c r="L46" s="6" t="n"/>
      <c r="M46" s="3" t="n"/>
      <c r="N46" s="13" t="n"/>
      <c r="O46" s="7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</row>
    <row r="47" ht="15.75" customHeight="1">
      <c r="A47" s="3" t="n"/>
      <c r="B47" s="11" t="n"/>
      <c r="C47" s="8" t="n"/>
      <c r="D47" s="3" t="n"/>
      <c r="E47" s="3" t="n"/>
      <c r="F47" s="3" t="n"/>
      <c r="G47" s="3" t="n"/>
      <c r="H47" s="3" t="n"/>
      <c r="I47" s="3" t="n"/>
      <c r="J47" s="3" t="n"/>
      <c r="K47" s="6" t="n"/>
      <c r="L47" s="6" t="n"/>
      <c r="M47" s="3" t="n"/>
      <c r="N47" s="13" t="n"/>
      <c r="O47" s="7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</row>
    <row r="48" ht="15.75" customHeight="1">
      <c r="A48" s="3" t="n"/>
      <c r="B48" s="11" t="n"/>
      <c r="C48" s="8" t="n"/>
      <c r="D48" s="3" t="n"/>
      <c r="E48" s="3" t="n"/>
      <c r="F48" s="3" t="n"/>
      <c r="G48" s="3" t="n"/>
      <c r="H48" s="3" t="n"/>
      <c r="I48" s="3" t="n"/>
      <c r="J48" s="3" t="n"/>
      <c r="K48" s="6" t="n"/>
      <c r="L48" s="6" t="n"/>
      <c r="M48" s="3" t="n"/>
      <c r="N48" s="13" t="n"/>
      <c r="O48" s="7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</row>
    <row r="49" ht="15.75" customHeight="1">
      <c r="A49" s="3" t="n"/>
      <c r="B49" s="11" t="n"/>
      <c r="C49" s="8" t="n"/>
      <c r="D49" s="3" t="n"/>
      <c r="E49" s="3" t="n"/>
      <c r="F49" s="3" t="n"/>
      <c r="G49" s="3" t="n"/>
      <c r="H49" s="3" t="n"/>
      <c r="I49" s="3" t="n"/>
      <c r="J49" s="3" t="n"/>
      <c r="K49" s="6" t="n"/>
      <c r="L49" s="6" t="n"/>
      <c r="M49" s="3" t="n"/>
      <c r="N49" s="13" t="n"/>
      <c r="O49" s="7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</row>
    <row r="50" ht="15.75" customHeight="1">
      <c r="A50" s="3" t="n"/>
      <c r="B50" s="11" t="n"/>
      <c r="C50" s="8" t="n"/>
      <c r="D50" s="3" t="n"/>
      <c r="E50" s="3" t="n"/>
      <c r="F50" s="3" t="n"/>
      <c r="G50" s="3" t="n"/>
      <c r="H50" s="3" t="n"/>
      <c r="I50" s="3" t="n"/>
      <c r="J50" s="3" t="n"/>
      <c r="K50" s="6" t="n"/>
      <c r="L50" s="6" t="n"/>
      <c r="M50" s="3" t="n"/>
      <c r="N50" s="13" t="n"/>
      <c r="O50" s="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</row>
    <row r="51" ht="15.75" customHeight="1">
      <c r="A51" s="3" t="n"/>
      <c r="B51" s="11" t="n"/>
      <c r="C51" s="8" t="n"/>
      <c r="D51" s="3" t="n"/>
      <c r="E51" s="3" t="n"/>
      <c r="F51" s="3" t="n"/>
      <c r="G51" s="3" t="n"/>
      <c r="H51" s="3" t="n"/>
      <c r="I51" s="3" t="n"/>
      <c r="J51" s="3" t="n"/>
      <c r="K51" s="6" t="n"/>
      <c r="L51" s="6" t="n"/>
      <c r="M51" s="3" t="n"/>
      <c r="N51" s="13" t="n"/>
      <c r="O51" s="7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</row>
    <row r="52" ht="15.75" customHeight="1">
      <c r="A52" s="3" t="n"/>
      <c r="B52" s="11" t="n"/>
      <c r="C52" s="8" t="n"/>
      <c r="D52" s="3" t="n"/>
      <c r="E52" s="3" t="n"/>
      <c r="F52" s="3" t="n"/>
      <c r="G52" s="3" t="n"/>
      <c r="H52" s="3" t="n"/>
      <c r="I52" s="3" t="n"/>
      <c r="J52" s="3" t="n"/>
      <c r="K52" s="6" t="n"/>
      <c r="L52" s="6" t="n"/>
      <c r="M52" s="3" t="n"/>
      <c r="N52" s="13" t="n"/>
      <c r="O52" s="7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</row>
    <row r="53" ht="15.75" customHeight="1">
      <c r="A53" s="3" t="n"/>
      <c r="B53" s="11" t="n"/>
      <c r="C53" s="8" t="n"/>
      <c r="D53" s="3" t="n"/>
      <c r="E53" s="3" t="n"/>
      <c r="F53" s="3" t="n"/>
      <c r="G53" s="3" t="n"/>
      <c r="H53" s="3" t="n"/>
      <c r="I53" s="3" t="n"/>
      <c r="J53" s="3" t="n"/>
      <c r="K53" s="6" t="n"/>
      <c r="L53" s="6" t="n"/>
      <c r="M53" s="3" t="n"/>
      <c r="N53" s="13" t="n"/>
      <c r="O53" s="7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</row>
    <row r="54" ht="15.75" customHeight="1">
      <c r="A54" s="3" t="n"/>
      <c r="B54" s="11" t="n"/>
      <c r="C54" s="8" t="n"/>
      <c r="D54" s="3" t="n"/>
      <c r="E54" s="3" t="n"/>
      <c r="F54" s="3" t="n"/>
      <c r="G54" s="3" t="n"/>
      <c r="H54" s="3" t="n"/>
      <c r="I54" s="3" t="n"/>
      <c r="J54" s="3" t="n"/>
      <c r="K54" s="6" t="n"/>
      <c r="L54" s="6" t="n"/>
      <c r="M54" s="3" t="n"/>
      <c r="N54" s="13" t="n"/>
      <c r="O54" s="7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</row>
    <row r="55" ht="15.75" customHeight="1">
      <c r="A55" s="3" t="n"/>
      <c r="B55" s="11" t="n"/>
      <c r="C55" s="8" t="n"/>
      <c r="D55" s="3" t="n"/>
      <c r="E55" s="3" t="n"/>
      <c r="F55" s="3" t="n"/>
      <c r="G55" s="3" t="n"/>
      <c r="H55" s="3" t="n"/>
      <c r="I55" s="3" t="n"/>
      <c r="J55" s="3" t="n"/>
      <c r="K55" s="6" t="n"/>
      <c r="L55" s="6" t="n"/>
      <c r="M55" s="3" t="n"/>
      <c r="N55" s="13" t="n"/>
      <c r="O55" s="7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</row>
    <row r="56" ht="15.75" customHeight="1">
      <c r="A56" s="3" t="n"/>
      <c r="B56" s="11" t="n"/>
      <c r="C56" s="8" t="n"/>
      <c r="D56" s="3" t="n"/>
      <c r="E56" s="3" t="n"/>
      <c r="F56" s="3" t="n"/>
      <c r="G56" s="3" t="n"/>
      <c r="H56" s="3" t="n"/>
      <c r="I56" s="3" t="n"/>
      <c r="J56" s="3" t="n"/>
      <c r="K56" s="6" t="n"/>
      <c r="L56" s="6" t="n"/>
      <c r="M56" s="3" t="n"/>
      <c r="N56" s="13" t="n"/>
      <c r="O56" s="7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</row>
    <row r="57" ht="15.75" customHeight="1">
      <c r="A57" s="3" t="n"/>
      <c r="B57" s="11" t="n"/>
      <c r="C57" s="8" t="n"/>
      <c r="D57" s="3" t="n"/>
      <c r="E57" s="3" t="n"/>
      <c r="F57" s="3" t="n"/>
      <c r="G57" s="3" t="n"/>
      <c r="H57" s="3" t="n"/>
      <c r="I57" s="3" t="n"/>
      <c r="J57" s="3" t="n"/>
      <c r="K57" s="6" t="n"/>
      <c r="L57" s="6" t="n"/>
      <c r="M57" s="3" t="n"/>
      <c r="N57" s="13" t="n"/>
      <c r="O57" s="7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</row>
    <row r="58" ht="15.75" customHeight="1">
      <c r="A58" s="3" t="n"/>
      <c r="B58" s="11" t="n"/>
      <c r="C58" s="8" t="n"/>
      <c r="D58" s="3" t="n"/>
      <c r="E58" s="3" t="n"/>
      <c r="F58" s="3" t="n"/>
      <c r="G58" s="3" t="n"/>
      <c r="H58" s="3" t="n"/>
      <c r="I58" s="3" t="n"/>
      <c r="J58" s="3" t="n"/>
      <c r="K58" s="6" t="n"/>
      <c r="L58" s="6" t="n"/>
      <c r="M58" s="3" t="n"/>
      <c r="N58" s="13" t="n"/>
      <c r="O58" s="7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</row>
    <row r="59" ht="15.75" customHeight="1">
      <c r="A59" s="3" t="n"/>
      <c r="B59" s="11" t="n"/>
      <c r="C59" s="8" t="n"/>
      <c r="D59" s="3" t="n"/>
      <c r="E59" s="3" t="n"/>
      <c r="F59" s="3" t="n"/>
      <c r="G59" s="3" t="n"/>
      <c r="H59" s="3" t="n"/>
      <c r="I59" s="3" t="n"/>
      <c r="J59" s="3" t="n"/>
      <c r="K59" s="6" t="n"/>
      <c r="L59" s="6" t="n"/>
      <c r="M59" s="3" t="n"/>
      <c r="N59" s="13" t="n"/>
      <c r="O59" s="7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</row>
    <row r="60" ht="15.75" customHeight="1">
      <c r="A60" s="3" t="n"/>
      <c r="B60" s="11" t="n"/>
      <c r="C60" s="8" t="n"/>
      <c r="D60" s="3" t="n"/>
      <c r="E60" s="3" t="n"/>
      <c r="F60" s="3" t="n"/>
      <c r="G60" s="3" t="n"/>
      <c r="H60" s="3" t="n"/>
      <c r="I60" s="3" t="n"/>
      <c r="J60" s="3" t="n"/>
      <c r="K60" s="6" t="n"/>
      <c r="L60" s="6" t="n"/>
      <c r="M60" s="3" t="n"/>
      <c r="N60" s="13" t="n"/>
      <c r="O60" s="7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</row>
    <row r="61" ht="15.75" customHeight="1">
      <c r="A61" s="3" t="n"/>
      <c r="B61" s="11" t="n"/>
      <c r="C61" s="8" t="n"/>
      <c r="D61" s="3" t="n"/>
      <c r="E61" s="3" t="n"/>
      <c r="F61" s="3" t="n"/>
      <c r="G61" s="3" t="n"/>
      <c r="H61" s="3" t="n"/>
      <c r="I61" s="3" t="n"/>
      <c r="J61" s="3" t="n"/>
      <c r="K61" s="6" t="n"/>
      <c r="L61" s="6" t="n"/>
      <c r="M61" s="3" t="n"/>
      <c r="N61" s="13" t="n"/>
      <c r="O61" s="7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</row>
    <row r="62" ht="15.75" customHeight="1">
      <c r="A62" s="3" t="n"/>
      <c r="B62" s="11" t="n"/>
      <c r="C62" s="8" t="n"/>
      <c r="D62" s="3" t="n"/>
      <c r="E62" s="3" t="n"/>
      <c r="F62" s="3" t="n"/>
      <c r="G62" s="3" t="n"/>
      <c r="H62" s="3" t="n"/>
      <c r="I62" s="3" t="n"/>
      <c r="J62" s="3" t="n"/>
      <c r="K62" s="6" t="n"/>
      <c r="L62" s="6" t="n"/>
      <c r="M62" s="3" t="n"/>
      <c r="N62" s="13" t="n"/>
      <c r="O62" s="7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</row>
    <row r="63" ht="15.75" customHeight="1">
      <c r="A63" s="3" t="n"/>
      <c r="B63" s="11" t="n"/>
      <c r="C63" s="8" t="n"/>
      <c r="D63" s="3" t="n"/>
      <c r="E63" s="3" t="n"/>
      <c r="F63" s="3" t="n"/>
      <c r="G63" s="3" t="n"/>
      <c r="H63" s="3" t="n"/>
      <c r="I63" s="3" t="n"/>
      <c r="J63" s="3" t="n"/>
      <c r="K63" s="6" t="n"/>
      <c r="L63" s="6" t="n"/>
      <c r="M63" s="3" t="n"/>
      <c r="N63" s="13" t="n"/>
      <c r="O63" s="7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</row>
    <row r="64" ht="15.75" customHeight="1">
      <c r="A64" s="3" t="n"/>
      <c r="B64" s="11" t="n"/>
      <c r="C64" s="8" t="n"/>
      <c r="D64" s="3" t="n"/>
      <c r="E64" s="3" t="n"/>
      <c r="F64" s="3" t="n"/>
      <c r="G64" s="3" t="n"/>
      <c r="H64" s="3" t="n"/>
      <c r="I64" s="3" t="n"/>
      <c r="J64" s="3" t="n"/>
      <c r="K64" s="6" t="n"/>
      <c r="L64" s="6" t="n"/>
      <c r="M64" s="3" t="n"/>
      <c r="N64" s="13" t="n"/>
      <c r="O64" s="7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</row>
    <row r="65" ht="15.75" customHeight="1">
      <c r="A65" s="3" t="n"/>
      <c r="B65" s="11" t="n"/>
      <c r="C65" s="8" t="n"/>
      <c r="D65" s="3" t="n"/>
      <c r="E65" s="3" t="n"/>
      <c r="F65" s="3" t="n"/>
      <c r="G65" s="3" t="n"/>
      <c r="H65" s="3" t="n"/>
      <c r="I65" s="3" t="n"/>
      <c r="J65" s="3" t="n"/>
      <c r="K65" s="6" t="n"/>
      <c r="L65" s="6" t="n"/>
      <c r="M65" s="3" t="n"/>
      <c r="N65" s="13" t="n"/>
      <c r="O65" s="7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</row>
    <row r="66" ht="15.75" customHeight="1">
      <c r="A66" s="3" t="n"/>
      <c r="B66" s="11" t="n"/>
      <c r="C66" s="8" t="n"/>
      <c r="D66" s="3" t="n"/>
      <c r="E66" s="3" t="n"/>
      <c r="F66" s="3" t="n"/>
      <c r="G66" s="3" t="n"/>
      <c r="H66" s="3" t="n"/>
      <c r="I66" s="3" t="n"/>
      <c r="J66" s="3" t="n"/>
      <c r="K66" s="6" t="n"/>
      <c r="L66" s="6" t="n"/>
      <c r="M66" s="3" t="n"/>
      <c r="N66" s="13" t="n"/>
      <c r="O66" s="7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</row>
    <row r="67" ht="15.75" customHeight="1">
      <c r="A67" s="3" t="n"/>
      <c r="B67" s="11" t="n"/>
      <c r="C67" s="8" t="n"/>
      <c r="D67" s="3" t="n"/>
      <c r="E67" s="3" t="n"/>
      <c r="F67" s="3" t="n"/>
      <c r="G67" s="3" t="n"/>
      <c r="H67" s="3" t="n"/>
      <c r="I67" s="3" t="n"/>
      <c r="J67" s="3" t="n"/>
      <c r="K67" s="6" t="n"/>
      <c r="L67" s="6" t="n"/>
      <c r="M67" s="3" t="n"/>
      <c r="N67" s="13" t="n"/>
      <c r="O67" s="7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</row>
    <row r="68" ht="15.75" customHeight="1">
      <c r="A68" s="3" t="n"/>
      <c r="B68" s="11" t="n"/>
      <c r="C68" s="8" t="n"/>
      <c r="D68" s="3" t="n"/>
      <c r="E68" s="3" t="n"/>
      <c r="F68" s="3" t="n"/>
      <c r="G68" s="3" t="n"/>
      <c r="H68" s="3" t="n"/>
      <c r="I68" s="3" t="n"/>
      <c r="J68" s="3" t="n"/>
      <c r="K68" s="6" t="n"/>
      <c r="L68" s="6" t="n"/>
      <c r="M68" s="3" t="n"/>
      <c r="N68" s="13" t="n"/>
      <c r="O68" s="7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</row>
    <row r="69" ht="15.75" customHeight="1">
      <c r="A69" s="3" t="n"/>
      <c r="B69" s="11" t="n"/>
      <c r="C69" s="8" t="n"/>
      <c r="D69" s="3" t="n"/>
      <c r="E69" s="3" t="n"/>
      <c r="F69" s="3" t="n"/>
      <c r="G69" s="3" t="n"/>
      <c r="H69" s="3" t="n"/>
      <c r="I69" s="3" t="n"/>
      <c r="J69" s="3" t="n"/>
      <c r="K69" s="6" t="n"/>
      <c r="L69" s="6" t="n"/>
      <c r="M69" s="3" t="n"/>
      <c r="N69" s="13" t="n"/>
      <c r="O69" s="7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</row>
    <row r="70" ht="15.75" customHeight="1">
      <c r="A70" s="3" t="n"/>
      <c r="B70" s="11" t="n"/>
      <c r="C70" s="8" t="n"/>
      <c r="D70" s="3" t="n"/>
      <c r="E70" s="3" t="n"/>
      <c r="F70" s="3" t="n"/>
      <c r="G70" s="3" t="n"/>
      <c r="H70" s="3" t="n"/>
      <c r="I70" s="3" t="n"/>
      <c r="J70" s="3" t="n"/>
      <c r="K70" s="6" t="n"/>
      <c r="L70" s="6" t="n"/>
      <c r="M70" s="3" t="n"/>
      <c r="N70" s="13" t="n"/>
      <c r="O70" s="7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</row>
    <row r="71" ht="15.75" customHeight="1">
      <c r="A71" s="3" t="n"/>
      <c r="B71" s="11" t="n"/>
      <c r="C71" s="8" t="n"/>
      <c r="D71" s="3" t="n"/>
      <c r="E71" s="3" t="n"/>
      <c r="F71" s="3" t="n"/>
      <c r="G71" s="3" t="n"/>
      <c r="H71" s="3" t="n"/>
      <c r="I71" s="3" t="n"/>
      <c r="J71" s="3" t="n"/>
      <c r="K71" s="6" t="n"/>
      <c r="L71" s="6" t="n"/>
      <c r="M71" s="3" t="n"/>
      <c r="N71" s="13" t="n"/>
      <c r="O71" s="7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</row>
    <row r="72" ht="15.75" customHeight="1">
      <c r="A72" s="3" t="n"/>
      <c r="B72" s="11" t="n"/>
      <c r="C72" s="8" t="n"/>
      <c r="D72" s="3" t="n"/>
      <c r="E72" s="3" t="n"/>
      <c r="F72" s="3" t="n"/>
      <c r="G72" s="3" t="n"/>
      <c r="H72" s="3" t="n"/>
      <c r="I72" s="3" t="n"/>
      <c r="J72" s="3" t="n"/>
      <c r="K72" s="6" t="n"/>
      <c r="L72" s="6" t="n"/>
      <c r="M72" s="3" t="n"/>
      <c r="N72" s="13" t="n"/>
      <c r="O72" s="7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</row>
    <row r="73" ht="15.75" customHeight="1">
      <c r="A73" s="3" t="n"/>
      <c r="B73" s="11" t="n"/>
      <c r="C73" s="8" t="n"/>
      <c r="D73" s="3" t="n"/>
      <c r="E73" s="3" t="n"/>
      <c r="F73" s="3" t="n"/>
      <c r="G73" s="3" t="n"/>
      <c r="H73" s="3" t="n"/>
      <c r="I73" s="3" t="n"/>
      <c r="J73" s="3" t="n"/>
      <c r="K73" s="6" t="n"/>
      <c r="L73" s="6" t="n"/>
      <c r="M73" s="3" t="n"/>
      <c r="N73" s="13" t="n"/>
      <c r="O73" s="7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</row>
    <row r="74" ht="15.75" customHeight="1">
      <c r="A74" s="3" t="n"/>
      <c r="B74" s="11" t="n"/>
      <c r="C74" s="8" t="n"/>
      <c r="D74" s="3" t="n"/>
      <c r="E74" s="3" t="n"/>
      <c r="F74" s="3" t="n"/>
      <c r="G74" s="3" t="n"/>
      <c r="H74" s="3" t="n"/>
      <c r="I74" s="3" t="n"/>
      <c r="J74" s="3" t="n"/>
      <c r="K74" s="6" t="n"/>
      <c r="L74" s="6" t="n"/>
      <c r="M74" s="3" t="n"/>
      <c r="N74" s="13" t="n"/>
      <c r="O74" s="7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</row>
    <row r="75" ht="15.75" customHeight="1">
      <c r="A75" s="3" t="n"/>
      <c r="B75" s="11" t="n"/>
      <c r="C75" s="8" t="n"/>
      <c r="D75" s="3" t="n"/>
      <c r="E75" s="3" t="n"/>
      <c r="F75" s="3" t="n"/>
      <c r="G75" s="3" t="n"/>
      <c r="H75" s="3" t="n"/>
      <c r="I75" s="3" t="n"/>
      <c r="J75" s="3" t="n"/>
      <c r="K75" s="6" t="n"/>
      <c r="L75" s="6" t="n"/>
      <c r="M75" s="3" t="n"/>
      <c r="N75" s="13" t="n"/>
      <c r="O75" s="7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</row>
    <row r="76" ht="15.75" customHeight="1">
      <c r="A76" s="3" t="n"/>
      <c r="B76" s="11" t="n"/>
      <c r="C76" s="8" t="n"/>
      <c r="D76" s="3" t="n"/>
      <c r="E76" s="3" t="n"/>
      <c r="F76" s="3" t="n"/>
      <c r="G76" s="3" t="n"/>
      <c r="H76" s="3" t="n"/>
      <c r="I76" s="3" t="n"/>
      <c r="J76" s="3" t="n"/>
      <c r="K76" s="6" t="n"/>
      <c r="L76" s="6" t="n"/>
      <c r="M76" s="3" t="n"/>
      <c r="N76" s="13" t="n"/>
      <c r="O76" s="7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</row>
    <row r="77" ht="15.75" customHeight="1">
      <c r="A77" s="3" t="n"/>
      <c r="B77" s="11" t="n"/>
      <c r="C77" s="8" t="n"/>
      <c r="D77" s="3" t="n"/>
      <c r="E77" s="3" t="n"/>
      <c r="F77" s="3" t="n"/>
      <c r="G77" s="3" t="n"/>
      <c r="H77" s="3" t="n"/>
      <c r="I77" s="3" t="n"/>
      <c r="J77" s="3" t="n"/>
      <c r="K77" s="6" t="n"/>
      <c r="L77" s="6" t="n"/>
      <c r="M77" s="3" t="n"/>
      <c r="N77" s="13" t="n"/>
      <c r="O77" s="7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</row>
    <row r="78" ht="15.75" customHeight="1">
      <c r="A78" s="3" t="n"/>
      <c r="B78" s="11" t="n"/>
      <c r="C78" s="8" t="n"/>
      <c r="D78" s="3" t="n"/>
      <c r="E78" s="3" t="n"/>
      <c r="F78" s="3" t="n"/>
      <c r="G78" s="3" t="n"/>
      <c r="H78" s="3" t="n"/>
      <c r="I78" s="3" t="n"/>
      <c r="J78" s="3" t="n"/>
      <c r="K78" s="6" t="n"/>
      <c r="L78" s="6" t="n"/>
      <c r="M78" s="3" t="n"/>
      <c r="N78" s="13" t="n"/>
      <c r="O78" s="7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</row>
    <row r="79" ht="15.75" customHeight="1">
      <c r="A79" s="3" t="n"/>
      <c r="B79" s="11" t="n"/>
      <c r="C79" s="8" t="n"/>
      <c r="D79" s="3" t="n"/>
      <c r="E79" s="3" t="n"/>
      <c r="F79" s="3" t="n"/>
      <c r="G79" s="3" t="n"/>
      <c r="H79" s="3" t="n"/>
      <c r="I79" s="3" t="n"/>
      <c r="J79" s="3" t="n"/>
      <c r="K79" s="6" t="n"/>
      <c r="L79" s="6" t="n"/>
      <c r="M79" s="3" t="n"/>
      <c r="N79" s="13" t="n"/>
      <c r="O79" s="7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</row>
    <row r="80" ht="15.75" customHeight="1">
      <c r="A80" s="3" t="n"/>
      <c r="B80" s="11" t="n"/>
      <c r="C80" s="8" t="n"/>
      <c r="D80" s="3" t="n"/>
      <c r="E80" s="3" t="n"/>
      <c r="F80" s="3" t="n"/>
      <c r="G80" s="3" t="n"/>
      <c r="H80" s="3" t="n"/>
      <c r="I80" s="3" t="n"/>
      <c r="J80" s="3" t="n"/>
      <c r="K80" s="6" t="n"/>
      <c r="L80" s="6" t="n"/>
      <c r="M80" s="3" t="n"/>
      <c r="N80" s="13" t="n"/>
      <c r="O80" s="7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</row>
    <row r="81" ht="15.75" customHeight="1">
      <c r="A81" s="3" t="n"/>
      <c r="B81" s="11" t="n"/>
      <c r="C81" s="8" t="n"/>
      <c r="D81" s="3" t="n"/>
      <c r="E81" s="3" t="n"/>
      <c r="F81" s="3" t="n"/>
      <c r="G81" s="3" t="n"/>
      <c r="H81" s="3" t="n"/>
      <c r="I81" s="3" t="n"/>
      <c r="J81" s="3" t="n"/>
      <c r="K81" s="6" t="n"/>
      <c r="L81" s="6" t="n"/>
      <c r="M81" s="3" t="n"/>
      <c r="N81" s="13" t="n"/>
      <c r="O81" s="7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</row>
    <row r="82" ht="15.75" customHeight="1">
      <c r="A82" s="3" t="n"/>
      <c r="B82" s="11" t="n"/>
      <c r="C82" s="8" t="n"/>
      <c r="D82" s="3" t="n"/>
      <c r="E82" s="3" t="n"/>
      <c r="F82" s="3" t="n"/>
      <c r="G82" s="3" t="n"/>
      <c r="H82" s="3" t="n"/>
      <c r="I82" s="3" t="n"/>
      <c r="J82" s="3" t="n"/>
      <c r="K82" s="6" t="n"/>
      <c r="L82" s="6" t="n"/>
      <c r="M82" s="3" t="n"/>
      <c r="N82" s="13" t="n"/>
      <c r="O82" s="7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</row>
    <row r="83" ht="15.75" customHeight="1">
      <c r="A83" s="3" t="n"/>
      <c r="B83" s="11" t="n"/>
      <c r="C83" s="8" t="n"/>
      <c r="D83" s="3" t="n"/>
      <c r="E83" s="3" t="n"/>
      <c r="F83" s="3" t="n"/>
      <c r="G83" s="3" t="n"/>
      <c r="H83" s="3" t="n"/>
      <c r="I83" s="3" t="n"/>
      <c r="J83" s="3" t="n"/>
      <c r="K83" s="6" t="n"/>
      <c r="L83" s="6" t="n"/>
      <c r="M83" s="3" t="n"/>
      <c r="N83" s="13" t="n"/>
      <c r="O83" s="7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</row>
    <row r="84" ht="15.75" customHeight="1">
      <c r="A84" s="3" t="n"/>
      <c r="B84" s="11" t="n"/>
      <c r="C84" s="8" t="n"/>
      <c r="D84" s="3" t="n"/>
      <c r="E84" s="3" t="n"/>
      <c r="F84" s="3" t="n"/>
      <c r="G84" s="3" t="n"/>
      <c r="H84" s="3" t="n"/>
      <c r="I84" s="3" t="n"/>
      <c r="J84" s="3" t="n"/>
      <c r="K84" s="6" t="n"/>
      <c r="L84" s="6" t="n"/>
      <c r="M84" s="3" t="n"/>
      <c r="N84" s="13" t="n"/>
      <c r="O84" s="7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</row>
    <row r="85" ht="15.75" customHeight="1">
      <c r="A85" s="3" t="n"/>
      <c r="B85" s="11" t="n"/>
      <c r="C85" s="8" t="n"/>
      <c r="D85" s="3" t="n"/>
      <c r="E85" s="3" t="n"/>
      <c r="F85" s="3" t="n"/>
      <c r="G85" s="3" t="n"/>
      <c r="H85" s="3" t="n"/>
      <c r="I85" s="3" t="n"/>
      <c r="J85" s="3" t="n"/>
      <c r="K85" s="6" t="n"/>
      <c r="L85" s="6" t="n"/>
      <c r="M85" s="3" t="n"/>
      <c r="N85" s="13" t="n"/>
      <c r="O85" s="7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</row>
    <row r="86" ht="15.75" customHeight="1">
      <c r="A86" s="3" t="n"/>
      <c r="B86" s="11" t="n"/>
      <c r="C86" s="8" t="n"/>
      <c r="D86" s="3" t="n"/>
      <c r="E86" s="3" t="n"/>
      <c r="F86" s="3" t="n"/>
      <c r="G86" s="3" t="n"/>
      <c r="H86" s="3" t="n"/>
      <c r="I86" s="3" t="n"/>
      <c r="J86" s="3" t="n"/>
      <c r="K86" s="6" t="n"/>
      <c r="L86" s="6" t="n"/>
      <c r="M86" s="3" t="n"/>
      <c r="N86" s="13" t="n"/>
      <c r="O86" s="7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</row>
    <row r="87" ht="15.75" customHeight="1">
      <c r="A87" s="3" t="n"/>
      <c r="B87" s="11" t="n"/>
      <c r="C87" s="8" t="n"/>
      <c r="D87" s="3" t="n"/>
      <c r="E87" s="3" t="n"/>
      <c r="F87" s="3" t="n"/>
      <c r="G87" s="3" t="n"/>
      <c r="H87" s="3" t="n"/>
      <c r="I87" s="3" t="n"/>
      <c r="J87" s="3" t="n"/>
      <c r="K87" s="6" t="n"/>
      <c r="L87" s="6" t="n"/>
      <c r="M87" s="3" t="n"/>
      <c r="N87" s="13" t="n"/>
      <c r="O87" s="7" t="n"/>
      <c r="P87" s="3" t="n"/>
      <c r="Q87" s="3" t="n"/>
      <c r="R87" s="3" t="n"/>
      <c r="S87" s="9" t="n"/>
      <c r="T87" s="9" t="n"/>
      <c r="U87" s="3" t="n"/>
      <c r="V87" s="3" t="n"/>
      <c r="W87" s="3" t="n"/>
      <c r="X87" s="3" t="n"/>
      <c r="Y87" s="3" t="n"/>
      <c r="Z87" s="3" t="n"/>
      <c r="AA87" s="3" t="n"/>
    </row>
    <row r="88" ht="15.75" customHeight="1">
      <c r="A88" s="3" t="n"/>
      <c r="B88" s="11" t="n"/>
      <c r="C88" s="8" t="n"/>
      <c r="D88" s="3" t="n"/>
      <c r="E88" s="3" t="n"/>
      <c r="F88" s="3" t="n"/>
      <c r="G88" s="3" t="n"/>
      <c r="H88" s="3" t="n"/>
      <c r="I88" s="3" t="n"/>
      <c r="J88" s="3" t="n"/>
      <c r="K88" s="6" t="n"/>
      <c r="L88" s="6" t="n"/>
      <c r="M88" s="3" t="n"/>
      <c r="N88" s="13" t="n"/>
      <c r="O88" s="7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</row>
    <row r="89" ht="15.75" customHeight="1">
      <c r="A89" s="3" t="n"/>
      <c r="B89" s="11" t="n"/>
      <c r="C89" s="8" t="n"/>
      <c r="D89" s="3" t="n"/>
      <c r="E89" s="3" t="n"/>
      <c r="F89" s="3" t="n"/>
      <c r="G89" s="3" t="n"/>
      <c r="H89" s="3" t="n"/>
      <c r="I89" s="3" t="n"/>
      <c r="J89" s="3" t="n"/>
      <c r="K89" s="6" t="n"/>
      <c r="L89" s="6" t="n"/>
      <c r="M89" s="3" t="n"/>
      <c r="N89" s="13" t="n"/>
      <c r="O89" s="7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</row>
    <row r="90" ht="15.75" customHeight="1">
      <c r="A90" s="3" t="n"/>
      <c r="B90" s="11" t="n"/>
      <c r="C90" s="8" t="n"/>
      <c r="D90" s="3" t="n"/>
      <c r="E90" s="3" t="n"/>
      <c r="F90" s="3" t="n"/>
      <c r="G90" s="3" t="n"/>
      <c r="H90" s="3" t="n"/>
      <c r="I90" s="3" t="n"/>
      <c r="J90" s="3" t="n"/>
      <c r="K90" s="6" t="n"/>
      <c r="L90" s="6" t="n"/>
      <c r="M90" s="3" t="n"/>
      <c r="N90" s="13" t="n"/>
      <c r="O90" s="7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</row>
    <row r="91" ht="15.75" customHeight="1">
      <c r="A91" s="3" t="n"/>
      <c r="B91" s="11" t="n"/>
      <c r="C91" s="8" t="n"/>
      <c r="D91" s="3" t="n"/>
      <c r="E91" s="3" t="n"/>
      <c r="F91" s="3" t="n"/>
      <c r="G91" s="3" t="n"/>
      <c r="H91" s="3" t="n"/>
      <c r="I91" s="3" t="n"/>
      <c r="J91" s="3" t="n"/>
      <c r="K91" s="6" t="n"/>
      <c r="L91" s="6" t="n"/>
      <c r="M91" s="3" t="n"/>
      <c r="N91" s="13" t="n"/>
      <c r="O91" s="7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</row>
    <row r="92" ht="15.75" customHeight="1">
      <c r="A92" s="3" t="n"/>
      <c r="B92" s="11" t="n"/>
      <c r="C92" s="8" t="n"/>
      <c r="D92" s="3" t="n"/>
      <c r="E92" s="3" t="n"/>
      <c r="F92" s="3" t="n"/>
      <c r="G92" s="3" t="n"/>
      <c r="H92" s="3" t="n"/>
      <c r="I92" s="3" t="n"/>
      <c r="J92" s="3" t="n"/>
      <c r="K92" s="6" t="n"/>
      <c r="L92" s="6" t="n"/>
      <c r="M92" s="3" t="n"/>
      <c r="N92" s="13" t="n"/>
      <c r="O92" s="7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</row>
    <row r="93" ht="15.75" customHeight="1">
      <c r="A93" s="3" t="n"/>
      <c r="B93" s="11" t="n"/>
      <c r="C93" s="8" t="n"/>
      <c r="D93" s="3" t="n"/>
      <c r="E93" s="3" t="n"/>
      <c r="F93" s="3" t="n"/>
      <c r="G93" s="3" t="n"/>
      <c r="H93" s="3" t="n"/>
      <c r="I93" s="3" t="n"/>
      <c r="J93" s="3" t="n"/>
      <c r="K93" s="6" t="n"/>
      <c r="L93" s="6" t="n"/>
      <c r="M93" s="3" t="n"/>
      <c r="N93" s="13" t="n"/>
      <c r="O93" s="7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</row>
    <row r="94" ht="15.75" customHeight="1">
      <c r="A94" s="3" t="n"/>
      <c r="B94" s="11" t="n"/>
      <c r="C94" s="8" t="n"/>
      <c r="D94" s="3" t="n"/>
      <c r="E94" s="3" t="n"/>
      <c r="F94" s="3" t="n"/>
      <c r="G94" s="3" t="n"/>
      <c r="H94" s="3" t="n"/>
      <c r="I94" s="3" t="n"/>
      <c r="J94" s="3" t="n"/>
      <c r="K94" s="6" t="n"/>
      <c r="L94" s="6" t="n"/>
      <c r="M94" s="3" t="n"/>
      <c r="N94" s="13" t="n"/>
      <c r="O94" s="7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</row>
    <row r="95" ht="15.75" customHeight="1">
      <c r="A95" s="3" t="n"/>
      <c r="B95" s="11" t="n"/>
      <c r="C95" s="8" t="n"/>
      <c r="D95" s="3" t="n"/>
      <c r="E95" s="3" t="n"/>
      <c r="F95" s="3" t="n"/>
      <c r="G95" s="3" t="n"/>
      <c r="H95" s="3" t="n"/>
      <c r="I95" s="3" t="n"/>
      <c r="J95" s="3" t="n"/>
      <c r="K95" s="6" t="n"/>
      <c r="L95" s="6" t="n"/>
      <c r="M95" s="3" t="n"/>
      <c r="N95" s="13" t="n"/>
      <c r="O95" s="7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</row>
    <row r="96" ht="15.75" customHeight="1">
      <c r="A96" s="3" t="n"/>
      <c r="B96" s="11" t="n"/>
      <c r="C96" s="8" t="n"/>
      <c r="D96" s="3" t="n"/>
      <c r="E96" s="3" t="n"/>
      <c r="F96" s="3" t="n"/>
      <c r="G96" s="3" t="n"/>
      <c r="H96" s="3" t="n"/>
      <c r="I96" s="3" t="n"/>
      <c r="J96" s="3" t="n"/>
      <c r="K96" s="6" t="n"/>
      <c r="L96" s="6" t="n"/>
      <c r="M96" s="3" t="n"/>
      <c r="N96" s="13" t="n"/>
      <c r="O96" s="7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</row>
    <row r="97" ht="15.75" customHeight="1">
      <c r="A97" s="3" t="n"/>
      <c r="B97" s="11" t="n"/>
      <c r="C97" s="8" t="n"/>
      <c r="D97" s="3" t="n"/>
      <c r="E97" s="3" t="n"/>
      <c r="F97" s="3" t="n"/>
      <c r="G97" s="3" t="n"/>
      <c r="H97" s="3" t="n"/>
      <c r="I97" s="3" t="n"/>
      <c r="J97" s="3" t="n"/>
      <c r="K97" s="6" t="n"/>
      <c r="L97" s="6" t="n"/>
      <c r="M97" s="3" t="n"/>
      <c r="N97" s="13" t="n"/>
      <c r="O97" s="7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</row>
    <row r="98" ht="15.75" customHeight="1">
      <c r="A98" s="3" t="n"/>
      <c r="B98" s="11" t="n"/>
      <c r="C98" s="8" t="n"/>
      <c r="D98" s="3" t="n"/>
      <c r="E98" s="3" t="n"/>
      <c r="F98" s="3" t="n"/>
      <c r="G98" s="3" t="n"/>
      <c r="H98" s="3" t="n"/>
      <c r="I98" s="3" t="n"/>
      <c r="J98" s="3" t="n"/>
      <c r="K98" s="6" t="n"/>
      <c r="L98" s="6" t="n"/>
      <c r="M98" s="3" t="n"/>
      <c r="N98" s="13" t="n"/>
      <c r="O98" s="7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</row>
    <row r="99" ht="15.75" customHeight="1">
      <c r="A99" s="3" t="n"/>
      <c r="B99" s="11" t="n"/>
      <c r="C99" s="8" t="n"/>
      <c r="D99" s="3" t="n"/>
      <c r="E99" s="3" t="n"/>
      <c r="F99" s="3" t="n"/>
      <c r="G99" s="3" t="n"/>
      <c r="H99" s="3" t="n"/>
      <c r="I99" s="3" t="n"/>
      <c r="J99" s="3" t="n"/>
      <c r="K99" s="6" t="n"/>
      <c r="L99" s="6" t="n"/>
      <c r="M99" s="3" t="n"/>
      <c r="N99" s="13" t="n"/>
      <c r="O99" s="7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</row>
    <row r="100" ht="15.75" customHeight="1">
      <c r="A100" s="3" t="n"/>
      <c r="B100" s="11" t="n"/>
      <c r="C100" s="8" t="n"/>
      <c r="D100" s="3" t="n"/>
      <c r="E100" s="3" t="n"/>
      <c r="F100" s="3" t="n"/>
      <c r="G100" s="3" t="n"/>
      <c r="H100" s="3" t="n"/>
      <c r="I100" s="3" t="n"/>
      <c r="J100" s="3" t="n"/>
      <c r="K100" s="6" t="n"/>
      <c r="L100" s="6" t="n"/>
      <c r="M100" s="3" t="n"/>
      <c r="N100" s="13" t="n"/>
      <c r="O100" s="7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</row>
    <row r="101" ht="15.75" customHeight="1">
      <c r="A101" s="3" t="n"/>
      <c r="B101" s="11" t="n"/>
      <c r="C101" s="8" t="n"/>
      <c r="D101" s="3" t="n"/>
      <c r="E101" s="3" t="n"/>
      <c r="F101" s="3" t="n"/>
      <c r="G101" s="3" t="n"/>
      <c r="H101" s="3" t="n"/>
      <c r="I101" s="3" t="n"/>
      <c r="J101" s="3" t="n"/>
      <c r="K101" s="6" t="n"/>
      <c r="L101" s="6" t="n"/>
      <c r="M101" s="3" t="n"/>
      <c r="N101" s="13" t="n"/>
      <c r="O101" s="7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</row>
    <row r="102" ht="15.75" customHeight="1">
      <c r="A102" s="3" t="n"/>
      <c r="B102" s="11" t="n"/>
      <c r="C102" s="8" t="n"/>
      <c r="D102" s="3" t="n"/>
      <c r="E102" s="3" t="n"/>
      <c r="F102" s="3" t="n"/>
      <c r="G102" s="3" t="n"/>
      <c r="H102" s="3" t="n"/>
      <c r="I102" s="3" t="n"/>
      <c r="J102" s="3" t="n"/>
      <c r="K102" s="6" t="n"/>
      <c r="L102" s="6" t="n"/>
      <c r="M102" s="3" t="n"/>
      <c r="N102" s="13" t="n"/>
      <c r="O102" s="7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</row>
    <row r="103" ht="15.75" customHeight="1">
      <c r="A103" s="3" t="n"/>
      <c r="B103" s="11" t="n"/>
      <c r="C103" s="8" t="n"/>
      <c r="D103" s="3" t="n"/>
      <c r="E103" s="3" t="n"/>
      <c r="F103" s="3" t="n"/>
      <c r="G103" s="3" t="n"/>
      <c r="H103" s="3" t="n"/>
      <c r="I103" s="3" t="n"/>
      <c r="J103" s="3" t="n"/>
      <c r="K103" s="6" t="n"/>
      <c r="L103" s="6" t="n"/>
      <c r="M103" s="3" t="n"/>
      <c r="N103" s="13" t="n"/>
      <c r="O103" s="7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</row>
    <row r="104" ht="15.75" customHeight="1">
      <c r="A104" s="3" t="n"/>
      <c r="B104" s="11" t="n"/>
      <c r="C104" s="8" t="n"/>
      <c r="D104" s="3" t="n"/>
      <c r="E104" s="3" t="n"/>
      <c r="F104" s="3" t="n"/>
      <c r="G104" s="3" t="n"/>
      <c r="H104" s="3" t="n"/>
      <c r="I104" s="3" t="n"/>
      <c r="J104" s="3" t="n"/>
      <c r="K104" s="6" t="n"/>
      <c r="L104" s="6" t="n"/>
      <c r="M104" s="3" t="n"/>
      <c r="N104" s="13" t="n"/>
      <c r="O104" s="7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</row>
    <row r="105" ht="15.75" customHeight="1">
      <c r="A105" s="3" t="n"/>
      <c r="B105" s="11" t="n"/>
      <c r="C105" s="8" t="n"/>
      <c r="D105" s="3" t="n"/>
      <c r="E105" s="3" t="n"/>
      <c r="F105" s="3" t="n"/>
      <c r="G105" s="3" t="n"/>
      <c r="H105" s="3" t="n"/>
      <c r="I105" s="3" t="n"/>
      <c r="J105" s="3" t="n"/>
      <c r="K105" s="6" t="n"/>
      <c r="L105" s="6" t="n"/>
      <c r="M105" s="3" t="n"/>
      <c r="N105" s="13" t="n"/>
      <c r="O105" s="7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</row>
    <row r="106" ht="15.75" customHeight="1">
      <c r="A106" s="3" t="n"/>
      <c r="B106" s="11" t="n"/>
      <c r="C106" s="8" t="n"/>
      <c r="D106" s="3" t="n"/>
      <c r="E106" s="3" t="n"/>
      <c r="F106" s="3" t="n"/>
      <c r="G106" s="3" t="n"/>
      <c r="H106" s="3" t="n"/>
      <c r="I106" s="3" t="n"/>
      <c r="J106" s="3" t="n"/>
      <c r="K106" s="6" t="n"/>
      <c r="L106" s="6" t="n"/>
      <c r="M106" s="3" t="n"/>
      <c r="N106" s="13" t="n"/>
      <c r="O106" s="7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</row>
    <row r="107" ht="15.75" customHeight="1">
      <c r="A107" s="3" t="n"/>
      <c r="B107" s="11" t="n"/>
      <c r="C107" s="8" t="n"/>
      <c r="D107" s="3" t="n"/>
      <c r="E107" s="3" t="n"/>
      <c r="F107" s="3" t="n"/>
      <c r="G107" s="3" t="n"/>
      <c r="H107" s="3" t="n"/>
      <c r="I107" s="3" t="n"/>
      <c r="J107" s="3" t="n"/>
      <c r="K107" s="6" t="n"/>
      <c r="L107" s="6" t="n"/>
      <c r="M107" s="3" t="n"/>
      <c r="N107" s="13" t="n"/>
      <c r="O107" s="7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</row>
    <row r="108" ht="15.75" customHeight="1">
      <c r="A108" s="3" t="n"/>
      <c r="B108" s="11" t="n"/>
      <c r="C108" s="8" t="n"/>
      <c r="D108" s="3" t="n"/>
      <c r="E108" s="3" t="n"/>
      <c r="F108" s="3" t="n"/>
      <c r="G108" s="3" t="n"/>
      <c r="H108" s="3" t="n"/>
      <c r="I108" s="3" t="n"/>
      <c r="J108" s="3" t="n"/>
      <c r="K108" s="6" t="n"/>
      <c r="L108" s="6" t="n"/>
      <c r="M108" s="3" t="n"/>
      <c r="N108" s="13" t="n"/>
      <c r="O108" s="7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</row>
    <row r="109" ht="15.75" customHeight="1">
      <c r="A109" s="3" t="n"/>
      <c r="B109" s="11" t="n"/>
      <c r="C109" s="8" t="n"/>
      <c r="D109" s="3" t="n"/>
      <c r="E109" s="3" t="n"/>
      <c r="F109" s="3" t="n"/>
      <c r="G109" s="3" t="n"/>
      <c r="H109" s="3" t="n"/>
      <c r="I109" s="3" t="n"/>
      <c r="J109" s="3" t="n"/>
      <c r="K109" s="6" t="n"/>
      <c r="L109" s="6" t="n"/>
      <c r="M109" s="3" t="n"/>
      <c r="N109" s="13" t="n"/>
      <c r="O109" s="7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</row>
    <row r="110" ht="15.75" customHeight="1">
      <c r="A110" s="3" t="n"/>
      <c r="B110" s="11" t="n"/>
      <c r="C110" s="8" t="n"/>
      <c r="D110" s="3" t="n"/>
      <c r="E110" s="3" t="n"/>
      <c r="F110" s="3" t="n"/>
      <c r="G110" s="3" t="n"/>
      <c r="H110" s="3" t="n"/>
      <c r="I110" s="3" t="n"/>
      <c r="J110" s="3" t="n"/>
      <c r="K110" s="6" t="n"/>
      <c r="L110" s="6" t="n"/>
      <c r="M110" s="3" t="n"/>
      <c r="N110" s="13" t="n"/>
      <c r="O110" s="7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</row>
    <row r="111" ht="15.75" customHeight="1">
      <c r="A111" s="3" t="n"/>
      <c r="B111" s="11" t="n"/>
      <c r="C111" s="8" t="n"/>
      <c r="D111" s="3" t="n"/>
      <c r="E111" s="3" t="n"/>
      <c r="F111" s="3" t="n"/>
      <c r="G111" s="3" t="n"/>
      <c r="H111" s="3" t="n"/>
      <c r="I111" s="3" t="n"/>
      <c r="J111" s="3" t="n"/>
      <c r="K111" s="6" t="n"/>
      <c r="L111" s="6" t="n"/>
      <c r="M111" s="3" t="n"/>
      <c r="N111" s="13" t="n"/>
      <c r="O111" s="7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</row>
    <row r="112" ht="15.75" customHeight="1">
      <c r="A112" s="3" t="n"/>
      <c r="B112" s="11" t="n"/>
      <c r="C112" s="8" t="n"/>
      <c r="D112" s="3" t="n"/>
      <c r="E112" s="3" t="n"/>
      <c r="F112" s="3" t="n"/>
      <c r="G112" s="3" t="n"/>
      <c r="H112" s="3" t="n"/>
      <c r="I112" s="3" t="n"/>
      <c r="J112" s="3" t="n"/>
      <c r="K112" s="6" t="n"/>
      <c r="L112" s="6" t="n"/>
      <c r="M112" s="3" t="n"/>
      <c r="N112" s="13" t="n"/>
      <c r="O112" s="7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</row>
    <row r="113" ht="15.75" customHeight="1">
      <c r="A113" s="3" t="n"/>
      <c r="B113" s="11" t="n"/>
      <c r="C113" s="8" t="n"/>
      <c r="D113" s="3" t="n"/>
      <c r="E113" s="3" t="n"/>
      <c r="F113" s="3" t="n"/>
      <c r="G113" s="3" t="n"/>
      <c r="H113" s="3" t="n"/>
      <c r="I113" s="3" t="n"/>
      <c r="J113" s="3" t="n"/>
      <c r="K113" s="6" t="n"/>
      <c r="L113" s="6" t="n"/>
      <c r="M113" s="3" t="n"/>
      <c r="N113" s="13" t="n"/>
      <c r="O113" s="7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</row>
    <row r="114" ht="15.75" customHeight="1">
      <c r="A114" s="3" t="n"/>
      <c r="B114" s="11" t="n"/>
      <c r="C114" s="8" t="n"/>
      <c r="D114" s="3" t="n"/>
      <c r="E114" s="3" t="n"/>
      <c r="F114" s="3" t="n"/>
      <c r="G114" s="3" t="n"/>
      <c r="H114" s="3" t="n"/>
      <c r="I114" s="3" t="n"/>
      <c r="J114" s="3" t="n"/>
      <c r="K114" s="6" t="n"/>
      <c r="L114" s="6" t="n"/>
      <c r="M114" s="3" t="n"/>
      <c r="N114" s="13" t="n"/>
      <c r="O114" s="7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</row>
    <row r="115" ht="15.75" customHeight="1">
      <c r="A115" s="3" t="n"/>
      <c r="B115" s="11" t="n"/>
      <c r="C115" s="8" t="n"/>
      <c r="D115" s="3" t="n"/>
      <c r="E115" s="3" t="n"/>
      <c r="F115" s="3" t="n"/>
      <c r="G115" s="3" t="n"/>
      <c r="H115" s="3" t="n"/>
      <c r="I115" s="3" t="n"/>
      <c r="J115" s="3" t="n"/>
      <c r="K115" s="6" t="n"/>
      <c r="L115" s="6" t="n"/>
      <c r="M115" s="3" t="n"/>
      <c r="N115" s="13" t="n"/>
      <c r="O115" s="7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</row>
    <row r="116" ht="15.75" customHeight="1">
      <c r="A116" s="3" t="n"/>
      <c r="B116" s="11" t="n"/>
      <c r="C116" s="8" t="n"/>
      <c r="D116" s="3" t="n"/>
      <c r="E116" s="3" t="n"/>
      <c r="F116" s="3" t="n"/>
      <c r="G116" s="3" t="n"/>
      <c r="H116" s="3" t="n"/>
      <c r="I116" s="3" t="n"/>
      <c r="J116" s="3" t="n"/>
      <c r="K116" s="6" t="n"/>
      <c r="L116" s="6" t="n"/>
      <c r="M116" s="3" t="n"/>
      <c r="N116" s="13" t="n"/>
      <c r="O116" s="7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</row>
    <row r="117" ht="15.75" customHeight="1">
      <c r="A117" s="3" t="n"/>
      <c r="B117" s="11" t="n"/>
      <c r="C117" s="8" t="n"/>
      <c r="D117" s="3" t="n"/>
      <c r="E117" s="3" t="n"/>
      <c r="F117" s="3" t="n"/>
      <c r="G117" s="3" t="n"/>
      <c r="H117" s="3" t="n"/>
      <c r="I117" s="3" t="n"/>
      <c r="J117" s="3" t="n"/>
      <c r="K117" s="6" t="n"/>
      <c r="L117" s="6" t="n"/>
      <c r="M117" s="3" t="n"/>
      <c r="N117" s="13" t="n"/>
      <c r="O117" s="7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</row>
    <row r="118" ht="15.75" customHeight="1">
      <c r="A118" s="3" t="n"/>
      <c r="B118" s="11" t="n"/>
      <c r="C118" s="8" t="n"/>
      <c r="D118" s="3" t="n"/>
      <c r="E118" s="3" t="n"/>
      <c r="F118" s="3" t="n"/>
      <c r="G118" s="3" t="n"/>
      <c r="H118" s="3" t="n"/>
      <c r="I118" s="3" t="n"/>
      <c r="J118" s="3" t="n"/>
      <c r="K118" s="6" t="n"/>
      <c r="L118" s="6" t="n"/>
      <c r="M118" s="3" t="n"/>
      <c r="N118" s="13" t="n"/>
      <c r="O118" s="7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</row>
    <row r="119" ht="15.75" customHeight="1">
      <c r="A119" s="3" t="n"/>
      <c r="B119" s="11" t="n"/>
      <c r="C119" s="8" t="n"/>
      <c r="D119" s="3" t="n"/>
      <c r="E119" s="3" t="n"/>
      <c r="F119" s="3" t="n"/>
      <c r="G119" s="3" t="n"/>
      <c r="H119" s="3" t="n"/>
      <c r="I119" s="3" t="n"/>
      <c r="J119" s="3" t="n"/>
      <c r="K119" s="6" t="n"/>
      <c r="L119" s="6" t="n"/>
      <c r="M119" s="3" t="n"/>
      <c r="N119" s="13" t="n"/>
      <c r="O119" s="7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</row>
    <row r="120" ht="15.75" customHeight="1">
      <c r="A120" s="3" t="n"/>
      <c r="B120" s="11" t="n"/>
      <c r="C120" s="8" t="n"/>
      <c r="D120" s="3" t="n"/>
      <c r="E120" s="3" t="n"/>
      <c r="F120" s="3" t="n"/>
      <c r="G120" s="3" t="n"/>
      <c r="H120" s="3" t="n"/>
      <c r="I120" s="3" t="n"/>
      <c r="J120" s="3" t="n"/>
      <c r="K120" s="6" t="n"/>
      <c r="L120" s="6" t="n"/>
      <c r="M120" s="3" t="n"/>
      <c r="N120" s="13" t="n"/>
      <c r="O120" s="7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</row>
    <row r="121" ht="15.75" customHeight="1">
      <c r="A121" s="3" t="n"/>
      <c r="B121" s="11" t="n"/>
      <c r="C121" s="8" t="n"/>
      <c r="D121" s="3" t="n"/>
      <c r="E121" s="3" t="n"/>
      <c r="F121" s="3" t="n"/>
      <c r="G121" s="3" t="n"/>
      <c r="H121" s="3" t="n"/>
      <c r="I121" s="3" t="n"/>
      <c r="J121" s="3" t="n"/>
      <c r="K121" s="6" t="n"/>
      <c r="L121" s="6" t="n"/>
      <c r="M121" s="3" t="n"/>
      <c r="N121" s="13" t="n"/>
      <c r="O121" s="7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</row>
    <row r="122" ht="15.75" customHeight="1">
      <c r="A122" s="3" t="n"/>
      <c r="B122" s="11" t="n"/>
      <c r="C122" s="8" t="n"/>
      <c r="D122" s="3" t="n"/>
      <c r="E122" s="3" t="n"/>
      <c r="F122" s="3" t="n"/>
      <c r="G122" s="3" t="n"/>
      <c r="H122" s="3" t="n"/>
      <c r="I122" s="3" t="n"/>
      <c r="J122" s="3" t="n"/>
      <c r="K122" s="6" t="n"/>
      <c r="L122" s="6" t="n"/>
      <c r="M122" s="3" t="n"/>
      <c r="N122" s="13" t="n"/>
      <c r="O122" s="7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</row>
    <row r="123" ht="15.75" customHeight="1">
      <c r="A123" s="3" t="n"/>
      <c r="B123" s="11" t="n"/>
      <c r="C123" s="8" t="n"/>
      <c r="D123" s="3" t="n"/>
      <c r="E123" s="3" t="n"/>
      <c r="F123" s="3" t="n"/>
      <c r="G123" s="3" t="n"/>
      <c r="H123" s="3" t="n"/>
      <c r="I123" s="3" t="n"/>
      <c r="J123" s="3" t="n"/>
      <c r="K123" s="6" t="n"/>
      <c r="L123" s="6" t="n"/>
      <c r="M123" s="3" t="n"/>
      <c r="N123" s="13" t="n"/>
      <c r="O123" s="7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</row>
    <row r="124" ht="15.75" customHeight="1">
      <c r="A124" s="3" t="n"/>
      <c r="B124" s="11" t="n"/>
      <c r="C124" s="8" t="n"/>
      <c r="D124" s="3" t="n"/>
      <c r="E124" s="3" t="n"/>
      <c r="F124" s="3" t="n"/>
      <c r="G124" s="3" t="n"/>
      <c r="H124" s="3" t="n"/>
      <c r="I124" s="3" t="n"/>
      <c r="J124" s="3" t="n"/>
      <c r="K124" s="6" t="n"/>
      <c r="L124" s="6" t="n"/>
      <c r="M124" s="3" t="n"/>
      <c r="N124" s="13" t="n"/>
      <c r="O124" s="7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</row>
    <row r="125" ht="15.75" customHeight="1">
      <c r="A125" s="3" t="n"/>
      <c r="B125" s="11" t="n"/>
      <c r="C125" s="8" t="n"/>
      <c r="D125" s="3" t="n"/>
      <c r="E125" s="3" t="n"/>
      <c r="F125" s="3" t="n"/>
      <c r="G125" s="3" t="n"/>
      <c r="H125" s="3" t="n"/>
      <c r="I125" s="3" t="n"/>
      <c r="J125" s="3" t="n"/>
      <c r="K125" s="6" t="n"/>
      <c r="L125" s="6" t="n"/>
      <c r="M125" s="3" t="n"/>
      <c r="N125" s="13" t="n"/>
      <c r="O125" s="7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</row>
    <row r="126" ht="15.75" customHeight="1">
      <c r="A126" s="3" t="n"/>
      <c r="B126" s="11" t="n"/>
      <c r="C126" s="8" t="n"/>
      <c r="D126" s="3" t="n"/>
      <c r="E126" s="3" t="n"/>
      <c r="F126" s="3" t="n"/>
      <c r="G126" s="3" t="n"/>
      <c r="H126" s="3" t="n"/>
      <c r="I126" s="3" t="n"/>
      <c r="J126" s="3" t="n"/>
      <c r="K126" s="6" t="n"/>
      <c r="L126" s="6" t="n"/>
      <c r="M126" s="3" t="n"/>
      <c r="N126" s="13" t="n"/>
      <c r="O126" s="7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</row>
    <row r="127" ht="15.75" customHeight="1">
      <c r="A127" s="3" t="n"/>
      <c r="B127" s="11" t="n"/>
      <c r="C127" s="8" t="n"/>
      <c r="D127" s="3" t="n"/>
      <c r="E127" s="3" t="n"/>
      <c r="F127" s="3" t="n"/>
      <c r="G127" s="3" t="n"/>
      <c r="H127" s="3" t="n"/>
      <c r="I127" s="3" t="n"/>
      <c r="J127" s="3" t="n"/>
      <c r="K127" s="6" t="n"/>
      <c r="L127" s="6" t="n"/>
      <c r="M127" s="3" t="n"/>
      <c r="N127" s="1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</row>
    <row r="128" ht="15.75" customHeight="1">
      <c r="A128" s="3" t="n"/>
      <c r="B128" s="11" t="n"/>
      <c r="C128" s="8" t="n"/>
      <c r="D128" s="3" t="n"/>
      <c r="E128" s="3" t="n"/>
      <c r="F128" s="3" t="n"/>
      <c r="G128" s="3" t="n"/>
      <c r="H128" s="3" t="n"/>
      <c r="I128" s="3" t="n"/>
      <c r="J128" s="3" t="n"/>
      <c r="K128" s="6" t="n"/>
      <c r="L128" s="6" t="n"/>
      <c r="M128" s="3" t="n"/>
      <c r="N128" s="1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</row>
    <row r="129" ht="15.75" customHeight="1">
      <c r="A129" s="3" t="n"/>
      <c r="B129" s="11" t="n"/>
      <c r="C129" s="8" t="n"/>
      <c r="D129" s="3" t="n"/>
      <c r="E129" s="3" t="n"/>
      <c r="F129" s="3" t="n"/>
      <c r="G129" s="3" t="n"/>
      <c r="H129" s="3" t="n"/>
      <c r="I129" s="3" t="n"/>
      <c r="J129" s="3" t="n"/>
      <c r="K129" s="6" t="n"/>
      <c r="L129" s="6" t="n"/>
      <c r="M129" s="3" t="n"/>
      <c r="N129" s="1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</row>
    <row r="130" ht="15.75" customHeight="1">
      <c r="A130" s="3" t="n"/>
      <c r="B130" s="11" t="n"/>
      <c r="C130" s="8" t="n"/>
      <c r="D130" s="3" t="n"/>
      <c r="E130" s="3" t="n"/>
      <c r="F130" s="3" t="n"/>
      <c r="G130" s="3" t="n"/>
      <c r="H130" s="3" t="n"/>
      <c r="I130" s="3" t="n"/>
      <c r="J130" s="3" t="n"/>
      <c r="K130" s="6" t="n"/>
      <c r="L130" s="6" t="n"/>
      <c r="M130" s="3" t="n"/>
      <c r="N130" s="1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</row>
    <row r="131" ht="15.75" customHeight="1">
      <c r="A131" s="3" t="n"/>
      <c r="B131" s="11" t="n"/>
      <c r="C131" s="8" t="n"/>
      <c r="D131" s="3" t="n"/>
      <c r="E131" s="3" t="n"/>
      <c r="F131" s="3" t="n"/>
      <c r="G131" s="3" t="n"/>
      <c r="H131" s="3" t="n"/>
      <c r="I131" s="3" t="n"/>
      <c r="J131" s="3" t="n"/>
      <c r="K131" s="6" t="n"/>
      <c r="L131" s="6" t="n"/>
      <c r="M131" s="3" t="n"/>
      <c r="N131" s="1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</row>
    <row r="132" ht="15.75" customHeight="1">
      <c r="A132" s="3" t="n"/>
      <c r="B132" s="11" t="n"/>
      <c r="C132" s="8" t="n"/>
      <c r="D132" s="3" t="n"/>
      <c r="E132" s="3" t="n"/>
      <c r="F132" s="3" t="n"/>
      <c r="G132" s="3" t="n"/>
      <c r="H132" s="3" t="n"/>
      <c r="I132" s="3" t="n"/>
      <c r="J132" s="3" t="n"/>
      <c r="K132" s="6" t="n"/>
      <c r="L132" s="6" t="n"/>
      <c r="M132" s="3" t="n"/>
      <c r="N132" s="1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</row>
    <row r="133" ht="15.75" customHeight="1">
      <c r="A133" s="3" t="n"/>
      <c r="B133" s="11" t="n"/>
      <c r="C133" s="8" t="n"/>
      <c r="D133" s="3" t="n"/>
      <c r="E133" s="3" t="n"/>
      <c r="F133" s="3" t="n"/>
      <c r="G133" s="3" t="n"/>
      <c r="H133" s="3" t="n"/>
      <c r="I133" s="3" t="n"/>
      <c r="J133" s="3" t="n"/>
      <c r="K133" s="6" t="n"/>
      <c r="L133" s="6" t="n"/>
      <c r="M133" s="3" t="n"/>
      <c r="N133" s="1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</row>
    <row r="134" ht="15.75" customHeight="1">
      <c r="A134" s="3" t="n"/>
      <c r="B134" s="11" t="n"/>
      <c r="C134" s="8" t="n"/>
      <c r="D134" s="3" t="n"/>
      <c r="E134" s="3" t="n"/>
      <c r="F134" s="3" t="n"/>
      <c r="G134" s="3" t="n"/>
      <c r="H134" s="3" t="n"/>
      <c r="I134" s="3" t="n"/>
      <c r="J134" s="3" t="n"/>
      <c r="K134" s="6" t="n"/>
      <c r="L134" s="6" t="n"/>
      <c r="M134" s="3" t="n"/>
      <c r="N134" s="1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</row>
    <row r="135" ht="15.75" customHeight="1">
      <c r="A135" s="3" t="n"/>
      <c r="B135" s="11" t="n"/>
      <c r="C135" s="8" t="n"/>
      <c r="D135" s="3" t="n"/>
      <c r="E135" s="3" t="n"/>
      <c r="F135" s="3" t="n"/>
      <c r="G135" s="3" t="n"/>
      <c r="H135" s="3" t="n"/>
      <c r="I135" s="3" t="n"/>
      <c r="J135" s="3" t="n"/>
      <c r="K135" s="6" t="n"/>
      <c r="L135" s="6" t="n"/>
      <c r="M135" s="3" t="n"/>
      <c r="N135" s="1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</row>
    <row r="136" ht="15.75" customHeight="1">
      <c r="A136" s="3" t="n"/>
      <c r="B136" s="11" t="n"/>
      <c r="C136" s="8" t="n"/>
      <c r="D136" s="3" t="n"/>
      <c r="E136" s="3" t="n"/>
      <c r="F136" s="3" t="n"/>
      <c r="G136" s="3" t="n"/>
      <c r="H136" s="3" t="n"/>
      <c r="I136" s="3" t="n"/>
      <c r="J136" s="3" t="n"/>
      <c r="K136" s="6" t="n"/>
      <c r="L136" s="6" t="n"/>
      <c r="M136" s="3" t="n"/>
      <c r="N136" s="1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</row>
    <row r="137" ht="15.75" customHeight="1">
      <c r="A137" s="3" t="n"/>
      <c r="B137" s="11" t="n"/>
      <c r="C137" s="8" t="n"/>
      <c r="D137" s="3" t="n"/>
      <c r="E137" s="3" t="n"/>
      <c r="F137" s="3" t="n"/>
      <c r="G137" s="3" t="n"/>
      <c r="H137" s="3" t="n"/>
      <c r="I137" s="3" t="n"/>
      <c r="J137" s="3" t="n"/>
      <c r="K137" s="6" t="n"/>
      <c r="L137" s="6" t="n"/>
      <c r="M137" s="3" t="n"/>
      <c r="N137" s="1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</row>
    <row r="138" ht="15.75" customHeight="1">
      <c r="A138" s="3" t="n"/>
      <c r="B138" s="11" t="n"/>
      <c r="C138" s="8" t="n"/>
      <c r="D138" s="3" t="n"/>
      <c r="E138" s="3" t="n"/>
      <c r="F138" s="3" t="n"/>
      <c r="G138" s="3" t="n"/>
      <c r="H138" s="3" t="n"/>
      <c r="I138" s="3" t="n"/>
      <c r="J138" s="3" t="n"/>
      <c r="K138" s="6" t="n"/>
      <c r="L138" s="6" t="n"/>
      <c r="M138" s="3" t="n"/>
      <c r="N138" s="1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</row>
    <row r="139" ht="15.75" customHeight="1">
      <c r="A139" s="3" t="n"/>
      <c r="B139" s="11" t="n"/>
      <c r="C139" s="8" t="n"/>
      <c r="D139" s="3" t="n"/>
      <c r="E139" s="3" t="n"/>
      <c r="F139" s="3" t="n"/>
      <c r="G139" s="3" t="n"/>
      <c r="H139" s="3" t="n"/>
      <c r="I139" s="3" t="n"/>
      <c r="J139" s="3" t="n"/>
      <c r="K139" s="6" t="n"/>
      <c r="L139" s="6" t="n"/>
      <c r="M139" s="3" t="n"/>
      <c r="N139" s="1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</row>
    <row r="140" ht="15.75" customHeight="1">
      <c r="A140" s="3" t="n"/>
      <c r="B140" s="11" t="n"/>
      <c r="C140" s="8" t="n"/>
      <c r="D140" s="3" t="n"/>
      <c r="E140" s="3" t="n"/>
      <c r="F140" s="3" t="n"/>
      <c r="G140" s="3" t="n"/>
      <c r="H140" s="3" t="n"/>
      <c r="I140" s="3" t="n"/>
      <c r="J140" s="3" t="n"/>
      <c r="K140" s="6" t="n"/>
      <c r="L140" s="6" t="n"/>
      <c r="M140" s="3" t="n"/>
      <c r="N140" s="1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</row>
    <row r="141" ht="15.75" customHeight="1">
      <c r="A141" s="3" t="n"/>
      <c r="B141" s="4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6" t="n"/>
      <c r="L141" s="6" t="n"/>
      <c r="M141" s="3" t="n"/>
      <c r="N141" s="1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</row>
    <row r="142" ht="15.75" customHeight="1">
      <c r="A142" s="3" t="n"/>
      <c r="B142" s="4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6" t="n"/>
      <c r="L142" s="6" t="n"/>
      <c r="M142" s="3" t="n"/>
      <c r="N142" s="1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</row>
    <row r="143" ht="15.75" customHeight="1">
      <c r="A143" s="3" t="n"/>
      <c r="B143" s="4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6" t="n"/>
      <c r="L143" s="6" t="n"/>
      <c r="M143" s="3" t="n"/>
      <c r="N143" s="1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</row>
    <row r="144" ht="15.75" customHeight="1">
      <c r="A144" s="3" t="n"/>
      <c r="B144" s="4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6" t="n"/>
      <c r="L144" s="6" t="n"/>
      <c r="M144" s="3" t="n"/>
      <c r="N144" s="1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</row>
    <row r="145" ht="15.75" customHeight="1">
      <c r="A145" s="3" t="n"/>
      <c r="B145" s="4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6" t="n"/>
      <c r="L145" s="6" t="n"/>
      <c r="M145" s="3" t="n"/>
      <c r="N145" s="1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</row>
    <row r="146" ht="15.75" customHeight="1">
      <c r="A146" s="3" t="n"/>
      <c r="B146" s="4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6" t="n"/>
      <c r="L146" s="6" t="n"/>
      <c r="M146" s="3" t="n"/>
      <c r="N146" s="1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</row>
    <row r="147" ht="15.75" customHeight="1">
      <c r="A147" s="3" t="n"/>
      <c r="B147" s="4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6" t="n"/>
      <c r="L147" s="6" t="n"/>
      <c r="M147" s="3" t="n"/>
      <c r="N147" s="1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</row>
    <row r="148" ht="15.75" customHeight="1">
      <c r="A148" s="3" t="n"/>
      <c r="B148" s="4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6" t="n"/>
      <c r="L148" s="6" t="n"/>
      <c r="M148" s="3" t="n"/>
      <c r="N148" s="1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</row>
    <row r="149" ht="15.75" customHeight="1">
      <c r="A149" s="3" t="n"/>
      <c r="B149" s="4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6" t="n"/>
      <c r="L149" s="6" t="n"/>
      <c r="M149" s="3" t="n"/>
      <c r="N149" s="1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</row>
    <row r="150" ht="15.75" customHeight="1">
      <c r="A150" s="3" t="n"/>
      <c r="B150" s="4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6" t="n"/>
      <c r="L150" s="6" t="n"/>
      <c r="M150" s="3" t="n"/>
      <c r="N150" s="1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</row>
    <row r="151" ht="15.75" customHeight="1">
      <c r="A151" s="3" t="n"/>
      <c r="B151" s="4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6" t="n"/>
      <c r="L151" s="6" t="n"/>
      <c r="M151" s="3" t="n"/>
      <c r="N151" s="1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</row>
    <row r="152" ht="15.75" customHeight="1">
      <c r="A152" s="3" t="n"/>
      <c r="B152" s="4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6" t="n"/>
      <c r="L152" s="6" t="n"/>
      <c r="M152" s="3" t="n"/>
      <c r="N152" s="1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</row>
    <row r="153" ht="15.75" customHeight="1">
      <c r="A153" s="3" t="n"/>
      <c r="B153" s="4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6" t="n"/>
      <c r="L153" s="6" t="n"/>
      <c r="M153" s="3" t="n"/>
      <c r="N153" s="1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</row>
    <row r="154" ht="15.75" customHeight="1">
      <c r="A154" s="3" t="n"/>
      <c r="B154" s="4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6" t="n"/>
      <c r="L154" s="6" t="n"/>
      <c r="M154" s="3" t="n"/>
      <c r="N154" s="1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</row>
    <row r="155" ht="15.75" customHeight="1">
      <c r="A155" s="3" t="n"/>
      <c r="B155" s="4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6" t="n"/>
      <c r="L155" s="6" t="n"/>
      <c r="M155" s="3" t="n"/>
      <c r="N155" s="1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</row>
    <row r="156" ht="15.75" customHeight="1">
      <c r="A156" s="3" t="n"/>
      <c r="B156" s="4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6" t="n"/>
      <c r="L156" s="6" t="n"/>
      <c r="M156" s="3" t="n"/>
      <c r="N156" s="1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</row>
    <row r="157" ht="15.75" customHeight="1">
      <c r="A157" s="3" t="n"/>
      <c r="B157" s="4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6" t="n"/>
      <c r="L157" s="6" t="n"/>
      <c r="M157" s="3" t="n"/>
      <c r="N157" s="1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</row>
    <row r="158" ht="15.75" customHeight="1">
      <c r="A158" s="3" t="n"/>
      <c r="B158" s="4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6" t="n"/>
      <c r="L158" s="6" t="n"/>
      <c r="M158" s="3" t="n"/>
      <c r="N158" s="1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</row>
    <row r="159" ht="15.75" customHeight="1">
      <c r="A159" s="3" t="n"/>
      <c r="B159" s="4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6" t="n"/>
      <c r="L159" s="6" t="n"/>
      <c r="M159" s="3" t="n"/>
      <c r="N159" s="1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</row>
    <row r="160" ht="15.75" customHeight="1">
      <c r="A160" s="3" t="n"/>
      <c r="B160" s="4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6" t="n"/>
      <c r="L160" s="6" t="n"/>
      <c r="M160" s="3" t="n"/>
      <c r="N160" s="1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</row>
    <row r="161" ht="15.75" customHeight="1">
      <c r="A161" s="3" t="n"/>
      <c r="B161" s="4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6" t="n"/>
      <c r="L161" s="6" t="n"/>
      <c r="M161" s="3" t="n"/>
      <c r="N161" s="1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</row>
    <row r="162" ht="15.75" customHeight="1">
      <c r="A162" s="3" t="n"/>
      <c r="B162" s="4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6" t="n"/>
      <c r="L162" s="6" t="n"/>
      <c r="M162" s="3" t="n"/>
      <c r="N162" s="1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</row>
    <row r="163" ht="15.75" customHeight="1">
      <c r="A163" s="3" t="n"/>
      <c r="B163" s="4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6" t="n"/>
      <c r="L163" s="6" t="n"/>
      <c r="M163" s="3" t="n"/>
      <c r="N163" s="1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</row>
    <row r="164" ht="15.75" customHeight="1">
      <c r="A164" s="3" t="n"/>
      <c r="B164" s="4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6" t="n"/>
      <c r="L164" s="6" t="n"/>
      <c r="M164" s="3" t="n"/>
      <c r="N164" s="1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</row>
    <row r="165" ht="15.75" customHeight="1">
      <c r="A165" s="3" t="n"/>
      <c r="B165" s="4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6" t="n"/>
      <c r="L165" s="6" t="n"/>
      <c r="M165" s="3" t="n"/>
      <c r="N165" s="1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</row>
    <row r="166" ht="15.75" customHeight="1">
      <c r="A166" s="3" t="n"/>
      <c r="B166" s="4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6" t="n"/>
      <c r="L166" s="6" t="n"/>
      <c r="M166" s="3" t="n"/>
      <c r="N166" s="1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</row>
    <row r="167" ht="15.75" customHeight="1">
      <c r="A167" s="3" t="n"/>
      <c r="B167" s="4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6" t="n"/>
      <c r="L167" s="6" t="n"/>
      <c r="M167" s="3" t="n"/>
      <c r="N167" s="1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</row>
    <row r="168" ht="15.75" customHeight="1">
      <c r="A168" s="3" t="n"/>
      <c r="B168" s="4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6" t="n"/>
      <c r="L168" s="6" t="n"/>
      <c r="M168" s="3" t="n"/>
      <c r="N168" s="1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</row>
    <row r="169" ht="15.75" customHeight="1">
      <c r="A169" s="3" t="n"/>
      <c r="B169" s="4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6" t="n"/>
      <c r="L169" s="6" t="n"/>
      <c r="M169" s="3" t="n"/>
      <c r="N169" s="1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</row>
    <row r="170" ht="15.75" customHeight="1">
      <c r="A170" s="3" t="n"/>
      <c r="B170" s="4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6" t="n"/>
      <c r="L170" s="6" t="n"/>
      <c r="M170" s="3" t="n"/>
      <c r="N170" s="1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</row>
    <row r="171" ht="15.75" customHeight="1">
      <c r="A171" s="3" t="n"/>
      <c r="B171" s="4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6" t="n"/>
      <c r="L171" s="6" t="n"/>
      <c r="M171" s="3" t="n"/>
      <c r="N171" s="1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</row>
    <row r="172" ht="15.75" customHeight="1">
      <c r="A172" s="3" t="n"/>
      <c r="B172" s="4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6" t="n"/>
      <c r="L172" s="6" t="n"/>
      <c r="M172" s="3" t="n"/>
      <c r="N172" s="1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</row>
    <row r="173" ht="15.75" customHeight="1">
      <c r="A173" s="3" t="n"/>
      <c r="B173" s="4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6" t="n"/>
      <c r="L173" s="6" t="n"/>
      <c r="M173" s="3" t="n"/>
      <c r="N173" s="1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</row>
    <row r="174" ht="15.75" customHeight="1">
      <c r="A174" s="3" t="n"/>
      <c r="B174" s="4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6" t="n"/>
      <c r="L174" s="6" t="n"/>
      <c r="M174" s="3" t="n"/>
      <c r="N174" s="1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</row>
    <row r="175" ht="15.75" customHeight="1">
      <c r="A175" s="3" t="n"/>
      <c r="B175" s="4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6" t="n"/>
      <c r="L175" s="6" t="n"/>
      <c r="M175" s="3" t="n"/>
      <c r="N175" s="1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</row>
    <row r="176" ht="15.75" customHeight="1">
      <c r="A176" s="3" t="n"/>
      <c r="B176" s="4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6" t="n"/>
      <c r="L176" s="6" t="n"/>
      <c r="M176" s="3" t="n"/>
      <c r="N176" s="1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</row>
    <row r="177" ht="15.75" customHeight="1">
      <c r="A177" s="3" t="n"/>
      <c r="B177" s="4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6" t="n"/>
      <c r="L177" s="6" t="n"/>
      <c r="M177" s="3" t="n"/>
      <c r="N177" s="1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</row>
    <row r="178" ht="15.75" customHeight="1">
      <c r="A178" s="3" t="n"/>
      <c r="B178" s="4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6" t="n"/>
      <c r="L178" s="6" t="n"/>
      <c r="M178" s="3" t="n"/>
      <c r="N178" s="1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</row>
    <row r="179" ht="15.75" customHeight="1">
      <c r="A179" s="3" t="n"/>
      <c r="B179" s="4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6" t="n"/>
      <c r="L179" s="6" t="n"/>
      <c r="M179" s="3" t="n"/>
      <c r="N179" s="1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</row>
    <row r="180" ht="15.75" customHeight="1">
      <c r="A180" s="3" t="n"/>
      <c r="B180" s="4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6" t="n"/>
      <c r="L180" s="6" t="n"/>
      <c r="M180" s="3" t="n"/>
      <c r="N180" s="1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</row>
    <row r="181" ht="15.75" customHeight="1">
      <c r="A181" s="3" t="n"/>
      <c r="B181" s="4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6" t="n"/>
      <c r="L181" s="6" t="n"/>
      <c r="M181" s="3" t="n"/>
      <c r="N181" s="1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</row>
    <row r="182" ht="15.75" customHeight="1">
      <c r="A182" s="3" t="n"/>
      <c r="B182" s="4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6" t="n"/>
      <c r="L182" s="6" t="n"/>
      <c r="M182" s="3" t="n"/>
      <c r="N182" s="1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</row>
    <row r="183" ht="15.75" customHeight="1">
      <c r="A183" s="3" t="n"/>
      <c r="B183" s="4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6" t="n"/>
      <c r="L183" s="6" t="n"/>
      <c r="M183" s="3" t="n"/>
      <c r="N183" s="1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</row>
    <row r="184" ht="15.75" customHeight="1">
      <c r="A184" s="3" t="n"/>
      <c r="B184" s="4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6" t="n"/>
      <c r="L184" s="6" t="n"/>
      <c r="M184" s="3" t="n"/>
      <c r="N184" s="1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</row>
    <row r="185" ht="15.75" customHeight="1">
      <c r="A185" s="3" t="n"/>
      <c r="B185" s="4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6" t="n"/>
      <c r="L185" s="6" t="n"/>
      <c r="M185" s="3" t="n"/>
      <c r="N185" s="1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</row>
    <row r="186" ht="15.75" customHeight="1">
      <c r="A186" s="3" t="n"/>
      <c r="B186" s="4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6" t="n"/>
      <c r="L186" s="6" t="n"/>
      <c r="M186" s="3" t="n"/>
      <c r="N186" s="1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</row>
    <row r="187" ht="15.75" customHeight="1">
      <c r="A187" s="3" t="n"/>
      <c r="B187" s="4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6" t="n"/>
      <c r="L187" s="6" t="n"/>
      <c r="M187" s="3" t="n"/>
      <c r="N187" s="1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</row>
    <row r="188" ht="15.75" customHeight="1">
      <c r="A188" s="3" t="n"/>
      <c r="B188" s="4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6" t="n"/>
      <c r="L188" s="6" t="n"/>
      <c r="M188" s="3" t="n"/>
      <c r="N188" s="1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</row>
    <row r="189" ht="15.75" customHeight="1">
      <c r="A189" s="3" t="n"/>
      <c r="B189" s="4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6" t="n"/>
      <c r="L189" s="6" t="n"/>
      <c r="M189" s="3" t="n"/>
      <c r="N189" s="1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</row>
    <row r="190" ht="15.75" customHeight="1">
      <c r="A190" s="3" t="n"/>
      <c r="B190" s="4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6" t="n"/>
      <c r="L190" s="6" t="n"/>
      <c r="M190" s="3" t="n"/>
      <c r="N190" s="1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</row>
    <row r="191" ht="15.75" customHeight="1">
      <c r="A191" s="3" t="n"/>
      <c r="B191" s="4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6" t="n"/>
      <c r="L191" s="6" t="n"/>
      <c r="M191" s="3" t="n"/>
      <c r="N191" s="1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</row>
    <row r="192" ht="15.75" customHeight="1">
      <c r="A192" s="3" t="n"/>
      <c r="B192" s="4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6" t="n"/>
      <c r="L192" s="6" t="n"/>
      <c r="M192" s="3" t="n"/>
      <c r="N192" s="1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</row>
    <row r="193" ht="15.75" customHeight="1">
      <c r="A193" s="3" t="n"/>
      <c r="B193" s="4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6" t="n"/>
      <c r="L193" s="6" t="n"/>
      <c r="M193" s="3" t="n"/>
      <c r="N193" s="1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</row>
    <row r="194" ht="15.75" customHeight="1">
      <c r="A194" s="3" t="n"/>
      <c r="B194" s="4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6" t="n"/>
      <c r="L194" s="6" t="n"/>
      <c r="M194" s="3" t="n"/>
      <c r="N194" s="1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</row>
    <row r="195" ht="15.75" customHeight="1">
      <c r="A195" s="3" t="n"/>
      <c r="B195" s="4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6" t="n"/>
      <c r="L195" s="6" t="n"/>
      <c r="M195" s="3" t="n"/>
      <c r="N195" s="1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</row>
    <row r="196" ht="15.75" customHeight="1">
      <c r="A196" s="3" t="n"/>
      <c r="B196" s="4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6" t="n"/>
      <c r="L196" s="6" t="n"/>
      <c r="M196" s="3" t="n"/>
      <c r="N196" s="1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</row>
    <row r="197" ht="15.75" customHeight="1">
      <c r="A197" s="3" t="n"/>
      <c r="B197" s="4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6" t="n"/>
      <c r="L197" s="6" t="n"/>
      <c r="M197" s="3" t="n"/>
      <c r="N197" s="1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</row>
    <row r="198" ht="15.75" customHeight="1">
      <c r="A198" s="3" t="n"/>
      <c r="B198" s="4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6" t="n"/>
      <c r="L198" s="6" t="n"/>
      <c r="M198" s="3" t="n"/>
      <c r="N198" s="1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</row>
    <row r="199" ht="15.75" customHeight="1">
      <c r="A199" s="3" t="n"/>
      <c r="B199" s="4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6" t="n"/>
      <c r="L199" s="6" t="n"/>
      <c r="M199" s="3" t="n"/>
      <c r="N199" s="1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</row>
    <row r="200" ht="15.75" customHeight="1">
      <c r="A200" s="3" t="n"/>
      <c r="B200" s="4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6" t="n"/>
      <c r="L200" s="6" t="n"/>
      <c r="M200" s="3" t="n"/>
      <c r="N200" s="1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</row>
    <row r="201" ht="15.75" customHeight="1">
      <c r="A201" s="3" t="n"/>
      <c r="B201" s="4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6" t="n"/>
      <c r="L201" s="6" t="n"/>
      <c r="M201" s="3" t="n"/>
      <c r="N201" s="1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</row>
    <row r="202" ht="15.75" customHeight="1">
      <c r="A202" s="3" t="n"/>
      <c r="B202" s="4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6" t="n"/>
      <c r="L202" s="6" t="n"/>
      <c r="M202" s="3" t="n"/>
      <c r="N202" s="1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</row>
    <row r="203" ht="15.75" customHeight="1">
      <c r="A203" s="3" t="n"/>
      <c r="B203" s="4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6" t="n"/>
      <c r="L203" s="6" t="n"/>
      <c r="M203" s="3" t="n"/>
      <c r="N203" s="1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</row>
    <row r="204" ht="15.75" customHeight="1">
      <c r="A204" s="3" t="n"/>
      <c r="B204" s="4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6" t="n"/>
      <c r="L204" s="6" t="n"/>
      <c r="M204" s="3" t="n"/>
      <c r="N204" s="1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</row>
    <row r="205" ht="15.75" customHeight="1">
      <c r="A205" s="3" t="n"/>
      <c r="B205" s="4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6" t="n"/>
      <c r="L205" s="6" t="n"/>
      <c r="M205" s="3" t="n"/>
      <c r="N205" s="1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</row>
    <row r="206" ht="15.75" customHeight="1">
      <c r="A206" s="3" t="n"/>
      <c r="B206" s="4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6" t="n"/>
      <c r="L206" s="6" t="n"/>
      <c r="M206" s="3" t="n"/>
      <c r="N206" s="1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</row>
    <row r="207" ht="15.75" customHeight="1">
      <c r="A207" s="3" t="n"/>
      <c r="B207" s="4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6" t="n"/>
      <c r="L207" s="6" t="n"/>
      <c r="M207" s="3" t="n"/>
      <c r="N207" s="1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</row>
    <row r="208" ht="15.75" customHeight="1">
      <c r="A208" s="3" t="n"/>
      <c r="B208" s="4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6" t="n"/>
      <c r="L208" s="6" t="n"/>
      <c r="M208" s="3" t="n"/>
      <c r="N208" s="1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</row>
    <row r="209" ht="15.75" customHeight="1">
      <c r="A209" s="3" t="n"/>
      <c r="B209" s="4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6" t="n"/>
      <c r="L209" s="6" t="n"/>
      <c r="M209" s="3" t="n"/>
      <c r="N209" s="1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</row>
    <row r="210" ht="15.75" customHeight="1">
      <c r="A210" s="3" t="n"/>
      <c r="B210" s="4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6" t="n"/>
      <c r="L210" s="6" t="n"/>
      <c r="M210" s="3" t="n"/>
      <c r="N210" s="1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</row>
    <row r="211" ht="15.75" customHeight="1">
      <c r="A211" s="3" t="n"/>
      <c r="B211" s="4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6" t="n"/>
      <c r="L211" s="6" t="n"/>
      <c r="M211" s="3" t="n"/>
      <c r="N211" s="1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</row>
    <row r="212" ht="15.75" customHeight="1">
      <c r="A212" s="3" t="n"/>
      <c r="B212" s="4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6" t="n"/>
      <c r="L212" s="6" t="n"/>
      <c r="M212" s="3" t="n"/>
      <c r="N212" s="1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</row>
    <row r="213" ht="15.75" customHeight="1">
      <c r="A213" s="3" t="n"/>
      <c r="B213" s="4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6" t="n"/>
      <c r="L213" s="6" t="n"/>
      <c r="M213" s="3" t="n"/>
      <c r="N213" s="1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</row>
    <row r="214" ht="15.75" customHeight="1">
      <c r="A214" s="3" t="n"/>
      <c r="B214" s="4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6" t="n"/>
      <c r="L214" s="6" t="n"/>
      <c r="M214" s="3" t="n"/>
      <c r="N214" s="1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</row>
    <row r="215" ht="15.75" customHeight="1">
      <c r="A215" s="3" t="n"/>
      <c r="B215" s="4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6" t="n"/>
      <c r="L215" s="6" t="n"/>
      <c r="M215" s="3" t="n"/>
      <c r="N215" s="1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</row>
    <row r="216" ht="15.75" customHeight="1">
      <c r="A216" s="3" t="n"/>
      <c r="B216" s="4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6" t="n"/>
      <c r="L216" s="6" t="n"/>
      <c r="M216" s="3" t="n"/>
      <c r="N216" s="1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</row>
    <row r="217" ht="15.75" customHeight="1">
      <c r="A217" s="3" t="n"/>
      <c r="B217" s="4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6" t="n"/>
      <c r="L217" s="6" t="n"/>
      <c r="M217" s="3" t="n"/>
      <c r="N217" s="1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</row>
    <row r="218" ht="15.75" customHeight="1">
      <c r="A218" s="3" t="n"/>
      <c r="B218" s="4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6" t="n"/>
      <c r="L218" s="6" t="n"/>
      <c r="M218" s="3" t="n"/>
      <c r="N218" s="1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</row>
    <row r="219" ht="15.75" customHeight="1">
      <c r="A219" s="3" t="n"/>
      <c r="B219" s="4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6" t="n"/>
      <c r="L219" s="6" t="n"/>
      <c r="M219" s="3" t="n"/>
      <c r="N219" s="1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</row>
    <row r="220" ht="15.75" customHeight="1">
      <c r="A220" s="3" t="n"/>
      <c r="B220" s="4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6" t="n"/>
      <c r="L220" s="6" t="n"/>
      <c r="M220" s="3" t="n"/>
      <c r="N220" s="1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</row>
    <row r="221" ht="15.75" customHeight="1">
      <c r="A221" s="3" t="n"/>
      <c r="B221" s="4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6" t="n"/>
      <c r="L221" s="6" t="n"/>
      <c r="M221" s="3" t="n"/>
      <c r="N221" s="1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</row>
    <row r="222" ht="15.75" customHeight="1">
      <c r="A222" s="3" t="n"/>
      <c r="B222" s="4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6" t="n"/>
      <c r="L222" s="6" t="n"/>
      <c r="M222" s="3" t="n"/>
      <c r="N222" s="1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</row>
    <row r="223" ht="15.75" customHeight="1">
      <c r="A223" s="3" t="n"/>
      <c r="B223" s="4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6" t="n"/>
      <c r="L223" s="6" t="n"/>
      <c r="M223" s="3" t="n"/>
      <c r="N223" s="1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</row>
    <row r="224" ht="15.75" customHeight="1">
      <c r="A224" s="3" t="n"/>
      <c r="B224" s="4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6" t="n"/>
      <c r="L224" s="6" t="n"/>
      <c r="M224" s="3" t="n"/>
      <c r="N224" s="1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</row>
    <row r="225" ht="15.75" customHeight="1">
      <c r="A225" s="3" t="n"/>
      <c r="B225" s="4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6" t="n"/>
      <c r="L225" s="6" t="n"/>
      <c r="M225" s="3" t="n"/>
      <c r="N225" s="1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</row>
    <row r="226" ht="15.75" customHeight="1">
      <c r="A226" s="3" t="n"/>
      <c r="B226" s="4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6" t="n"/>
      <c r="L226" s="6" t="n"/>
      <c r="M226" s="3" t="n"/>
      <c r="N226" s="1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</row>
    <row r="227" ht="15.75" customHeight="1">
      <c r="A227" s="3" t="n"/>
      <c r="B227" s="4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6" t="n"/>
      <c r="L227" s="6" t="n"/>
      <c r="M227" s="3" t="n"/>
      <c r="N227" s="1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</row>
    <row r="228" ht="15.75" customHeight="1">
      <c r="A228" s="3" t="n"/>
      <c r="B228" s="4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6" t="n"/>
      <c r="L228" s="6" t="n"/>
      <c r="M228" s="3" t="n"/>
      <c r="N228" s="1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</row>
    <row r="229" ht="15.75" customHeight="1">
      <c r="A229" s="3" t="n"/>
      <c r="B229" s="4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6" t="n"/>
      <c r="L229" s="6" t="n"/>
      <c r="M229" s="3" t="n"/>
      <c r="N229" s="1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</row>
    <row r="230" ht="15.75" customHeight="1">
      <c r="A230" s="3" t="n"/>
      <c r="B230" s="4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6" t="n"/>
      <c r="L230" s="6" t="n"/>
      <c r="M230" s="3" t="n"/>
      <c r="N230" s="1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</row>
    <row r="231" ht="15.75" customHeight="1">
      <c r="A231" s="3" t="n"/>
      <c r="B231" s="4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6" t="n"/>
      <c r="L231" s="6" t="n"/>
      <c r="M231" s="3" t="n"/>
      <c r="N231" s="1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</row>
    <row r="232" ht="15.75" customHeight="1">
      <c r="A232" s="3" t="n"/>
      <c r="B232" s="4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6" t="n"/>
      <c r="L232" s="6" t="n"/>
      <c r="M232" s="3" t="n"/>
      <c r="N232" s="1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</row>
    <row r="233" ht="15.75" customHeight="1">
      <c r="A233" s="3" t="n"/>
      <c r="B233" s="4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6" t="n"/>
      <c r="L233" s="6" t="n"/>
      <c r="M233" s="3" t="n"/>
      <c r="N233" s="1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</row>
    <row r="234" ht="15.75" customHeight="1">
      <c r="A234" s="3" t="n"/>
      <c r="B234" s="4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6" t="n"/>
      <c r="L234" s="6" t="n"/>
      <c r="M234" s="3" t="n"/>
      <c r="N234" s="1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</row>
    <row r="235" ht="15.75" customHeight="1">
      <c r="A235" s="3" t="n"/>
      <c r="B235" s="4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6" t="n"/>
      <c r="L235" s="6" t="n"/>
      <c r="M235" s="3" t="n"/>
      <c r="N235" s="1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</row>
    <row r="236" ht="15.75" customHeight="1">
      <c r="A236" s="3" t="n"/>
      <c r="B236" s="4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6" t="n"/>
      <c r="L236" s="6" t="n"/>
      <c r="M236" s="3" t="n"/>
      <c r="N236" s="1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</row>
    <row r="237" ht="15.75" customHeight="1">
      <c r="A237" s="3" t="n"/>
      <c r="B237" s="4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6" t="n"/>
      <c r="L237" s="6" t="n"/>
      <c r="M237" s="3" t="n"/>
      <c r="N237" s="1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</row>
    <row r="238" ht="15.75" customHeight="1">
      <c r="A238" s="3" t="n"/>
      <c r="B238" s="4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6" t="n"/>
      <c r="L238" s="6" t="n"/>
      <c r="M238" s="3" t="n"/>
      <c r="N238" s="1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</row>
    <row r="239" ht="15.75" customHeight="1">
      <c r="A239" s="3" t="n"/>
      <c r="B239" s="4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6" t="n"/>
      <c r="L239" s="6" t="n"/>
      <c r="M239" s="3" t="n"/>
      <c r="N239" s="1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</row>
    <row r="240" ht="15.75" customHeight="1">
      <c r="A240" s="3" t="n"/>
      <c r="B240" s="4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6" t="n"/>
      <c r="L240" s="6" t="n"/>
      <c r="M240" s="3" t="n"/>
      <c r="N240" s="1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</row>
    <row r="241" ht="15.75" customHeight="1">
      <c r="A241" s="3" t="n"/>
      <c r="B241" s="4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6" t="n"/>
      <c r="L241" s="6" t="n"/>
      <c r="M241" s="3" t="n"/>
      <c r="N241" s="1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</row>
    <row r="242" ht="15.75" customHeight="1">
      <c r="A242" s="3" t="n"/>
      <c r="B242" s="4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6" t="n"/>
      <c r="L242" s="6" t="n"/>
      <c r="M242" s="3" t="n"/>
      <c r="N242" s="1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</row>
    <row r="243" ht="15.75" customHeight="1">
      <c r="A243" s="3" t="n"/>
      <c r="B243" s="4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6" t="n"/>
      <c r="L243" s="6" t="n"/>
      <c r="M243" s="3" t="n"/>
      <c r="N243" s="1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</row>
    <row r="244" ht="15.75" customHeight="1">
      <c r="A244" s="3" t="n"/>
      <c r="B244" s="4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6" t="n"/>
      <c r="L244" s="6" t="n"/>
      <c r="M244" s="3" t="n"/>
      <c r="N244" s="1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</row>
    <row r="245" ht="15.75" customHeight="1">
      <c r="A245" s="3" t="n"/>
      <c r="B245" s="4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6" t="n"/>
      <c r="L245" s="6" t="n"/>
      <c r="M245" s="3" t="n"/>
      <c r="N245" s="1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</row>
    <row r="246" ht="15.75" customHeight="1">
      <c r="A246" s="3" t="n"/>
      <c r="B246" s="4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6" t="n"/>
      <c r="L246" s="6" t="n"/>
      <c r="M246" s="3" t="n"/>
      <c r="N246" s="1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</row>
    <row r="247" ht="15.75" customHeight="1">
      <c r="A247" s="3" t="n"/>
      <c r="B247" s="4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6" t="n"/>
      <c r="L247" s="6" t="n"/>
      <c r="M247" s="3" t="n"/>
      <c r="N247" s="1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</row>
    <row r="248" ht="15.75" customHeight="1">
      <c r="A248" s="3" t="n"/>
      <c r="B248" s="4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6" t="n"/>
      <c r="L248" s="6" t="n"/>
      <c r="M248" s="3" t="n"/>
      <c r="N248" s="1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</row>
    <row r="249" ht="15.75" customHeight="1">
      <c r="A249" s="3" t="n"/>
      <c r="B249" s="4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6" t="n"/>
      <c r="L249" s="6" t="n"/>
      <c r="M249" s="3" t="n"/>
      <c r="N249" s="1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</row>
    <row r="250" ht="15.75" customHeight="1">
      <c r="A250" s="3" t="n"/>
      <c r="B250" s="4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6" t="n"/>
      <c r="L250" s="6" t="n"/>
      <c r="M250" s="3" t="n"/>
      <c r="N250" s="1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</row>
    <row r="251" ht="15.75" customHeight="1">
      <c r="A251" s="3" t="n"/>
      <c r="B251" s="4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6" t="n"/>
      <c r="L251" s="6" t="n"/>
      <c r="M251" s="3" t="n"/>
      <c r="N251" s="1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</row>
    <row r="252" ht="15.75" customHeight="1">
      <c r="A252" s="3" t="n"/>
      <c r="B252" s="4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6" t="n"/>
      <c r="L252" s="6" t="n"/>
      <c r="M252" s="3" t="n"/>
      <c r="N252" s="1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</row>
    <row r="253" ht="15.75" customHeight="1">
      <c r="A253" s="3" t="n"/>
      <c r="B253" s="4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6" t="n"/>
      <c r="L253" s="6" t="n"/>
      <c r="M253" s="3" t="n"/>
      <c r="N253" s="1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</row>
    <row r="254" ht="15.75" customHeight="1">
      <c r="A254" s="3" t="n"/>
      <c r="B254" s="4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6" t="n"/>
      <c r="L254" s="6" t="n"/>
      <c r="M254" s="3" t="n"/>
      <c r="N254" s="1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</row>
    <row r="255" ht="15.75" customHeight="1">
      <c r="A255" s="3" t="n"/>
      <c r="B255" s="4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6" t="n"/>
      <c r="L255" s="6" t="n"/>
      <c r="M255" s="3" t="n"/>
      <c r="N255" s="1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</row>
    <row r="256" ht="15.75" customHeight="1">
      <c r="A256" s="3" t="n"/>
      <c r="B256" s="4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6" t="n"/>
      <c r="L256" s="6" t="n"/>
      <c r="M256" s="3" t="n"/>
      <c r="N256" s="1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</row>
    <row r="257" ht="15.75" customHeight="1">
      <c r="A257" s="3" t="n"/>
      <c r="B257" s="4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6" t="n"/>
      <c r="L257" s="6" t="n"/>
      <c r="M257" s="3" t="n"/>
      <c r="N257" s="1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</row>
    <row r="258" ht="15.75" customHeight="1">
      <c r="A258" s="3" t="n"/>
      <c r="B258" s="4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6" t="n"/>
      <c r="L258" s="6" t="n"/>
      <c r="M258" s="3" t="n"/>
      <c r="N258" s="1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</row>
    <row r="259" ht="15.75" customHeight="1">
      <c r="A259" s="3" t="n"/>
      <c r="B259" s="4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6" t="n"/>
      <c r="L259" s="6" t="n"/>
      <c r="M259" s="3" t="n"/>
      <c r="N259" s="1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</row>
    <row r="260" ht="15.75" customHeight="1">
      <c r="A260" s="3" t="n"/>
      <c r="B260" s="4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6" t="n"/>
      <c r="L260" s="6" t="n"/>
      <c r="M260" s="3" t="n"/>
      <c r="N260" s="1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</row>
    <row r="261" ht="15.75" customHeight="1">
      <c r="A261" s="3" t="n"/>
      <c r="B261" s="4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6" t="n"/>
      <c r="L261" s="6" t="n"/>
      <c r="M261" s="3" t="n"/>
      <c r="N261" s="1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</row>
    <row r="262" ht="15.75" customHeight="1">
      <c r="A262" s="3" t="n"/>
      <c r="B262" s="4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6" t="n"/>
      <c r="L262" s="6" t="n"/>
      <c r="M262" s="3" t="n"/>
      <c r="N262" s="1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</row>
    <row r="263" ht="15.75" customHeight="1">
      <c r="A263" s="3" t="n"/>
      <c r="B263" s="4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6" t="n"/>
      <c r="L263" s="6" t="n"/>
      <c r="M263" s="3" t="n"/>
      <c r="N263" s="1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</row>
    <row r="264" ht="15.75" customHeight="1">
      <c r="A264" s="3" t="n"/>
      <c r="B264" s="4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6" t="n"/>
      <c r="L264" s="6" t="n"/>
      <c r="M264" s="3" t="n"/>
      <c r="N264" s="1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</row>
    <row r="265" ht="15.75" customHeight="1">
      <c r="A265" s="3" t="n"/>
      <c r="B265" s="4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6" t="n"/>
      <c r="L265" s="6" t="n"/>
      <c r="M265" s="3" t="n"/>
      <c r="N265" s="1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</row>
    <row r="266" ht="15.75" customHeight="1">
      <c r="A266" s="3" t="n"/>
      <c r="B266" s="4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6" t="n"/>
      <c r="L266" s="6" t="n"/>
      <c r="M266" s="3" t="n"/>
      <c r="N266" s="1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</row>
    <row r="267" ht="15.75" customHeight="1">
      <c r="A267" s="3" t="n"/>
      <c r="B267" s="4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6" t="n"/>
      <c r="L267" s="6" t="n"/>
      <c r="M267" s="3" t="n"/>
      <c r="N267" s="1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</row>
    <row r="268" ht="15.75" customHeight="1">
      <c r="A268" s="3" t="n"/>
      <c r="B268" s="4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6" t="n"/>
      <c r="L268" s="6" t="n"/>
      <c r="M268" s="3" t="n"/>
      <c r="N268" s="1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</row>
    <row r="269" ht="15.75" customHeight="1">
      <c r="A269" s="3" t="n"/>
      <c r="B269" s="4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6" t="n"/>
      <c r="L269" s="6" t="n"/>
      <c r="M269" s="3" t="n"/>
      <c r="N269" s="1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</row>
    <row r="270" ht="15.75" customHeight="1">
      <c r="A270" s="3" t="n"/>
      <c r="B270" s="4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6" t="n"/>
      <c r="L270" s="6" t="n"/>
      <c r="M270" s="3" t="n"/>
      <c r="N270" s="1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</row>
    <row r="271" ht="15.75" customHeight="1">
      <c r="A271" s="3" t="n"/>
      <c r="B271" s="4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6" t="n"/>
      <c r="L271" s="6" t="n"/>
      <c r="M271" s="3" t="n"/>
      <c r="N271" s="1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</row>
    <row r="272" ht="15.75" customHeight="1">
      <c r="A272" s="3" t="n"/>
      <c r="B272" s="4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6" t="n"/>
      <c r="L272" s="6" t="n"/>
      <c r="M272" s="3" t="n"/>
      <c r="N272" s="1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</row>
    <row r="273" ht="15.75" customHeight="1">
      <c r="A273" s="3" t="n"/>
      <c r="B273" s="4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6" t="n"/>
      <c r="L273" s="6" t="n"/>
      <c r="M273" s="3" t="n"/>
      <c r="N273" s="1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</row>
    <row r="274" ht="15.75" customHeight="1">
      <c r="A274" s="3" t="n"/>
      <c r="B274" s="4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6" t="n"/>
      <c r="L274" s="6" t="n"/>
      <c r="M274" s="3" t="n"/>
      <c r="N274" s="1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</row>
    <row r="275" ht="15.75" customHeight="1">
      <c r="A275" s="3" t="n"/>
      <c r="B275" s="4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6" t="n"/>
      <c r="L275" s="6" t="n"/>
      <c r="M275" s="3" t="n"/>
      <c r="N275" s="1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</row>
    <row r="276" ht="15.75" customHeight="1">
      <c r="A276" s="3" t="n"/>
      <c r="B276" s="4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6" t="n"/>
      <c r="L276" s="6" t="n"/>
      <c r="M276" s="3" t="n"/>
      <c r="N276" s="1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</row>
    <row r="277" ht="15.75" customHeight="1">
      <c r="A277" s="3" t="n"/>
      <c r="B277" s="4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6" t="n"/>
      <c r="L277" s="6" t="n"/>
      <c r="M277" s="3" t="n"/>
      <c r="N277" s="1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</row>
    <row r="278" ht="15.75" customHeight="1">
      <c r="A278" s="3" t="n"/>
      <c r="B278" s="4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6" t="n"/>
      <c r="L278" s="6" t="n"/>
      <c r="M278" s="3" t="n"/>
      <c r="N278" s="1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</row>
    <row r="279" ht="15.75" customHeight="1">
      <c r="A279" s="3" t="n"/>
      <c r="B279" s="4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6" t="n"/>
      <c r="L279" s="6" t="n"/>
      <c r="M279" s="3" t="n"/>
      <c r="N279" s="1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</row>
    <row r="280" ht="15.75" customHeight="1">
      <c r="A280" s="3" t="n"/>
      <c r="B280" s="4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6" t="n"/>
      <c r="L280" s="6" t="n"/>
      <c r="M280" s="3" t="n"/>
      <c r="N280" s="1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</row>
    <row r="281" ht="15.75" customHeight="1">
      <c r="A281" s="3" t="n"/>
      <c r="B281" s="4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6" t="n"/>
      <c r="L281" s="6" t="n"/>
      <c r="M281" s="3" t="n"/>
      <c r="N281" s="1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</row>
    <row r="282" ht="15.75" customHeight="1">
      <c r="A282" s="3" t="n"/>
      <c r="B282" s="4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6" t="n"/>
      <c r="L282" s="6" t="n"/>
      <c r="M282" s="3" t="n"/>
      <c r="N282" s="1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</row>
    <row r="283" ht="15.75" customHeight="1">
      <c r="A283" s="3" t="n"/>
      <c r="B283" s="4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6" t="n"/>
      <c r="L283" s="6" t="n"/>
      <c r="M283" s="3" t="n"/>
      <c r="N283" s="1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</row>
    <row r="284" ht="15.75" customHeight="1">
      <c r="A284" s="3" t="n"/>
      <c r="B284" s="4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6" t="n"/>
      <c r="L284" s="6" t="n"/>
      <c r="M284" s="3" t="n"/>
      <c r="N284" s="1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</row>
    <row r="285" ht="15.75" customHeight="1">
      <c r="A285" s="3" t="n"/>
      <c r="B285" s="4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6" t="n"/>
      <c r="L285" s="6" t="n"/>
      <c r="M285" s="3" t="n"/>
      <c r="N285" s="1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</row>
    <row r="286" ht="15.75" customHeight="1">
      <c r="A286" s="3" t="n"/>
      <c r="B286" s="4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6" t="n"/>
      <c r="L286" s="6" t="n"/>
      <c r="M286" s="3" t="n"/>
      <c r="N286" s="1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</row>
    <row r="287" ht="15.75" customHeight="1">
      <c r="A287" s="3" t="n"/>
      <c r="B287" s="4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6" t="n"/>
      <c r="L287" s="6" t="n"/>
      <c r="M287" s="3" t="n"/>
      <c r="N287" s="1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</row>
    <row r="288" ht="15.75" customHeight="1">
      <c r="A288" s="3" t="n"/>
      <c r="B288" s="4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6" t="n"/>
      <c r="L288" s="6" t="n"/>
      <c r="M288" s="3" t="n"/>
      <c r="N288" s="1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</row>
    <row r="289" ht="15.75" customHeight="1">
      <c r="A289" s="3" t="n"/>
      <c r="B289" s="4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6" t="n"/>
      <c r="L289" s="6" t="n"/>
      <c r="M289" s="3" t="n"/>
      <c r="N289" s="1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</row>
    <row r="290" ht="15.75" customHeight="1">
      <c r="A290" s="3" t="n"/>
      <c r="B290" s="4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6" t="n"/>
      <c r="L290" s="6" t="n"/>
      <c r="M290" s="3" t="n"/>
      <c r="N290" s="1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</row>
    <row r="291" ht="15.75" customHeight="1">
      <c r="A291" s="3" t="n"/>
      <c r="B291" s="4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6" t="n"/>
      <c r="L291" s="6" t="n"/>
      <c r="M291" s="3" t="n"/>
      <c r="N291" s="1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</row>
    <row r="292" ht="15.75" customHeight="1">
      <c r="A292" s="3" t="n"/>
      <c r="B292" s="4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6" t="n"/>
      <c r="L292" s="6" t="n"/>
      <c r="M292" s="3" t="n"/>
      <c r="N292" s="1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</row>
    <row r="293" ht="15.75" customHeight="1">
      <c r="A293" s="3" t="n"/>
      <c r="B293" s="4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6" t="n"/>
      <c r="L293" s="6" t="n"/>
      <c r="M293" s="3" t="n"/>
      <c r="N293" s="1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</row>
    <row r="294" ht="15.75" customHeight="1">
      <c r="A294" s="3" t="n"/>
      <c r="B294" s="4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6" t="n"/>
      <c r="L294" s="6" t="n"/>
      <c r="M294" s="3" t="n"/>
      <c r="N294" s="1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</row>
    <row r="295" ht="15.75" customHeight="1">
      <c r="A295" s="3" t="n"/>
      <c r="B295" s="4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6" t="n"/>
      <c r="L295" s="6" t="n"/>
      <c r="M295" s="3" t="n"/>
      <c r="N295" s="1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</row>
    <row r="296" ht="15.75" customHeight="1">
      <c r="A296" s="3" t="n"/>
      <c r="B296" s="4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6" t="n"/>
      <c r="L296" s="6" t="n"/>
      <c r="M296" s="3" t="n"/>
      <c r="N296" s="1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</row>
    <row r="297" ht="15.75" customHeight="1">
      <c r="A297" s="3" t="n"/>
      <c r="B297" s="4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6" t="n"/>
      <c r="L297" s="6" t="n"/>
      <c r="M297" s="3" t="n"/>
      <c r="N297" s="1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</row>
    <row r="298" ht="15.75" customHeight="1">
      <c r="A298" s="3" t="n"/>
      <c r="B298" s="4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6" t="n"/>
      <c r="L298" s="6" t="n"/>
      <c r="M298" s="3" t="n"/>
      <c r="N298" s="1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</row>
    <row r="299" ht="15.75" customHeight="1">
      <c r="A299" s="3" t="n"/>
      <c r="B299" s="4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6" t="n"/>
      <c r="L299" s="6" t="n"/>
      <c r="M299" s="3" t="n"/>
      <c r="N299" s="1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</row>
    <row r="300" ht="15.75" customHeight="1">
      <c r="A300" s="3" t="n"/>
      <c r="B300" s="4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6" t="n"/>
      <c r="L300" s="6" t="n"/>
      <c r="M300" s="3" t="n"/>
      <c r="N300" s="1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</row>
    <row r="301" ht="15.75" customHeight="1">
      <c r="A301" s="3" t="n"/>
      <c r="B301" s="4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6" t="n"/>
      <c r="L301" s="6" t="n"/>
      <c r="M301" s="3" t="n"/>
      <c r="N301" s="1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</row>
    <row r="302" ht="15.75" customHeight="1">
      <c r="A302" s="3" t="n"/>
      <c r="B302" s="4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6" t="n"/>
      <c r="L302" s="6" t="n"/>
      <c r="M302" s="3" t="n"/>
      <c r="N302" s="1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</row>
    <row r="303" ht="15.75" customHeight="1">
      <c r="A303" s="3" t="n"/>
      <c r="B303" s="4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6" t="n"/>
      <c r="L303" s="6" t="n"/>
      <c r="M303" s="3" t="n"/>
      <c r="N303" s="1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</row>
    <row r="304" ht="15.75" customHeight="1">
      <c r="A304" s="3" t="n"/>
      <c r="B304" s="4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6" t="n"/>
      <c r="L304" s="6" t="n"/>
      <c r="M304" s="3" t="n"/>
      <c r="N304" s="1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</row>
    <row r="305" ht="15.75" customHeight="1">
      <c r="A305" s="3" t="n"/>
      <c r="B305" s="4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6" t="n"/>
      <c r="L305" s="6" t="n"/>
      <c r="M305" s="3" t="n"/>
      <c r="N305" s="1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</row>
    <row r="306" ht="15.75" customHeight="1">
      <c r="A306" s="3" t="n"/>
      <c r="B306" s="4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6" t="n"/>
      <c r="L306" s="6" t="n"/>
      <c r="M306" s="3" t="n"/>
      <c r="N306" s="1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</row>
    <row r="307" ht="15.75" customHeight="1">
      <c r="A307" s="3" t="n"/>
      <c r="B307" s="4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6" t="n"/>
      <c r="L307" s="6" t="n"/>
      <c r="M307" s="3" t="n"/>
      <c r="N307" s="1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</row>
    <row r="308" ht="15.75" customHeight="1">
      <c r="A308" s="3" t="n"/>
      <c r="B308" s="4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6" t="n"/>
      <c r="L308" s="6" t="n"/>
      <c r="M308" s="3" t="n"/>
      <c r="N308" s="1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</row>
    <row r="309" ht="15.75" customHeight="1">
      <c r="A309" s="3" t="n"/>
      <c r="B309" s="4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6" t="n"/>
      <c r="L309" s="6" t="n"/>
      <c r="M309" s="3" t="n"/>
      <c r="N309" s="1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</row>
    <row r="310" ht="15.75" customHeight="1">
      <c r="A310" s="3" t="n"/>
      <c r="B310" s="4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6" t="n"/>
      <c r="L310" s="6" t="n"/>
      <c r="M310" s="3" t="n"/>
      <c r="N310" s="1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</row>
    <row r="311" ht="15.75" customHeight="1">
      <c r="A311" s="3" t="n"/>
      <c r="B311" s="4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6" t="n"/>
      <c r="L311" s="6" t="n"/>
      <c r="M311" s="3" t="n"/>
      <c r="N311" s="1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</row>
    <row r="312" ht="15.75" customHeight="1">
      <c r="A312" s="3" t="n"/>
      <c r="B312" s="4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6" t="n"/>
      <c r="L312" s="6" t="n"/>
      <c r="M312" s="3" t="n"/>
      <c r="N312" s="1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</row>
    <row r="313" ht="15.75" customHeight="1">
      <c r="A313" s="3" t="n"/>
      <c r="B313" s="4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6" t="n"/>
      <c r="L313" s="6" t="n"/>
      <c r="M313" s="3" t="n"/>
      <c r="N313" s="1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</row>
    <row r="314" ht="15.75" customHeight="1">
      <c r="A314" s="3" t="n"/>
      <c r="B314" s="4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6" t="n"/>
      <c r="L314" s="6" t="n"/>
      <c r="M314" s="3" t="n"/>
      <c r="N314" s="1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</row>
    <row r="315" ht="15.75" customHeight="1">
      <c r="A315" s="3" t="n"/>
      <c r="B315" s="4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6" t="n"/>
      <c r="L315" s="6" t="n"/>
      <c r="M315" s="3" t="n"/>
      <c r="N315" s="1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</row>
    <row r="316" ht="15.75" customHeight="1">
      <c r="A316" s="3" t="n"/>
      <c r="B316" s="4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6" t="n"/>
      <c r="L316" s="6" t="n"/>
      <c r="M316" s="3" t="n"/>
      <c r="N316" s="1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</row>
    <row r="317" ht="15.75" customHeight="1">
      <c r="A317" s="3" t="n"/>
      <c r="B317" s="4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6" t="n"/>
      <c r="L317" s="6" t="n"/>
      <c r="M317" s="3" t="n"/>
      <c r="N317" s="1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</row>
    <row r="318" ht="15.75" customHeight="1">
      <c r="A318" s="3" t="n"/>
      <c r="B318" s="4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6" t="n"/>
      <c r="L318" s="6" t="n"/>
      <c r="M318" s="3" t="n"/>
      <c r="N318" s="1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</row>
    <row r="319" ht="15.75" customHeight="1">
      <c r="A319" s="3" t="n"/>
      <c r="B319" s="4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6" t="n"/>
      <c r="L319" s="6" t="n"/>
      <c r="M319" s="3" t="n"/>
      <c r="N319" s="1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</row>
    <row r="320" ht="15.75" customHeight="1">
      <c r="A320" s="3" t="n"/>
      <c r="B320" s="4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6" t="n"/>
      <c r="L320" s="6" t="n"/>
      <c r="M320" s="3" t="n"/>
      <c r="N320" s="1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</row>
    <row r="321" ht="15.75" customHeight="1">
      <c r="A321" s="3" t="n"/>
      <c r="B321" s="4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6" t="n"/>
      <c r="L321" s="6" t="n"/>
      <c r="M321" s="3" t="n"/>
      <c r="N321" s="1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</row>
    <row r="322" ht="15.75" customHeight="1">
      <c r="A322" s="3" t="n"/>
      <c r="B322" s="4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6" t="n"/>
      <c r="L322" s="6" t="n"/>
      <c r="M322" s="3" t="n"/>
      <c r="N322" s="1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</row>
    <row r="323" ht="15.75" customHeight="1">
      <c r="A323" s="3" t="n"/>
      <c r="B323" s="4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6" t="n"/>
      <c r="L323" s="6" t="n"/>
      <c r="M323" s="3" t="n"/>
      <c r="N323" s="1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</row>
    <row r="324" ht="15.75" customHeight="1">
      <c r="A324" s="3" t="n"/>
      <c r="B324" s="4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6" t="n"/>
      <c r="L324" s="6" t="n"/>
      <c r="M324" s="3" t="n"/>
      <c r="N324" s="1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</row>
    <row r="325" ht="15.75" customHeight="1">
      <c r="A325" s="3" t="n"/>
      <c r="B325" s="4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6" t="n"/>
      <c r="L325" s="6" t="n"/>
      <c r="M325" s="3" t="n"/>
      <c r="N325" s="1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</row>
    <row r="326" ht="15.75" customHeight="1">
      <c r="A326" s="3" t="n"/>
      <c r="B326" s="4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6" t="n"/>
      <c r="L326" s="6" t="n"/>
      <c r="M326" s="3" t="n"/>
      <c r="N326" s="1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</row>
    <row r="327" ht="15.75" customHeight="1">
      <c r="A327" s="3" t="n"/>
      <c r="B327" s="4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6" t="n"/>
      <c r="L327" s="6" t="n"/>
      <c r="M327" s="3" t="n"/>
      <c r="N327" s="1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</row>
    <row r="328" ht="15.75" customHeight="1">
      <c r="A328" s="3" t="n"/>
      <c r="B328" s="4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6" t="n"/>
      <c r="L328" s="6" t="n"/>
      <c r="M328" s="3" t="n"/>
      <c r="N328" s="1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</row>
    <row r="329" ht="15.75" customHeight="1">
      <c r="A329" s="3" t="n"/>
      <c r="B329" s="4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6" t="n"/>
      <c r="L329" s="6" t="n"/>
      <c r="M329" s="3" t="n"/>
      <c r="N329" s="1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</row>
    <row r="330" ht="15.75" customHeight="1">
      <c r="A330" s="3" t="n"/>
      <c r="B330" s="4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6" t="n"/>
      <c r="L330" s="6" t="n"/>
      <c r="M330" s="3" t="n"/>
      <c r="N330" s="1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</row>
    <row r="331" ht="15.75" customHeight="1">
      <c r="A331" s="3" t="n"/>
      <c r="B331" s="4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6" t="n"/>
      <c r="L331" s="6" t="n"/>
      <c r="M331" s="3" t="n"/>
      <c r="N331" s="1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</row>
    <row r="332" ht="15.75" customHeight="1">
      <c r="A332" s="3" t="n"/>
      <c r="B332" s="4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6" t="n"/>
      <c r="L332" s="6" t="n"/>
      <c r="M332" s="3" t="n"/>
      <c r="N332" s="1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</row>
    <row r="333" ht="15.75" customHeight="1">
      <c r="A333" s="3" t="n"/>
      <c r="B333" s="4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6" t="n"/>
      <c r="L333" s="6" t="n"/>
      <c r="M333" s="3" t="n"/>
      <c r="N333" s="1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</row>
    <row r="334" ht="15.75" customHeight="1">
      <c r="A334" s="3" t="n"/>
      <c r="B334" s="4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6" t="n"/>
      <c r="L334" s="6" t="n"/>
      <c r="M334" s="3" t="n"/>
      <c r="N334" s="1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</row>
    <row r="335" ht="15.75" customHeight="1">
      <c r="A335" s="3" t="n"/>
      <c r="B335" s="4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6" t="n"/>
      <c r="L335" s="6" t="n"/>
      <c r="M335" s="3" t="n"/>
      <c r="N335" s="1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</row>
    <row r="336" ht="15.75" customHeight="1">
      <c r="A336" s="3" t="n"/>
      <c r="B336" s="4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6" t="n"/>
      <c r="L336" s="6" t="n"/>
      <c r="M336" s="3" t="n"/>
      <c r="N336" s="1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</row>
    <row r="337" ht="15.75" customHeight="1">
      <c r="A337" s="3" t="n"/>
      <c r="B337" s="4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6" t="n"/>
      <c r="L337" s="6" t="n"/>
      <c r="M337" s="3" t="n"/>
      <c r="N337" s="1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</row>
    <row r="338" ht="15.75" customHeight="1">
      <c r="A338" s="3" t="n"/>
      <c r="B338" s="4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6" t="n"/>
      <c r="L338" s="6" t="n"/>
      <c r="M338" s="3" t="n"/>
      <c r="N338" s="1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</row>
    <row r="339" ht="15.75" customHeight="1">
      <c r="A339" s="3" t="n"/>
      <c r="B339" s="4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6" t="n"/>
      <c r="L339" s="6" t="n"/>
      <c r="M339" s="3" t="n"/>
      <c r="N339" s="1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</row>
    <row r="340" ht="15.75" customHeight="1">
      <c r="A340" s="3" t="n"/>
      <c r="B340" s="4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6" t="n"/>
      <c r="L340" s="6" t="n"/>
      <c r="M340" s="3" t="n"/>
      <c r="N340" s="1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</row>
    <row r="341" ht="15.75" customHeight="1">
      <c r="A341" s="3" t="n"/>
      <c r="B341" s="4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6" t="n"/>
      <c r="L341" s="6" t="n"/>
      <c r="M341" s="3" t="n"/>
      <c r="N341" s="1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</row>
    <row r="342" ht="15.75" customHeight="1">
      <c r="A342" s="3" t="n"/>
      <c r="B342" s="4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6" t="n"/>
      <c r="L342" s="6" t="n"/>
      <c r="M342" s="3" t="n"/>
      <c r="N342" s="1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</row>
    <row r="343" ht="15.75" customHeight="1">
      <c r="A343" s="3" t="n"/>
      <c r="B343" s="4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6" t="n"/>
      <c r="L343" s="6" t="n"/>
      <c r="M343" s="3" t="n"/>
      <c r="N343" s="1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</row>
    <row r="344" ht="15.75" customHeight="1">
      <c r="A344" s="3" t="n"/>
      <c r="B344" s="4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6" t="n"/>
      <c r="L344" s="6" t="n"/>
      <c r="M344" s="3" t="n"/>
      <c r="N344" s="1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</row>
    <row r="345" ht="15.75" customHeight="1">
      <c r="A345" s="3" t="n"/>
      <c r="B345" s="4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6" t="n"/>
      <c r="L345" s="6" t="n"/>
      <c r="M345" s="3" t="n"/>
      <c r="N345" s="1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</row>
    <row r="346" ht="15.75" customHeight="1">
      <c r="A346" s="3" t="n"/>
      <c r="B346" s="4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6" t="n"/>
      <c r="L346" s="6" t="n"/>
      <c r="M346" s="3" t="n"/>
      <c r="N346" s="1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</row>
    <row r="347" ht="15.75" customHeight="1">
      <c r="A347" s="3" t="n"/>
      <c r="B347" s="4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6" t="n"/>
      <c r="L347" s="6" t="n"/>
      <c r="M347" s="3" t="n"/>
      <c r="N347" s="1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</row>
    <row r="348" ht="15.75" customHeight="1">
      <c r="A348" s="3" t="n"/>
      <c r="B348" s="4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6" t="n"/>
      <c r="L348" s="6" t="n"/>
      <c r="M348" s="3" t="n"/>
      <c r="N348" s="1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</row>
    <row r="349" ht="15.75" customHeight="1">
      <c r="A349" s="3" t="n"/>
      <c r="B349" s="4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6" t="n"/>
      <c r="L349" s="6" t="n"/>
      <c r="M349" s="3" t="n"/>
      <c r="N349" s="1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</row>
    <row r="350" ht="15.75" customHeight="1">
      <c r="A350" s="3" t="n"/>
      <c r="B350" s="4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6" t="n"/>
      <c r="L350" s="6" t="n"/>
      <c r="M350" s="3" t="n"/>
      <c r="N350" s="1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</row>
    <row r="351" ht="15.75" customHeight="1">
      <c r="A351" s="3" t="n"/>
      <c r="B351" s="4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6" t="n"/>
      <c r="L351" s="6" t="n"/>
      <c r="M351" s="3" t="n"/>
      <c r="N351" s="1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</row>
    <row r="352" ht="15.75" customHeight="1">
      <c r="A352" s="3" t="n"/>
      <c r="B352" s="4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6" t="n"/>
      <c r="L352" s="6" t="n"/>
      <c r="M352" s="3" t="n"/>
      <c r="N352" s="1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</row>
    <row r="353" ht="15.75" customHeight="1">
      <c r="A353" s="3" t="n"/>
      <c r="B353" s="4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6" t="n"/>
      <c r="L353" s="6" t="n"/>
      <c r="M353" s="3" t="n"/>
      <c r="N353" s="1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</row>
    <row r="354" ht="15.75" customHeight="1">
      <c r="A354" s="3" t="n"/>
      <c r="B354" s="4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6" t="n"/>
      <c r="L354" s="6" t="n"/>
      <c r="M354" s="3" t="n"/>
      <c r="N354" s="1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</row>
    <row r="355" ht="15.75" customHeight="1">
      <c r="A355" s="3" t="n"/>
      <c r="B355" s="4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6" t="n"/>
      <c r="L355" s="6" t="n"/>
      <c r="M355" s="3" t="n"/>
      <c r="N355" s="1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</row>
    <row r="356" ht="15.75" customHeight="1">
      <c r="A356" s="3" t="n"/>
      <c r="B356" s="4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6" t="n"/>
      <c r="L356" s="6" t="n"/>
      <c r="M356" s="3" t="n"/>
      <c r="N356" s="1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</row>
    <row r="357" ht="15.75" customHeight="1">
      <c r="A357" s="3" t="n"/>
      <c r="B357" s="4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6" t="n"/>
      <c r="L357" s="6" t="n"/>
      <c r="M357" s="3" t="n"/>
      <c r="N357" s="1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</row>
    <row r="358" ht="15.75" customHeight="1">
      <c r="A358" s="3" t="n"/>
      <c r="B358" s="4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6" t="n"/>
      <c r="L358" s="6" t="n"/>
      <c r="M358" s="3" t="n"/>
      <c r="N358" s="1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</row>
    <row r="359" ht="15.75" customHeight="1">
      <c r="A359" s="3" t="n"/>
      <c r="B359" s="4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6" t="n"/>
      <c r="L359" s="6" t="n"/>
      <c r="M359" s="3" t="n"/>
      <c r="N359" s="1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</row>
    <row r="360" ht="15.75" customHeight="1">
      <c r="A360" s="3" t="n"/>
      <c r="B360" s="4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6" t="n"/>
      <c r="L360" s="6" t="n"/>
      <c r="M360" s="3" t="n"/>
      <c r="N360" s="1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</row>
    <row r="361" ht="15.75" customHeight="1">
      <c r="A361" s="3" t="n"/>
      <c r="B361" s="4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6" t="n"/>
      <c r="L361" s="6" t="n"/>
      <c r="M361" s="3" t="n"/>
      <c r="N361" s="1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</row>
    <row r="362" ht="15.75" customHeight="1">
      <c r="A362" s="3" t="n"/>
      <c r="B362" s="4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6" t="n"/>
      <c r="L362" s="6" t="n"/>
      <c r="M362" s="3" t="n"/>
      <c r="N362" s="1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</row>
    <row r="363" ht="15.75" customHeight="1">
      <c r="A363" s="3" t="n"/>
      <c r="B363" s="4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6" t="n"/>
      <c r="L363" s="6" t="n"/>
      <c r="M363" s="3" t="n"/>
      <c r="N363" s="1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</row>
    <row r="364" ht="15.75" customHeight="1">
      <c r="A364" s="3" t="n"/>
      <c r="B364" s="4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6" t="n"/>
      <c r="L364" s="6" t="n"/>
      <c r="M364" s="3" t="n"/>
      <c r="N364" s="1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</row>
    <row r="365" ht="15.75" customHeight="1">
      <c r="A365" s="3" t="n"/>
      <c r="B365" s="4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6" t="n"/>
      <c r="L365" s="6" t="n"/>
      <c r="M365" s="3" t="n"/>
      <c r="N365" s="1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</row>
    <row r="366" ht="15.75" customHeight="1">
      <c r="A366" s="3" t="n"/>
      <c r="B366" s="4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6" t="n"/>
      <c r="L366" s="6" t="n"/>
      <c r="M366" s="3" t="n"/>
      <c r="N366" s="1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</row>
    <row r="367" ht="15.75" customHeight="1">
      <c r="A367" s="3" t="n"/>
      <c r="B367" s="4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6" t="n"/>
      <c r="L367" s="6" t="n"/>
      <c r="M367" s="3" t="n"/>
      <c r="N367" s="1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</row>
    <row r="368" ht="15.75" customHeight="1">
      <c r="A368" s="3" t="n"/>
      <c r="B368" s="4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6" t="n"/>
      <c r="L368" s="6" t="n"/>
      <c r="M368" s="3" t="n"/>
      <c r="N368" s="1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</row>
    <row r="369" ht="15.75" customHeight="1">
      <c r="A369" s="3" t="n"/>
      <c r="B369" s="4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6" t="n"/>
      <c r="L369" s="6" t="n"/>
      <c r="M369" s="3" t="n"/>
      <c r="N369" s="1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</row>
    <row r="370" ht="15.75" customHeight="1">
      <c r="A370" s="3" t="n"/>
      <c r="B370" s="4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6" t="n"/>
      <c r="L370" s="6" t="n"/>
      <c r="M370" s="3" t="n"/>
      <c r="N370" s="1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</row>
    <row r="371" ht="15.75" customHeight="1">
      <c r="A371" s="3" t="n"/>
      <c r="B371" s="4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6" t="n"/>
      <c r="L371" s="6" t="n"/>
      <c r="M371" s="3" t="n"/>
      <c r="N371" s="1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</row>
    <row r="372" ht="15.75" customHeight="1">
      <c r="A372" s="3" t="n"/>
      <c r="B372" s="4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6" t="n"/>
      <c r="L372" s="6" t="n"/>
      <c r="M372" s="3" t="n"/>
      <c r="N372" s="1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</row>
    <row r="373" ht="15.75" customHeight="1">
      <c r="A373" s="3" t="n"/>
      <c r="B373" s="4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6" t="n"/>
      <c r="L373" s="6" t="n"/>
      <c r="M373" s="3" t="n"/>
      <c r="N373" s="1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</row>
    <row r="374" ht="15.75" customHeight="1">
      <c r="A374" s="3" t="n"/>
      <c r="B374" s="4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6" t="n"/>
      <c r="L374" s="6" t="n"/>
      <c r="M374" s="3" t="n"/>
      <c r="N374" s="1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</row>
    <row r="375" ht="15.75" customHeight="1">
      <c r="A375" s="3" t="n"/>
      <c r="B375" s="4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6" t="n"/>
      <c r="L375" s="6" t="n"/>
      <c r="M375" s="3" t="n"/>
      <c r="N375" s="1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</row>
    <row r="376" ht="15.75" customHeight="1">
      <c r="A376" s="3" t="n"/>
      <c r="B376" s="4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6" t="n"/>
      <c r="L376" s="6" t="n"/>
      <c r="M376" s="3" t="n"/>
      <c r="N376" s="1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</row>
    <row r="377" ht="15.75" customHeight="1">
      <c r="A377" s="3" t="n"/>
      <c r="B377" s="4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6" t="n"/>
      <c r="L377" s="6" t="n"/>
      <c r="M377" s="3" t="n"/>
      <c r="N377" s="1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</row>
    <row r="378" ht="15.75" customHeight="1">
      <c r="A378" s="3" t="n"/>
      <c r="B378" s="4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6" t="n"/>
      <c r="L378" s="6" t="n"/>
      <c r="M378" s="3" t="n"/>
      <c r="N378" s="1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</row>
    <row r="379" ht="15.75" customHeight="1">
      <c r="A379" s="3" t="n"/>
      <c r="B379" s="4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6" t="n"/>
      <c r="L379" s="6" t="n"/>
      <c r="M379" s="3" t="n"/>
      <c r="N379" s="1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</row>
    <row r="380" ht="15.75" customHeight="1">
      <c r="A380" s="3" t="n"/>
      <c r="B380" s="4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6" t="n"/>
      <c r="L380" s="6" t="n"/>
      <c r="M380" s="3" t="n"/>
      <c r="N380" s="1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</row>
    <row r="381" ht="15.75" customHeight="1">
      <c r="A381" s="3" t="n"/>
      <c r="B381" s="4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6" t="n"/>
      <c r="L381" s="6" t="n"/>
      <c r="M381" s="3" t="n"/>
      <c r="N381" s="1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</row>
    <row r="382" ht="15.75" customHeight="1">
      <c r="A382" s="3" t="n"/>
      <c r="B382" s="4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6" t="n"/>
      <c r="L382" s="6" t="n"/>
      <c r="M382" s="3" t="n"/>
      <c r="N382" s="1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</row>
    <row r="383" ht="15.75" customHeight="1">
      <c r="A383" s="3" t="n"/>
      <c r="B383" s="4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6" t="n"/>
      <c r="L383" s="6" t="n"/>
      <c r="M383" s="3" t="n"/>
      <c r="N383" s="1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</row>
    <row r="384" ht="15.75" customHeight="1">
      <c r="A384" s="3" t="n"/>
      <c r="B384" s="4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6" t="n"/>
      <c r="L384" s="6" t="n"/>
      <c r="M384" s="3" t="n"/>
      <c r="N384" s="1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</row>
    <row r="385" ht="15.75" customHeight="1">
      <c r="A385" s="3" t="n"/>
      <c r="B385" s="4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6" t="n"/>
      <c r="L385" s="6" t="n"/>
      <c r="M385" s="3" t="n"/>
      <c r="N385" s="1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</row>
    <row r="386" ht="15.75" customHeight="1">
      <c r="A386" s="3" t="n"/>
      <c r="B386" s="4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6" t="n"/>
      <c r="L386" s="6" t="n"/>
      <c r="M386" s="3" t="n"/>
      <c r="N386" s="1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</row>
    <row r="387" ht="15.75" customHeight="1">
      <c r="A387" s="3" t="n"/>
      <c r="B387" s="4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6" t="n"/>
      <c r="L387" s="6" t="n"/>
      <c r="M387" s="3" t="n"/>
      <c r="N387" s="1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</row>
    <row r="388" ht="15.75" customHeight="1">
      <c r="A388" s="3" t="n"/>
      <c r="B388" s="4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6" t="n"/>
      <c r="L388" s="6" t="n"/>
      <c r="M388" s="3" t="n"/>
      <c r="N388" s="1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</row>
    <row r="389" ht="15.75" customHeight="1">
      <c r="A389" s="3" t="n"/>
      <c r="B389" s="4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6" t="n"/>
      <c r="L389" s="6" t="n"/>
      <c r="M389" s="3" t="n"/>
      <c r="N389" s="1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</row>
    <row r="390" ht="15.75" customHeight="1">
      <c r="A390" s="3" t="n"/>
      <c r="B390" s="4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6" t="n"/>
      <c r="L390" s="6" t="n"/>
      <c r="M390" s="3" t="n"/>
      <c r="N390" s="1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</row>
    <row r="391" ht="15.75" customHeight="1">
      <c r="A391" s="3" t="n"/>
      <c r="B391" s="4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6" t="n"/>
      <c r="L391" s="6" t="n"/>
      <c r="M391" s="3" t="n"/>
      <c r="N391" s="1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</row>
    <row r="392" ht="15.75" customHeight="1">
      <c r="A392" s="3" t="n"/>
      <c r="B392" s="4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6" t="n"/>
      <c r="L392" s="6" t="n"/>
      <c r="M392" s="3" t="n"/>
      <c r="N392" s="1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</row>
    <row r="393" ht="15.75" customHeight="1">
      <c r="A393" s="3" t="n"/>
      <c r="B393" s="4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6" t="n"/>
      <c r="L393" s="6" t="n"/>
      <c r="M393" s="3" t="n"/>
      <c r="N393" s="1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</row>
    <row r="394" ht="15.75" customHeight="1">
      <c r="A394" s="3" t="n"/>
      <c r="B394" s="4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6" t="n"/>
      <c r="L394" s="6" t="n"/>
      <c r="M394" s="3" t="n"/>
      <c r="N394" s="1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</row>
    <row r="395" ht="15.75" customHeight="1">
      <c r="A395" s="3" t="n"/>
      <c r="B395" s="4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6" t="n"/>
      <c r="L395" s="6" t="n"/>
      <c r="M395" s="3" t="n"/>
      <c r="N395" s="1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</row>
    <row r="396" ht="15.75" customHeight="1">
      <c r="A396" s="3" t="n"/>
      <c r="B396" s="4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6" t="n"/>
      <c r="L396" s="6" t="n"/>
      <c r="M396" s="3" t="n"/>
      <c r="N396" s="1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</row>
    <row r="397" ht="15.75" customHeight="1">
      <c r="A397" s="3" t="n"/>
      <c r="B397" s="4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6" t="n"/>
      <c r="L397" s="6" t="n"/>
      <c r="M397" s="3" t="n"/>
      <c r="N397" s="1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</row>
    <row r="398" ht="15.75" customHeight="1">
      <c r="A398" s="3" t="n"/>
      <c r="B398" s="4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6" t="n"/>
      <c r="L398" s="6" t="n"/>
      <c r="M398" s="3" t="n"/>
      <c r="N398" s="1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</row>
    <row r="399" ht="15.75" customHeight="1">
      <c r="A399" s="3" t="n"/>
      <c r="B399" s="4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6" t="n"/>
      <c r="L399" s="6" t="n"/>
      <c r="M399" s="3" t="n"/>
      <c r="N399" s="1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</row>
    <row r="400" ht="15.75" customHeight="1">
      <c r="A400" s="3" t="n"/>
      <c r="B400" s="4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6" t="n"/>
      <c r="L400" s="6" t="n"/>
      <c r="M400" s="3" t="n"/>
      <c r="N400" s="1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</row>
    <row r="401" ht="15.75" customHeight="1">
      <c r="A401" s="3" t="n"/>
      <c r="B401" s="4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6" t="n"/>
      <c r="L401" s="6" t="n"/>
      <c r="M401" s="3" t="n"/>
      <c r="N401" s="1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</row>
    <row r="402" ht="15.75" customHeight="1">
      <c r="A402" s="3" t="n"/>
      <c r="B402" s="4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6" t="n"/>
      <c r="L402" s="6" t="n"/>
      <c r="M402" s="3" t="n"/>
      <c r="N402" s="1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</row>
    <row r="403" ht="15.75" customHeight="1">
      <c r="A403" s="3" t="n"/>
      <c r="B403" s="4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6" t="n"/>
      <c r="L403" s="6" t="n"/>
      <c r="M403" s="3" t="n"/>
      <c r="N403" s="1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</row>
    <row r="404" ht="15.75" customHeight="1">
      <c r="A404" s="3" t="n"/>
      <c r="B404" s="4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6" t="n"/>
      <c r="L404" s="6" t="n"/>
      <c r="M404" s="3" t="n"/>
      <c r="N404" s="1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</row>
    <row r="405" ht="15.75" customHeight="1">
      <c r="A405" s="3" t="n"/>
      <c r="B405" s="4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6" t="n"/>
      <c r="L405" s="6" t="n"/>
      <c r="M405" s="3" t="n"/>
      <c r="N405" s="1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</row>
    <row r="406" ht="15.75" customHeight="1">
      <c r="A406" s="3" t="n"/>
      <c r="B406" s="4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6" t="n"/>
      <c r="L406" s="6" t="n"/>
      <c r="M406" s="3" t="n"/>
      <c r="N406" s="1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</row>
    <row r="407" ht="15.75" customHeight="1">
      <c r="A407" s="3" t="n"/>
      <c r="B407" s="4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6" t="n"/>
      <c r="L407" s="6" t="n"/>
      <c r="M407" s="3" t="n"/>
      <c r="N407" s="1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</row>
    <row r="408" ht="15.75" customHeight="1">
      <c r="A408" s="3" t="n"/>
      <c r="B408" s="4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6" t="n"/>
      <c r="L408" s="6" t="n"/>
      <c r="M408" s="3" t="n"/>
      <c r="N408" s="1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</row>
    <row r="409" ht="15.75" customHeight="1">
      <c r="A409" s="3" t="n"/>
      <c r="B409" s="4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6" t="n"/>
      <c r="L409" s="6" t="n"/>
      <c r="M409" s="3" t="n"/>
      <c r="N409" s="1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</row>
    <row r="410" ht="15.75" customHeight="1">
      <c r="A410" s="3" t="n"/>
      <c r="B410" s="4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6" t="n"/>
      <c r="L410" s="6" t="n"/>
      <c r="M410" s="3" t="n"/>
      <c r="N410" s="1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</row>
    <row r="411" ht="15.75" customHeight="1">
      <c r="A411" s="3" t="n"/>
      <c r="B411" s="4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6" t="n"/>
      <c r="L411" s="6" t="n"/>
      <c r="M411" s="3" t="n"/>
      <c r="N411" s="1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</row>
    <row r="412" ht="15.75" customHeight="1">
      <c r="A412" s="3" t="n"/>
      <c r="B412" s="4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6" t="n"/>
      <c r="L412" s="6" t="n"/>
      <c r="M412" s="3" t="n"/>
      <c r="N412" s="1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</row>
    <row r="413" ht="15.75" customHeight="1">
      <c r="A413" s="3" t="n"/>
      <c r="B413" s="4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6" t="n"/>
      <c r="L413" s="6" t="n"/>
      <c r="M413" s="3" t="n"/>
      <c r="N413" s="1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</row>
    <row r="414" ht="15.75" customHeight="1">
      <c r="A414" s="3" t="n"/>
      <c r="B414" s="4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6" t="n"/>
      <c r="L414" s="6" t="n"/>
      <c r="M414" s="3" t="n"/>
      <c r="N414" s="1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</row>
    <row r="415" ht="15.75" customHeight="1">
      <c r="A415" s="3" t="n"/>
      <c r="B415" s="4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6" t="n"/>
      <c r="L415" s="6" t="n"/>
      <c r="M415" s="3" t="n"/>
      <c r="N415" s="1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</row>
    <row r="416" ht="15.75" customHeight="1">
      <c r="A416" s="3" t="n"/>
      <c r="B416" s="4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6" t="n"/>
      <c r="L416" s="6" t="n"/>
      <c r="M416" s="3" t="n"/>
      <c r="N416" s="1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</row>
    <row r="417" ht="15.75" customHeight="1">
      <c r="A417" s="3" t="n"/>
      <c r="B417" s="4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6" t="n"/>
      <c r="L417" s="6" t="n"/>
      <c r="M417" s="3" t="n"/>
      <c r="N417" s="1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</row>
    <row r="418" ht="15.75" customHeight="1">
      <c r="A418" s="3" t="n"/>
      <c r="B418" s="4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6" t="n"/>
      <c r="L418" s="6" t="n"/>
      <c r="M418" s="3" t="n"/>
      <c r="N418" s="1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</row>
    <row r="419" ht="15.75" customHeight="1">
      <c r="A419" s="3" t="n"/>
      <c r="B419" s="4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6" t="n"/>
      <c r="L419" s="6" t="n"/>
      <c r="M419" s="3" t="n"/>
      <c r="N419" s="1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</row>
    <row r="420" ht="15.75" customHeight="1">
      <c r="A420" s="3" t="n"/>
      <c r="B420" s="4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6" t="n"/>
      <c r="L420" s="6" t="n"/>
      <c r="M420" s="3" t="n"/>
      <c r="N420" s="1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</row>
    <row r="421" ht="15.75" customHeight="1">
      <c r="A421" s="3" t="n"/>
      <c r="B421" s="4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6" t="n"/>
      <c r="L421" s="6" t="n"/>
      <c r="M421" s="3" t="n"/>
      <c r="N421" s="1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</row>
    <row r="422" ht="15.75" customHeight="1">
      <c r="A422" s="3" t="n"/>
      <c r="B422" s="4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6" t="n"/>
      <c r="L422" s="6" t="n"/>
      <c r="M422" s="3" t="n"/>
      <c r="N422" s="1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</row>
    <row r="423" ht="15.75" customHeight="1">
      <c r="A423" s="3" t="n"/>
      <c r="B423" s="4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6" t="n"/>
      <c r="L423" s="6" t="n"/>
      <c r="M423" s="3" t="n"/>
      <c r="N423" s="1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</row>
    <row r="424" ht="15.75" customHeight="1">
      <c r="A424" s="3" t="n"/>
      <c r="B424" s="4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6" t="n"/>
      <c r="L424" s="6" t="n"/>
      <c r="M424" s="3" t="n"/>
      <c r="N424" s="1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</row>
    <row r="425" ht="15.75" customHeight="1">
      <c r="A425" s="3" t="n"/>
      <c r="B425" s="4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6" t="n"/>
      <c r="L425" s="6" t="n"/>
      <c r="M425" s="3" t="n"/>
      <c r="N425" s="1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</row>
    <row r="426" ht="15.75" customHeight="1">
      <c r="A426" s="3" t="n"/>
      <c r="B426" s="4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6" t="n"/>
      <c r="L426" s="6" t="n"/>
      <c r="M426" s="3" t="n"/>
      <c r="N426" s="1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</row>
    <row r="427" ht="15.75" customHeight="1">
      <c r="A427" s="3" t="n"/>
      <c r="B427" s="4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6" t="n"/>
      <c r="L427" s="6" t="n"/>
      <c r="M427" s="3" t="n"/>
      <c r="N427" s="1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</row>
    <row r="428" ht="15.75" customHeight="1">
      <c r="A428" s="3" t="n"/>
      <c r="B428" s="4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6" t="n"/>
      <c r="L428" s="6" t="n"/>
      <c r="M428" s="3" t="n"/>
      <c r="N428" s="1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</row>
    <row r="429" ht="15.75" customHeight="1">
      <c r="A429" s="3" t="n"/>
      <c r="B429" s="4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6" t="n"/>
      <c r="L429" s="6" t="n"/>
      <c r="M429" s="3" t="n"/>
      <c r="N429" s="1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</row>
    <row r="430" ht="15.75" customHeight="1">
      <c r="A430" s="3" t="n"/>
      <c r="B430" s="4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6" t="n"/>
      <c r="L430" s="6" t="n"/>
      <c r="M430" s="3" t="n"/>
      <c r="N430" s="1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</row>
    <row r="431" ht="15.75" customHeight="1">
      <c r="A431" s="3" t="n"/>
      <c r="B431" s="4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6" t="n"/>
      <c r="L431" s="6" t="n"/>
      <c r="M431" s="3" t="n"/>
      <c r="N431" s="1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</row>
    <row r="432" ht="15.75" customHeight="1">
      <c r="A432" s="3" t="n"/>
      <c r="B432" s="4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6" t="n"/>
      <c r="L432" s="6" t="n"/>
      <c r="M432" s="3" t="n"/>
      <c r="N432" s="1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</row>
    <row r="433" ht="15.75" customHeight="1">
      <c r="A433" s="3" t="n"/>
      <c r="B433" s="4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6" t="n"/>
      <c r="L433" s="6" t="n"/>
      <c r="M433" s="3" t="n"/>
      <c r="N433" s="1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</row>
    <row r="434" ht="15.75" customHeight="1">
      <c r="A434" s="3" t="n"/>
      <c r="B434" s="4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6" t="n"/>
      <c r="L434" s="6" t="n"/>
      <c r="M434" s="3" t="n"/>
      <c r="N434" s="1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</row>
    <row r="435" ht="15.75" customHeight="1">
      <c r="A435" s="3" t="n"/>
      <c r="B435" s="4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6" t="n"/>
      <c r="L435" s="6" t="n"/>
      <c r="M435" s="3" t="n"/>
      <c r="N435" s="1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</row>
    <row r="436" ht="15.75" customHeight="1">
      <c r="A436" s="3" t="n"/>
      <c r="B436" s="4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6" t="n"/>
      <c r="L436" s="6" t="n"/>
      <c r="M436" s="3" t="n"/>
      <c r="N436" s="1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</row>
    <row r="437" ht="15.75" customHeight="1">
      <c r="A437" s="3" t="n"/>
      <c r="B437" s="4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6" t="n"/>
      <c r="L437" s="6" t="n"/>
      <c r="M437" s="3" t="n"/>
      <c r="N437" s="1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</row>
    <row r="438" ht="15.75" customHeight="1">
      <c r="A438" s="3" t="n"/>
      <c r="B438" s="4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6" t="n"/>
      <c r="L438" s="6" t="n"/>
      <c r="M438" s="3" t="n"/>
      <c r="N438" s="1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</row>
    <row r="439" ht="15.75" customHeight="1">
      <c r="A439" s="3" t="n"/>
      <c r="B439" s="4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6" t="n"/>
      <c r="L439" s="6" t="n"/>
      <c r="M439" s="3" t="n"/>
      <c r="N439" s="1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</row>
    <row r="440" ht="15.75" customHeight="1">
      <c r="A440" s="3" t="n"/>
      <c r="B440" s="4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6" t="n"/>
      <c r="L440" s="6" t="n"/>
      <c r="M440" s="3" t="n"/>
      <c r="N440" s="1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</row>
    <row r="441" ht="15.75" customHeight="1">
      <c r="A441" s="3" t="n"/>
      <c r="B441" s="4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6" t="n"/>
      <c r="L441" s="6" t="n"/>
      <c r="M441" s="3" t="n"/>
      <c r="N441" s="1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</row>
    <row r="442" ht="15.75" customHeight="1">
      <c r="A442" s="3" t="n"/>
      <c r="B442" s="4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6" t="n"/>
      <c r="L442" s="6" t="n"/>
      <c r="M442" s="3" t="n"/>
      <c r="N442" s="1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</row>
    <row r="443" ht="15.75" customHeight="1">
      <c r="A443" s="3" t="n"/>
      <c r="B443" s="4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6" t="n"/>
      <c r="L443" s="6" t="n"/>
      <c r="M443" s="3" t="n"/>
      <c r="N443" s="1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</row>
    <row r="444" ht="15.75" customHeight="1">
      <c r="A444" s="3" t="n"/>
      <c r="B444" s="4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6" t="n"/>
      <c r="L444" s="6" t="n"/>
      <c r="M444" s="3" t="n"/>
      <c r="N444" s="1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</row>
    <row r="445" ht="15.75" customHeight="1">
      <c r="A445" s="3" t="n"/>
      <c r="B445" s="4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6" t="n"/>
      <c r="L445" s="6" t="n"/>
      <c r="M445" s="3" t="n"/>
      <c r="N445" s="1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</row>
    <row r="446" ht="15.75" customHeight="1">
      <c r="A446" s="3" t="n"/>
      <c r="B446" s="4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6" t="n"/>
      <c r="L446" s="6" t="n"/>
      <c r="M446" s="3" t="n"/>
      <c r="N446" s="1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</row>
    <row r="447" ht="15.75" customHeight="1">
      <c r="A447" s="3" t="n"/>
      <c r="B447" s="4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6" t="n"/>
      <c r="L447" s="6" t="n"/>
      <c r="M447" s="3" t="n"/>
      <c r="N447" s="1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</row>
    <row r="448" ht="15.75" customHeight="1">
      <c r="A448" s="3" t="n"/>
      <c r="B448" s="4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6" t="n"/>
      <c r="L448" s="6" t="n"/>
      <c r="M448" s="3" t="n"/>
      <c r="N448" s="1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</row>
    <row r="449" ht="15.75" customHeight="1">
      <c r="A449" s="3" t="n"/>
      <c r="B449" s="4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6" t="n"/>
      <c r="L449" s="6" t="n"/>
      <c r="M449" s="3" t="n"/>
      <c r="N449" s="1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</row>
    <row r="450" ht="15.75" customHeight="1">
      <c r="A450" s="3" t="n"/>
      <c r="B450" s="4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6" t="n"/>
      <c r="L450" s="6" t="n"/>
      <c r="M450" s="3" t="n"/>
      <c r="N450" s="1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</row>
    <row r="451" ht="15.75" customHeight="1">
      <c r="A451" s="3" t="n"/>
      <c r="B451" s="4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6" t="n"/>
      <c r="L451" s="6" t="n"/>
      <c r="M451" s="3" t="n"/>
      <c r="N451" s="1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</row>
    <row r="452" ht="15.75" customHeight="1">
      <c r="A452" s="3" t="n"/>
      <c r="B452" s="4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6" t="n"/>
      <c r="L452" s="6" t="n"/>
      <c r="M452" s="3" t="n"/>
      <c r="N452" s="1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</row>
    <row r="453" ht="15.75" customHeight="1">
      <c r="A453" s="3" t="n"/>
      <c r="B453" s="4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6" t="n"/>
      <c r="L453" s="6" t="n"/>
      <c r="M453" s="3" t="n"/>
      <c r="N453" s="1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</row>
    <row r="454" ht="15.75" customHeight="1">
      <c r="A454" s="3" t="n"/>
      <c r="B454" s="4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6" t="n"/>
      <c r="L454" s="6" t="n"/>
      <c r="M454" s="3" t="n"/>
      <c r="N454" s="1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</row>
    <row r="455" ht="15.75" customHeight="1">
      <c r="A455" s="3" t="n"/>
      <c r="B455" s="4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6" t="n"/>
      <c r="L455" s="6" t="n"/>
      <c r="M455" s="3" t="n"/>
      <c r="N455" s="1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</row>
    <row r="456" ht="15.75" customHeight="1">
      <c r="A456" s="3" t="n"/>
      <c r="B456" s="4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6" t="n"/>
      <c r="L456" s="6" t="n"/>
      <c r="M456" s="3" t="n"/>
      <c r="N456" s="1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</row>
    <row r="457" ht="15.75" customHeight="1">
      <c r="A457" s="3" t="n"/>
      <c r="B457" s="4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6" t="n"/>
      <c r="L457" s="6" t="n"/>
      <c r="M457" s="3" t="n"/>
      <c r="N457" s="1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</row>
    <row r="458" ht="15.75" customHeight="1">
      <c r="A458" s="3" t="n"/>
      <c r="B458" s="4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6" t="n"/>
      <c r="L458" s="6" t="n"/>
      <c r="M458" s="3" t="n"/>
      <c r="N458" s="1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</row>
    <row r="459" ht="15.75" customHeight="1">
      <c r="A459" s="3" t="n"/>
      <c r="B459" s="4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6" t="n"/>
      <c r="L459" s="6" t="n"/>
      <c r="M459" s="3" t="n"/>
      <c r="N459" s="1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</row>
    <row r="460" ht="15.75" customHeight="1">
      <c r="A460" s="3" t="n"/>
      <c r="B460" s="4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6" t="n"/>
      <c r="L460" s="6" t="n"/>
      <c r="M460" s="3" t="n"/>
      <c r="N460" s="1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</row>
    <row r="461" ht="15.75" customHeight="1">
      <c r="A461" s="3" t="n"/>
      <c r="B461" s="4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6" t="n"/>
      <c r="L461" s="6" t="n"/>
      <c r="M461" s="3" t="n"/>
      <c r="N461" s="1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</row>
    <row r="462" ht="15.75" customHeight="1">
      <c r="A462" s="3" t="n"/>
      <c r="B462" s="4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6" t="n"/>
      <c r="L462" s="6" t="n"/>
      <c r="M462" s="3" t="n"/>
      <c r="N462" s="1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</row>
    <row r="463" ht="15.75" customHeight="1">
      <c r="A463" s="3" t="n"/>
      <c r="B463" s="4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6" t="n"/>
      <c r="L463" s="6" t="n"/>
      <c r="M463" s="3" t="n"/>
      <c r="N463" s="1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</row>
    <row r="464" ht="15.75" customHeight="1">
      <c r="A464" s="3" t="n"/>
      <c r="B464" s="4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6" t="n"/>
      <c r="L464" s="6" t="n"/>
      <c r="M464" s="3" t="n"/>
      <c r="N464" s="1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</row>
    <row r="465" ht="15.75" customHeight="1">
      <c r="A465" s="3" t="n"/>
      <c r="B465" s="4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6" t="n"/>
      <c r="L465" s="6" t="n"/>
      <c r="M465" s="3" t="n"/>
      <c r="N465" s="1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</row>
    <row r="466" ht="15.75" customHeight="1">
      <c r="A466" s="3" t="n"/>
      <c r="B466" s="4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6" t="n"/>
      <c r="L466" s="6" t="n"/>
      <c r="M466" s="3" t="n"/>
      <c r="N466" s="1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</row>
    <row r="467" ht="15.75" customHeight="1">
      <c r="A467" s="3" t="n"/>
      <c r="B467" s="4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6" t="n"/>
      <c r="L467" s="6" t="n"/>
      <c r="M467" s="3" t="n"/>
      <c r="N467" s="1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</row>
    <row r="468" ht="15.75" customHeight="1">
      <c r="A468" s="3" t="n"/>
      <c r="B468" s="4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6" t="n"/>
      <c r="L468" s="6" t="n"/>
      <c r="M468" s="3" t="n"/>
      <c r="N468" s="1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</row>
    <row r="469" ht="15.75" customHeight="1">
      <c r="A469" s="3" t="n"/>
      <c r="B469" s="4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6" t="n"/>
      <c r="L469" s="6" t="n"/>
      <c r="M469" s="3" t="n"/>
      <c r="N469" s="1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</row>
    <row r="470" ht="15.75" customHeight="1">
      <c r="A470" s="3" t="n"/>
      <c r="B470" s="4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6" t="n"/>
      <c r="L470" s="6" t="n"/>
      <c r="M470" s="3" t="n"/>
      <c r="N470" s="1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</row>
    <row r="471" ht="15.75" customHeight="1">
      <c r="A471" s="3" t="n"/>
      <c r="B471" s="4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6" t="n"/>
      <c r="L471" s="6" t="n"/>
      <c r="M471" s="3" t="n"/>
      <c r="N471" s="1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</row>
    <row r="472" ht="15.75" customHeight="1">
      <c r="A472" s="3" t="n"/>
      <c r="B472" s="4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6" t="n"/>
      <c r="L472" s="6" t="n"/>
      <c r="M472" s="3" t="n"/>
      <c r="N472" s="1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</row>
    <row r="473" ht="15.75" customHeight="1">
      <c r="A473" s="3" t="n"/>
      <c r="B473" s="4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6" t="n"/>
      <c r="L473" s="6" t="n"/>
      <c r="M473" s="3" t="n"/>
      <c r="N473" s="1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</row>
    <row r="474" ht="15.75" customHeight="1">
      <c r="A474" s="3" t="n"/>
      <c r="B474" s="4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6" t="n"/>
      <c r="L474" s="6" t="n"/>
      <c r="M474" s="3" t="n"/>
      <c r="N474" s="1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</row>
    <row r="475" ht="15.75" customHeight="1">
      <c r="A475" s="3" t="n"/>
      <c r="B475" s="4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6" t="n"/>
      <c r="L475" s="6" t="n"/>
      <c r="M475" s="3" t="n"/>
      <c r="N475" s="1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</row>
    <row r="476" ht="15.75" customHeight="1">
      <c r="A476" s="3" t="n"/>
      <c r="B476" s="4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6" t="n"/>
      <c r="L476" s="6" t="n"/>
      <c r="M476" s="3" t="n"/>
      <c r="N476" s="1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</row>
    <row r="477" ht="15.75" customHeight="1">
      <c r="A477" s="3" t="n"/>
      <c r="B477" s="4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6" t="n"/>
      <c r="L477" s="6" t="n"/>
      <c r="M477" s="3" t="n"/>
      <c r="N477" s="1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</row>
    <row r="478" ht="15.75" customHeight="1">
      <c r="A478" s="3" t="n"/>
      <c r="B478" s="4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6" t="n"/>
      <c r="L478" s="6" t="n"/>
      <c r="M478" s="3" t="n"/>
      <c r="N478" s="1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</row>
    <row r="479" ht="15.75" customHeight="1">
      <c r="A479" s="3" t="n"/>
      <c r="B479" s="4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6" t="n"/>
      <c r="L479" s="6" t="n"/>
      <c r="M479" s="3" t="n"/>
      <c r="N479" s="1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</row>
    <row r="480" ht="15.75" customHeight="1">
      <c r="A480" s="3" t="n"/>
      <c r="B480" s="4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6" t="n"/>
      <c r="L480" s="6" t="n"/>
      <c r="M480" s="3" t="n"/>
      <c r="N480" s="1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</row>
    <row r="481" ht="15.75" customHeight="1">
      <c r="A481" s="3" t="n"/>
      <c r="B481" s="4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6" t="n"/>
      <c r="L481" s="6" t="n"/>
      <c r="M481" s="3" t="n"/>
      <c r="N481" s="1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</row>
    <row r="482" ht="15.75" customHeight="1">
      <c r="A482" s="3" t="n"/>
      <c r="B482" s="4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6" t="n"/>
      <c r="L482" s="6" t="n"/>
      <c r="M482" s="3" t="n"/>
      <c r="N482" s="1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</row>
    <row r="483" ht="15.75" customHeight="1">
      <c r="A483" s="3" t="n"/>
      <c r="B483" s="4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6" t="n"/>
      <c r="L483" s="6" t="n"/>
      <c r="M483" s="3" t="n"/>
      <c r="N483" s="1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</row>
    <row r="484" ht="15.75" customHeight="1">
      <c r="A484" s="3" t="n"/>
      <c r="B484" s="4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6" t="n"/>
      <c r="L484" s="6" t="n"/>
      <c r="M484" s="3" t="n"/>
      <c r="N484" s="1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</row>
    <row r="485" ht="15.75" customHeight="1">
      <c r="A485" s="3" t="n"/>
      <c r="B485" s="4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6" t="n"/>
      <c r="L485" s="6" t="n"/>
      <c r="M485" s="3" t="n"/>
      <c r="N485" s="1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</row>
    <row r="486" ht="15.75" customHeight="1">
      <c r="A486" s="3" t="n"/>
      <c r="B486" s="4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6" t="n"/>
      <c r="L486" s="6" t="n"/>
      <c r="M486" s="3" t="n"/>
      <c r="N486" s="1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</row>
    <row r="487" ht="15.75" customHeight="1">
      <c r="A487" s="3" t="n"/>
      <c r="B487" s="4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6" t="n"/>
      <c r="L487" s="6" t="n"/>
      <c r="M487" s="3" t="n"/>
      <c r="N487" s="1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</row>
    <row r="488" ht="15.75" customHeight="1">
      <c r="A488" s="3" t="n"/>
      <c r="B488" s="4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6" t="n"/>
      <c r="L488" s="6" t="n"/>
      <c r="M488" s="3" t="n"/>
      <c r="N488" s="1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</row>
    <row r="489" ht="15.75" customHeight="1">
      <c r="A489" s="3" t="n"/>
      <c r="B489" s="4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6" t="n"/>
      <c r="L489" s="6" t="n"/>
      <c r="M489" s="3" t="n"/>
      <c r="N489" s="1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</row>
    <row r="490" ht="15.75" customHeight="1">
      <c r="A490" s="3" t="n"/>
      <c r="B490" s="4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6" t="n"/>
      <c r="L490" s="6" t="n"/>
      <c r="M490" s="3" t="n"/>
      <c r="N490" s="1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</row>
    <row r="491" ht="15.75" customHeight="1">
      <c r="A491" s="3" t="n"/>
      <c r="B491" s="4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6" t="n"/>
      <c r="L491" s="6" t="n"/>
      <c r="M491" s="3" t="n"/>
      <c r="N491" s="1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</row>
    <row r="492" ht="15.75" customHeight="1">
      <c r="A492" s="3" t="n"/>
      <c r="B492" s="4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6" t="n"/>
      <c r="L492" s="6" t="n"/>
      <c r="M492" s="3" t="n"/>
      <c r="N492" s="1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</row>
    <row r="493" ht="15.75" customHeight="1">
      <c r="A493" s="3" t="n"/>
      <c r="B493" s="4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6" t="n"/>
      <c r="L493" s="6" t="n"/>
      <c r="M493" s="3" t="n"/>
      <c r="N493" s="1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</row>
    <row r="494" ht="15.75" customHeight="1">
      <c r="A494" s="3" t="n"/>
      <c r="B494" s="4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6" t="n"/>
      <c r="L494" s="6" t="n"/>
      <c r="M494" s="3" t="n"/>
      <c r="N494" s="1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</row>
    <row r="495" ht="15.75" customHeight="1">
      <c r="A495" s="3" t="n"/>
      <c r="B495" s="4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6" t="n"/>
      <c r="L495" s="6" t="n"/>
      <c r="M495" s="3" t="n"/>
      <c r="N495" s="1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</row>
    <row r="496" ht="15.75" customHeight="1">
      <c r="A496" s="3" t="n"/>
      <c r="B496" s="4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6" t="n"/>
      <c r="L496" s="6" t="n"/>
      <c r="M496" s="3" t="n"/>
      <c r="N496" s="1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</row>
    <row r="497" ht="15.75" customHeight="1">
      <c r="A497" s="3" t="n"/>
      <c r="B497" s="4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6" t="n"/>
      <c r="L497" s="6" t="n"/>
      <c r="M497" s="3" t="n"/>
      <c r="N497" s="1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</row>
    <row r="498" ht="15.75" customHeight="1">
      <c r="A498" s="3" t="n"/>
      <c r="B498" s="4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6" t="n"/>
      <c r="L498" s="6" t="n"/>
      <c r="M498" s="3" t="n"/>
      <c r="N498" s="1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</row>
    <row r="499" ht="15.75" customHeight="1">
      <c r="A499" s="3" t="n"/>
      <c r="B499" s="4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6" t="n"/>
      <c r="L499" s="6" t="n"/>
      <c r="M499" s="3" t="n"/>
      <c r="N499" s="1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</row>
    <row r="500" ht="15.75" customHeight="1">
      <c r="A500" s="3" t="n"/>
      <c r="B500" s="4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6" t="n"/>
      <c r="L500" s="6" t="n"/>
      <c r="M500" s="3" t="n"/>
      <c r="N500" s="1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</row>
    <row r="501" ht="15.75" customHeight="1">
      <c r="A501" s="3" t="n"/>
      <c r="B501" s="4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6" t="n"/>
      <c r="L501" s="6" t="n"/>
      <c r="M501" s="3" t="n"/>
      <c r="N501" s="1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</row>
    <row r="502" ht="15.75" customHeight="1">
      <c r="A502" s="3" t="n"/>
      <c r="B502" s="4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6" t="n"/>
      <c r="L502" s="6" t="n"/>
      <c r="M502" s="3" t="n"/>
      <c r="N502" s="1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</row>
    <row r="503" ht="15.75" customHeight="1">
      <c r="A503" s="3" t="n"/>
      <c r="B503" s="4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6" t="n"/>
      <c r="L503" s="6" t="n"/>
      <c r="M503" s="3" t="n"/>
      <c r="N503" s="1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</row>
    <row r="504" ht="15.75" customHeight="1">
      <c r="A504" s="3" t="n"/>
      <c r="B504" s="4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6" t="n"/>
      <c r="L504" s="6" t="n"/>
      <c r="M504" s="3" t="n"/>
      <c r="N504" s="1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</row>
    <row r="505" ht="15.75" customHeight="1">
      <c r="A505" s="3" t="n"/>
      <c r="B505" s="4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6" t="n"/>
      <c r="L505" s="6" t="n"/>
      <c r="M505" s="3" t="n"/>
      <c r="N505" s="1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</row>
    <row r="506" ht="15.75" customHeight="1">
      <c r="A506" s="3" t="n"/>
      <c r="B506" s="4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6" t="n"/>
      <c r="L506" s="6" t="n"/>
      <c r="M506" s="3" t="n"/>
      <c r="N506" s="1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</row>
    <row r="507" ht="15.75" customHeight="1">
      <c r="A507" s="3" t="n"/>
      <c r="B507" s="4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6" t="n"/>
      <c r="L507" s="6" t="n"/>
      <c r="M507" s="3" t="n"/>
      <c r="N507" s="1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</row>
    <row r="508" ht="15.75" customHeight="1">
      <c r="A508" s="3" t="n"/>
      <c r="B508" s="4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6" t="n"/>
      <c r="L508" s="6" t="n"/>
      <c r="M508" s="3" t="n"/>
      <c r="N508" s="1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</row>
    <row r="509" ht="15.75" customHeight="1">
      <c r="A509" s="3" t="n"/>
      <c r="B509" s="4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6" t="n"/>
      <c r="L509" s="6" t="n"/>
      <c r="M509" s="3" t="n"/>
      <c r="N509" s="1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</row>
    <row r="510" ht="15.75" customHeight="1">
      <c r="A510" s="3" t="n"/>
      <c r="B510" s="4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6" t="n"/>
      <c r="L510" s="6" t="n"/>
      <c r="M510" s="3" t="n"/>
      <c r="N510" s="1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</row>
    <row r="511" ht="15.75" customHeight="1">
      <c r="A511" s="3" t="n"/>
      <c r="B511" s="4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6" t="n"/>
      <c r="L511" s="6" t="n"/>
      <c r="M511" s="3" t="n"/>
      <c r="N511" s="1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</row>
    <row r="512" ht="15.75" customHeight="1">
      <c r="A512" s="3" t="n"/>
      <c r="B512" s="4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6" t="n"/>
      <c r="L512" s="6" t="n"/>
      <c r="M512" s="3" t="n"/>
      <c r="N512" s="1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</row>
    <row r="513" ht="15.75" customHeight="1">
      <c r="A513" s="3" t="n"/>
      <c r="B513" s="4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6" t="n"/>
      <c r="L513" s="6" t="n"/>
      <c r="M513" s="3" t="n"/>
      <c r="N513" s="1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</row>
    <row r="514" ht="15.75" customHeight="1">
      <c r="A514" s="3" t="n"/>
      <c r="B514" s="4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6" t="n"/>
      <c r="L514" s="6" t="n"/>
      <c r="M514" s="3" t="n"/>
      <c r="N514" s="1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</row>
    <row r="515" ht="15.75" customHeight="1">
      <c r="A515" s="3" t="n"/>
      <c r="B515" s="4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6" t="n"/>
      <c r="L515" s="6" t="n"/>
      <c r="M515" s="3" t="n"/>
      <c r="N515" s="1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</row>
    <row r="516" ht="15.75" customHeight="1">
      <c r="A516" s="3" t="n"/>
      <c r="B516" s="4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6" t="n"/>
      <c r="L516" s="6" t="n"/>
      <c r="M516" s="3" t="n"/>
      <c r="N516" s="1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</row>
    <row r="517" ht="15.75" customHeight="1">
      <c r="A517" s="3" t="n"/>
      <c r="B517" s="4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6" t="n"/>
      <c r="L517" s="6" t="n"/>
      <c r="M517" s="3" t="n"/>
      <c r="N517" s="1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</row>
    <row r="518" ht="15.75" customHeight="1">
      <c r="A518" s="3" t="n"/>
      <c r="B518" s="4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6" t="n"/>
      <c r="L518" s="6" t="n"/>
      <c r="M518" s="3" t="n"/>
      <c r="N518" s="1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</row>
    <row r="519" ht="15.75" customHeight="1">
      <c r="A519" s="3" t="n"/>
      <c r="B519" s="4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6" t="n"/>
      <c r="L519" s="6" t="n"/>
      <c r="M519" s="3" t="n"/>
      <c r="N519" s="1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</row>
    <row r="520" ht="15.75" customHeight="1">
      <c r="A520" s="3" t="n"/>
      <c r="B520" s="4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6" t="n"/>
      <c r="L520" s="6" t="n"/>
      <c r="M520" s="3" t="n"/>
      <c r="N520" s="1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</row>
    <row r="521" ht="15.75" customHeight="1">
      <c r="A521" s="3" t="n"/>
      <c r="B521" s="4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6" t="n"/>
      <c r="L521" s="6" t="n"/>
      <c r="M521" s="3" t="n"/>
      <c r="N521" s="1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</row>
    <row r="522" ht="15.75" customHeight="1">
      <c r="A522" s="3" t="n"/>
      <c r="B522" s="4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6" t="n"/>
      <c r="L522" s="6" t="n"/>
      <c r="M522" s="3" t="n"/>
      <c r="N522" s="1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</row>
    <row r="523" ht="15.75" customHeight="1">
      <c r="A523" s="3" t="n"/>
      <c r="B523" s="4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6" t="n"/>
      <c r="L523" s="6" t="n"/>
      <c r="M523" s="3" t="n"/>
      <c r="N523" s="1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</row>
    <row r="524" ht="15.75" customHeight="1">
      <c r="A524" s="3" t="n"/>
      <c r="B524" s="4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6" t="n"/>
      <c r="L524" s="6" t="n"/>
      <c r="M524" s="3" t="n"/>
      <c r="N524" s="1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</row>
    <row r="525" ht="15.75" customHeight="1">
      <c r="A525" s="3" t="n"/>
      <c r="B525" s="4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6" t="n"/>
      <c r="L525" s="6" t="n"/>
      <c r="M525" s="3" t="n"/>
      <c r="N525" s="1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</row>
    <row r="526" ht="15.75" customHeight="1">
      <c r="A526" s="3" t="n"/>
      <c r="B526" s="4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6" t="n"/>
      <c r="L526" s="6" t="n"/>
      <c r="M526" s="3" t="n"/>
      <c r="N526" s="1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</row>
    <row r="527" ht="15.75" customHeight="1">
      <c r="A527" s="3" t="n"/>
      <c r="B527" s="4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6" t="n"/>
      <c r="L527" s="6" t="n"/>
      <c r="M527" s="3" t="n"/>
      <c r="N527" s="1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</row>
    <row r="528" ht="15.75" customHeight="1">
      <c r="A528" s="3" t="n"/>
      <c r="B528" s="4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6" t="n"/>
      <c r="L528" s="6" t="n"/>
      <c r="M528" s="3" t="n"/>
      <c r="N528" s="1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</row>
    <row r="529" ht="15.75" customHeight="1">
      <c r="A529" s="3" t="n"/>
      <c r="B529" s="4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6" t="n"/>
      <c r="L529" s="6" t="n"/>
      <c r="M529" s="3" t="n"/>
      <c r="N529" s="1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</row>
    <row r="530" ht="15.75" customHeight="1">
      <c r="A530" s="3" t="n"/>
      <c r="B530" s="4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6" t="n"/>
      <c r="L530" s="6" t="n"/>
      <c r="M530" s="3" t="n"/>
      <c r="N530" s="1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</row>
    <row r="531" ht="15.75" customHeight="1">
      <c r="A531" s="3" t="n"/>
      <c r="B531" s="4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6" t="n"/>
      <c r="L531" s="6" t="n"/>
      <c r="M531" s="3" t="n"/>
      <c r="N531" s="1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</row>
    <row r="532" ht="15.75" customHeight="1">
      <c r="A532" s="3" t="n"/>
      <c r="B532" s="4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6" t="n"/>
      <c r="L532" s="6" t="n"/>
      <c r="M532" s="3" t="n"/>
      <c r="N532" s="1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</row>
    <row r="533" ht="15.75" customHeight="1">
      <c r="A533" s="3" t="n"/>
      <c r="B533" s="4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6" t="n"/>
      <c r="L533" s="6" t="n"/>
      <c r="M533" s="3" t="n"/>
      <c r="N533" s="1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</row>
    <row r="534" ht="15.75" customHeight="1">
      <c r="A534" s="3" t="n"/>
      <c r="B534" s="4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6" t="n"/>
      <c r="L534" s="6" t="n"/>
      <c r="M534" s="3" t="n"/>
      <c r="N534" s="1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</row>
    <row r="535" ht="15.75" customHeight="1">
      <c r="A535" s="3" t="n"/>
      <c r="B535" s="4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6" t="n"/>
      <c r="L535" s="6" t="n"/>
      <c r="M535" s="3" t="n"/>
      <c r="N535" s="1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</row>
    <row r="536" ht="15.75" customHeight="1">
      <c r="A536" s="3" t="n"/>
      <c r="B536" s="4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6" t="n"/>
      <c r="L536" s="6" t="n"/>
      <c r="M536" s="3" t="n"/>
      <c r="N536" s="1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</row>
    <row r="537" ht="15.75" customHeight="1">
      <c r="A537" s="3" t="n"/>
      <c r="B537" s="4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6" t="n"/>
      <c r="L537" s="6" t="n"/>
      <c r="M537" s="3" t="n"/>
      <c r="N537" s="1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</row>
    <row r="538" ht="15.75" customHeight="1">
      <c r="A538" s="3" t="n"/>
      <c r="B538" s="4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6" t="n"/>
      <c r="L538" s="6" t="n"/>
      <c r="M538" s="3" t="n"/>
      <c r="N538" s="1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</row>
    <row r="539" ht="15.75" customHeight="1">
      <c r="A539" s="3" t="n"/>
      <c r="B539" s="4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6" t="n"/>
      <c r="L539" s="6" t="n"/>
      <c r="M539" s="3" t="n"/>
      <c r="N539" s="1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</row>
    <row r="540" ht="15.75" customHeight="1">
      <c r="A540" s="3" t="n"/>
      <c r="B540" s="4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6" t="n"/>
      <c r="L540" s="6" t="n"/>
      <c r="M540" s="3" t="n"/>
      <c r="N540" s="1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</row>
    <row r="541" ht="15.75" customHeight="1">
      <c r="A541" s="3" t="n"/>
      <c r="B541" s="4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6" t="n"/>
      <c r="L541" s="6" t="n"/>
      <c r="M541" s="3" t="n"/>
      <c r="N541" s="1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</row>
    <row r="542" ht="15.75" customHeight="1">
      <c r="A542" s="3" t="n"/>
      <c r="B542" s="4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6" t="n"/>
      <c r="L542" s="6" t="n"/>
      <c r="M542" s="3" t="n"/>
      <c r="N542" s="1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</row>
    <row r="543" ht="15.75" customHeight="1">
      <c r="A543" s="3" t="n"/>
      <c r="B543" s="4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6" t="n"/>
      <c r="L543" s="6" t="n"/>
      <c r="M543" s="3" t="n"/>
      <c r="N543" s="1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</row>
    <row r="544" ht="15.75" customHeight="1">
      <c r="A544" s="3" t="n"/>
      <c r="B544" s="4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6" t="n"/>
      <c r="L544" s="6" t="n"/>
      <c r="M544" s="3" t="n"/>
      <c r="N544" s="1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</row>
    <row r="545" ht="15.75" customHeight="1">
      <c r="A545" s="3" t="n"/>
      <c r="B545" s="4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6" t="n"/>
      <c r="L545" s="6" t="n"/>
      <c r="M545" s="3" t="n"/>
      <c r="N545" s="1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</row>
    <row r="546" ht="15.75" customHeight="1">
      <c r="A546" s="3" t="n"/>
      <c r="B546" s="4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6" t="n"/>
      <c r="L546" s="6" t="n"/>
      <c r="M546" s="3" t="n"/>
      <c r="N546" s="1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</row>
    <row r="547" ht="15.75" customHeight="1">
      <c r="A547" s="3" t="n"/>
      <c r="B547" s="4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6" t="n"/>
      <c r="L547" s="6" t="n"/>
      <c r="M547" s="3" t="n"/>
      <c r="N547" s="1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</row>
    <row r="548" ht="15.75" customHeight="1">
      <c r="A548" s="3" t="n"/>
      <c r="B548" s="4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6" t="n"/>
      <c r="L548" s="6" t="n"/>
      <c r="M548" s="3" t="n"/>
      <c r="N548" s="1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</row>
    <row r="549" ht="15.75" customHeight="1">
      <c r="A549" s="3" t="n"/>
      <c r="B549" s="4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6" t="n"/>
      <c r="L549" s="6" t="n"/>
      <c r="M549" s="3" t="n"/>
      <c r="N549" s="1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</row>
    <row r="550" ht="15.75" customHeight="1">
      <c r="A550" s="3" t="n"/>
      <c r="B550" s="4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6" t="n"/>
      <c r="L550" s="6" t="n"/>
      <c r="M550" s="3" t="n"/>
      <c r="N550" s="1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</row>
    <row r="551" ht="15.75" customHeight="1">
      <c r="A551" s="3" t="n"/>
      <c r="B551" s="4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6" t="n"/>
      <c r="L551" s="6" t="n"/>
      <c r="M551" s="3" t="n"/>
      <c r="N551" s="1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</row>
    <row r="552" ht="15.75" customHeight="1">
      <c r="A552" s="3" t="n"/>
      <c r="B552" s="4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6" t="n"/>
      <c r="L552" s="6" t="n"/>
      <c r="M552" s="3" t="n"/>
      <c r="N552" s="1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</row>
    <row r="553" ht="15.75" customHeight="1">
      <c r="A553" s="3" t="n"/>
      <c r="B553" s="4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6" t="n"/>
      <c r="L553" s="6" t="n"/>
      <c r="M553" s="3" t="n"/>
      <c r="N553" s="1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</row>
    <row r="554" ht="15.75" customHeight="1">
      <c r="A554" s="3" t="n"/>
      <c r="B554" s="4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6" t="n"/>
      <c r="L554" s="6" t="n"/>
      <c r="M554" s="3" t="n"/>
      <c r="N554" s="1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</row>
    <row r="555" ht="15.75" customHeight="1">
      <c r="A555" s="3" t="n"/>
      <c r="B555" s="4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6" t="n"/>
      <c r="L555" s="6" t="n"/>
      <c r="M555" s="3" t="n"/>
      <c r="N555" s="1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</row>
    <row r="556" ht="15.75" customHeight="1">
      <c r="A556" s="3" t="n"/>
      <c r="B556" s="4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6" t="n"/>
      <c r="L556" s="6" t="n"/>
      <c r="M556" s="3" t="n"/>
      <c r="N556" s="1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</row>
    <row r="557" ht="15.75" customHeight="1">
      <c r="A557" s="3" t="n"/>
      <c r="B557" s="4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6" t="n"/>
      <c r="L557" s="6" t="n"/>
      <c r="M557" s="3" t="n"/>
      <c r="N557" s="1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</row>
    <row r="558" ht="15.75" customHeight="1">
      <c r="A558" s="3" t="n"/>
      <c r="B558" s="4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6" t="n"/>
      <c r="L558" s="6" t="n"/>
      <c r="M558" s="3" t="n"/>
      <c r="N558" s="1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</row>
    <row r="559" ht="15.75" customHeight="1">
      <c r="A559" s="3" t="n"/>
      <c r="B559" s="4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6" t="n"/>
      <c r="L559" s="6" t="n"/>
      <c r="M559" s="3" t="n"/>
      <c r="N559" s="1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</row>
    <row r="560" ht="15.75" customHeight="1">
      <c r="A560" s="3" t="n"/>
      <c r="B560" s="4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6" t="n"/>
      <c r="L560" s="6" t="n"/>
      <c r="M560" s="3" t="n"/>
      <c r="N560" s="1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</row>
    <row r="561" ht="15.75" customHeight="1">
      <c r="A561" s="3" t="n"/>
      <c r="B561" s="4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6" t="n"/>
      <c r="L561" s="6" t="n"/>
      <c r="M561" s="3" t="n"/>
      <c r="N561" s="1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</row>
    <row r="562" ht="15.75" customHeight="1">
      <c r="A562" s="3" t="n"/>
      <c r="B562" s="4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6" t="n"/>
      <c r="L562" s="6" t="n"/>
      <c r="M562" s="3" t="n"/>
      <c r="N562" s="1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</row>
    <row r="563" ht="15.75" customHeight="1">
      <c r="A563" s="3" t="n"/>
      <c r="B563" s="4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6" t="n"/>
      <c r="L563" s="6" t="n"/>
      <c r="M563" s="3" t="n"/>
      <c r="N563" s="1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</row>
    <row r="564" ht="15.75" customHeight="1">
      <c r="A564" s="3" t="n"/>
      <c r="B564" s="4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6" t="n"/>
      <c r="L564" s="6" t="n"/>
      <c r="M564" s="3" t="n"/>
      <c r="N564" s="1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</row>
    <row r="565" ht="15.75" customHeight="1">
      <c r="A565" s="3" t="n"/>
      <c r="B565" s="4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6" t="n"/>
      <c r="L565" s="6" t="n"/>
      <c r="M565" s="3" t="n"/>
      <c r="N565" s="1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</row>
    <row r="566" ht="15.75" customHeight="1">
      <c r="A566" s="3" t="n"/>
      <c r="B566" s="4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6" t="n"/>
      <c r="L566" s="6" t="n"/>
      <c r="M566" s="3" t="n"/>
      <c r="N566" s="1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</row>
    <row r="567" ht="15.75" customHeight="1">
      <c r="A567" s="3" t="n"/>
      <c r="B567" s="4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6" t="n"/>
      <c r="L567" s="6" t="n"/>
      <c r="M567" s="3" t="n"/>
      <c r="N567" s="1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</row>
    <row r="568" ht="15.75" customHeight="1">
      <c r="A568" s="3" t="n"/>
      <c r="B568" s="4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6" t="n"/>
      <c r="L568" s="6" t="n"/>
      <c r="M568" s="3" t="n"/>
      <c r="N568" s="1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</row>
    <row r="569" ht="15.75" customHeight="1">
      <c r="A569" s="3" t="n"/>
      <c r="B569" s="4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6" t="n"/>
      <c r="L569" s="6" t="n"/>
      <c r="M569" s="3" t="n"/>
      <c r="N569" s="1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</row>
    <row r="570" ht="15.75" customHeight="1">
      <c r="A570" s="3" t="n"/>
      <c r="B570" s="4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6" t="n"/>
      <c r="L570" s="6" t="n"/>
      <c r="M570" s="3" t="n"/>
      <c r="N570" s="1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</row>
    <row r="571" ht="15.75" customHeight="1">
      <c r="A571" s="3" t="n"/>
      <c r="B571" s="4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6" t="n"/>
      <c r="L571" s="6" t="n"/>
      <c r="M571" s="3" t="n"/>
      <c r="N571" s="1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</row>
    <row r="572" ht="15.75" customHeight="1">
      <c r="A572" s="3" t="n"/>
      <c r="B572" s="4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6" t="n"/>
      <c r="L572" s="6" t="n"/>
      <c r="M572" s="3" t="n"/>
      <c r="N572" s="1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</row>
    <row r="573" ht="15.75" customHeight="1">
      <c r="A573" s="3" t="n"/>
      <c r="B573" s="4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6" t="n"/>
      <c r="L573" s="6" t="n"/>
      <c r="M573" s="3" t="n"/>
      <c r="N573" s="1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</row>
    <row r="574" ht="15.75" customHeight="1">
      <c r="A574" s="3" t="n"/>
      <c r="B574" s="4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6" t="n"/>
      <c r="L574" s="6" t="n"/>
      <c r="M574" s="3" t="n"/>
      <c r="N574" s="1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</row>
    <row r="575" ht="15.75" customHeight="1">
      <c r="A575" s="3" t="n"/>
      <c r="B575" s="4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6" t="n"/>
      <c r="L575" s="6" t="n"/>
      <c r="M575" s="3" t="n"/>
      <c r="N575" s="1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</row>
    <row r="576" ht="15.75" customHeight="1">
      <c r="A576" s="3" t="n"/>
      <c r="B576" s="4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6" t="n"/>
      <c r="L576" s="6" t="n"/>
      <c r="M576" s="3" t="n"/>
      <c r="N576" s="1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</row>
    <row r="577" ht="15.75" customHeight="1">
      <c r="A577" s="3" t="n"/>
      <c r="B577" s="4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6" t="n"/>
      <c r="L577" s="6" t="n"/>
      <c r="M577" s="3" t="n"/>
      <c r="N577" s="1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</row>
    <row r="578" ht="15.75" customHeight="1">
      <c r="A578" s="3" t="n"/>
      <c r="B578" s="4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6" t="n"/>
      <c r="L578" s="6" t="n"/>
      <c r="M578" s="3" t="n"/>
      <c r="N578" s="1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</row>
    <row r="579" ht="15.75" customHeight="1">
      <c r="A579" s="3" t="n"/>
      <c r="B579" s="4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6" t="n"/>
      <c r="L579" s="6" t="n"/>
      <c r="M579" s="3" t="n"/>
      <c r="N579" s="1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</row>
    <row r="580" ht="15.75" customHeight="1">
      <c r="A580" s="3" t="n"/>
      <c r="B580" s="4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6" t="n"/>
      <c r="L580" s="6" t="n"/>
      <c r="M580" s="3" t="n"/>
      <c r="N580" s="1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</row>
    <row r="581" ht="15.75" customHeight="1">
      <c r="A581" s="3" t="n"/>
      <c r="B581" s="4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6" t="n"/>
      <c r="L581" s="6" t="n"/>
      <c r="M581" s="3" t="n"/>
      <c r="N581" s="1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</row>
    <row r="582" ht="15.75" customHeight="1">
      <c r="A582" s="3" t="n"/>
      <c r="B582" s="4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6" t="n"/>
      <c r="L582" s="6" t="n"/>
      <c r="M582" s="3" t="n"/>
      <c r="N582" s="1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</row>
    <row r="583" ht="15.75" customHeight="1">
      <c r="A583" s="3" t="n"/>
      <c r="B583" s="4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6" t="n"/>
      <c r="L583" s="6" t="n"/>
      <c r="M583" s="3" t="n"/>
      <c r="N583" s="1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</row>
    <row r="584" ht="15.75" customHeight="1">
      <c r="A584" s="3" t="n"/>
      <c r="B584" s="4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6" t="n"/>
      <c r="L584" s="6" t="n"/>
      <c r="M584" s="3" t="n"/>
      <c r="N584" s="1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</row>
    <row r="585" ht="15.75" customHeight="1">
      <c r="A585" s="3" t="n"/>
      <c r="B585" s="4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6" t="n"/>
      <c r="L585" s="6" t="n"/>
      <c r="M585" s="3" t="n"/>
      <c r="N585" s="1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</row>
    <row r="586" ht="15.75" customHeight="1">
      <c r="A586" s="3" t="n"/>
      <c r="B586" s="4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6" t="n"/>
      <c r="L586" s="6" t="n"/>
      <c r="M586" s="3" t="n"/>
      <c r="N586" s="1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</row>
    <row r="587" ht="15.75" customHeight="1">
      <c r="A587" s="3" t="n"/>
      <c r="B587" s="4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6" t="n"/>
      <c r="L587" s="6" t="n"/>
      <c r="M587" s="3" t="n"/>
      <c r="N587" s="1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</row>
    <row r="588" ht="15.75" customHeight="1">
      <c r="A588" s="3" t="n"/>
      <c r="B588" s="4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6" t="n"/>
      <c r="L588" s="6" t="n"/>
      <c r="M588" s="3" t="n"/>
      <c r="N588" s="1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</row>
    <row r="589" ht="15.75" customHeight="1">
      <c r="A589" s="3" t="n"/>
      <c r="B589" s="4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6" t="n"/>
      <c r="L589" s="6" t="n"/>
      <c r="M589" s="3" t="n"/>
      <c r="N589" s="1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</row>
    <row r="590" ht="15.75" customHeight="1">
      <c r="A590" s="3" t="n"/>
      <c r="B590" s="4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6" t="n"/>
      <c r="L590" s="6" t="n"/>
      <c r="M590" s="3" t="n"/>
      <c r="N590" s="1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</row>
    <row r="591" ht="15.75" customHeight="1">
      <c r="A591" s="3" t="n"/>
      <c r="B591" s="4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6" t="n"/>
      <c r="L591" s="6" t="n"/>
      <c r="M591" s="3" t="n"/>
      <c r="N591" s="1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</row>
    <row r="592" ht="15.75" customHeight="1">
      <c r="A592" s="3" t="n"/>
      <c r="B592" s="4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6" t="n"/>
      <c r="L592" s="6" t="n"/>
      <c r="M592" s="3" t="n"/>
      <c r="N592" s="1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</row>
    <row r="593" ht="15.75" customHeight="1">
      <c r="A593" s="3" t="n"/>
      <c r="B593" s="4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6" t="n"/>
      <c r="L593" s="6" t="n"/>
      <c r="M593" s="3" t="n"/>
      <c r="N593" s="1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</row>
    <row r="594" ht="15.75" customHeight="1">
      <c r="A594" s="3" t="n"/>
      <c r="B594" s="4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6" t="n"/>
      <c r="L594" s="6" t="n"/>
      <c r="M594" s="3" t="n"/>
      <c r="N594" s="1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</row>
    <row r="595" ht="15.75" customHeight="1">
      <c r="A595" s="3" t="n"/>
      <c r="B595" s="4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6" t="n"/>
      <c r="L595" s="6" t="n"/>
      <c r="M595" s="3" t="n"/>
      <c r="N595" s="1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</row>
    <row r="596" ht="15.75" customHeight="1">
      <c r="A596" s="3" t="n"/>
      <c r="B596" s="4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6" t="n"/>
      <c r="L596" s="6" t="n"/>
      <c r="M596" s="3" t="n"/>
      <c r="N596" s="1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</row>
    <row r="597" ht="15.75" customHeight="1">
      <c r="A597" s="3" t="n"/>
      <c r="B597" s="4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6" t="n"/>
      <c r="L597" s="6" t="n"/>
      <c r="M597" s="3" t="n"/>
      <c r="N597" s="1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</row>
    <row r="598" ht="15.75" customHeight="1">
      <c r="A598" s="3" t="n"/>
      <c r="B598" s="4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6" t="n"/>
      <c r="L598" s="6" t="n"/>
      <c r="M598" s="3" t="n"/>
      <c r="N598" s="1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</row>
    <row r="599" ht="15.75" customHeight="1">
      <c r="A599" s="3" t="n"/>
      <c r="B599" s="4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6" t="n"/>
      <c r="L599" s="6" t="n"/>
      <c r="M599" s="3" t="n"/>
      <c r="N599" s="1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</row>
    <row r="600" ht="15.75" customHeight="1">
      <c r="A600" s="3" t="n"/>
      <c r="B600" s="4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6" t="n"/>
      <c r="L600" s="6" t="n"/>
      <c r="M600" s="3" t="n"/>
      <c r="N600" s="1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</row>
    <row r="601" ht="15.75" customHeight="1">
      <c r="A601" s="3" t="n"/>
      <c r="B601" s="4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6" t="n"/>
      <c r="L601" s="6" t="n"/>
      <c r="M601" s="3" t="n"/>
      <c r="N601" s="1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</row>
    <row r="602" ht="15.75" customHeight="1">
      <c r="A602" s="3" t="n"/>
      <c r="B602" s="4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6" t="n"/>
      <c r="L602" s="6" t="n"/>
      <c r="M602" s="3" t="n"/>
      <c r="N602" s="1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</row>
    <row r="603" ht="15.75" customHeight="1">
      <c r="A603" s="3" t="n"/>
      <c r="B603" s="4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6" t="n"/>
      <c r="L603" s="6" t="n"/>
      <c r="M603" s="3" t="n"/>
      <c r="N603" s="1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</row>
    <row r="604" ht="15.75" customHeight="1">
      <c r="A604" s="3" t="n"/>
      <c r="B604" s="4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6" t="n"/>
      <c r="L604" s="6" t="n"/>
      <c r="M604" s="3" t="n"/>
      <c r="N604" s="1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</row>
    <row r="605" ht="15.75" customHeight="1">
      <c r="A605" s="3" t="n"/>
      <c r="B605" s="4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6" t="n"/>
      <c r="L605" s="6" t="n"/>
      <c r="M605" s="3" t="n"/>
      <c r="N605" s="1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</row>
    <row r="606" ht="15.75" customHeight="1">
      <c r="A606" s="3" t="n"/>
      <c r="B606" s="4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6" t="n"/>
      <c r="L606" s="6" t="n"/>
      <c r="M606" s="3" t="n"/>
      <c r="N606" s="1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</row>
    <row r="607" ht="15.75" customHeight="1">
      <c r="A607" s="3" t="n"/>
      <c r="B607" s="4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6" t="n"/>
      <c r="L607" s="6" t="n"/>
      <c r="M607" s="3" t="n"/>
      <c r="N607" s="1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</row>
    <row r="608" ht="15.75" customHeight="1">
      <c r="A608" s="3" t="n"/>
      <c r="B608" s="4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6" t="n"/>
      <c r="L608" s="6" t="n"/>
      <c r="M608" s="3" t="n"/>
      <c r="N608" s="1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</row>
    <row r="609" ht="15.75" customHeight="1">
      <c r="A609" s="3" t="n"/>
      <c r="B609" s="4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6" t="n"/>
      <c r="L609" s="6" t="n"/>
      <c r="M609" s="3" t="n"/>
      <c r="N609" s="1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</row>
    <row r="610" ht="15.75" customHeight="1">
      <c r="A610" s="3" t="n"/>
      <c r="B610" s="4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6" t="n"/>
      <c r="L610" s="6" t="n"/>
      <c r="M610" s="3" t="n"/>
      <c r="N610" s="1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</row>
    <row r="611" ht="15.75" customHeight="1">
      <c r="A611" s="3" t="n"/>
      <c r="B611" s="4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6" t="n"/>
      <c r="L611" s="6" t="n"/>
      <c r="M611" s="3" t="n"/>
      <c r="N611" s="1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</row>
    <row r="612" ht="15.75" customHeight="1">
      <c r="A612" s="3" t="n"/>
      <c r="B612" s="4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6" t="n"/>
      <c r="L612" s="6" t="n"/>
      <c r="M612" s="3" t="n"/>
      <c r="N612" s="1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</row>
    <row r="613" ht="15.75" customHeight="1">
      <c r="A613" s="3" t="n"/>
      <c r="B613" s="4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6" t="n"/>
      <c r="L613" s="6" t="n"/>
      <c r="M613" s="3" t="n"/>
      <c r="N613" s="1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</row>
    <row r="614" ht="15.75" customHeight="1">
      <c r="A614" s="3" t="n"/>
      <c r="B614" s="4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6" t="n"/>
      <c r="L614" s="6" t="n"/>
      <c r="M614" s="3" t="n"/>
      <c r="N614" s="1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</row>
    <row r="615" ht="15.75" customHeight="1">
      <c r="A615" s="3" t="n"/>
      <c r="B615" s="4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6" t="n"/>
      <c r="L615" s="6" t="n"/>
      <c r="M615" s="3" t="n"/>
      <c r="N615" s="1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</row>
    <row r="616" ht="15.75" customHeight="1">
      <c r="A616" s="3" t="n"/>
      <c r="B616" s="4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6" t="n"/>
      <c r="L616" s="6" t="n"/>
      <c r="M616" s="3" t="n"/>
      <c r="N616" s="1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</row>
    <row r="617" ht="15.75" customHeight="1">
      <c r="A617" s="3" t="n"/>
      <c r="B617" s="4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6" t="n"/>
      <c r="L617" s="6" t="n"/>
      <c r="M617" s="3" t="n"/>
      <c r="N617" s="1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</row>
    <row r="618" ht="15.75" customHeight="1">
      <c r="A618" s="3" t="n"/>
      <c r="B618" s="4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6" t="n"/>
      <c r="L618" s="6" t="n"/>
      <c r="M618" s="3" t="n"/>
      <c r="N618" s="1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</row>
    <row r="619" ht="15.75" customHeight="1">
      <c r="A619" s="3" t="n"/>
      <c r="B619" s="4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6" t="n"/>
      <c r="L619" s="6" t="n"/>
      <c r="M619" s="3" t="n"/>
      <c r="N619" s="1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</row>
    <row r="620" ht="15.75" customHeight="1">
      <c r="A620" s="3" t="n"/>
      <c r="B620" s="4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6" t="n"/>
      <c r="L620" s="6" t="n"/>
      <c r="M620" s="3" t="n"/>
      <c r="N620" s="1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</row>
    <row r="621" ht="15.75" customHeight="1">
      <c r="A621" s="3" t="n"/>
      <c r="B621" s="4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6" t="n"/>
      <c r="L621" s="6" t="n"/>
      <c r="M621" s="3" t="n"/>
      <c r="N621" s="1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</row>
    <row r="622" ht="15.75" customHeight="1">
      <c r="A622" s="3" t="n"/>
      <c r="B622" s="4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6" t="n"/>
      <c r="L622" s="6" t="n"/>
      <c r="M622" s="3" t="n"/>
      <c r="N622" s="1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</row>
    <row r="623" ht="15.75" customHeight="1">
      <c r="A623" s="3" t="n"/>
      <c r="B623" s="4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6" t="n"/>
      <c r="L623" s="6" t="n"/>
      <c r="M623" s="3" t="n"/>
      <c r="N623" s="1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</row>
    <row r="624" ht="15.75" customHeight="1">
      <c r="A624" s="3" t="n"/>
      <c r="B624" s="4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6" t="n"/>
      <c r="L624" s="6" t="n"/>
      <c r="M624" s="3" t="n"/>
      <c r="N624" s="1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</row>
    <row r="625" ht="15.75" customHeight="1">
      <c r="A625" s="3" t="n"/>
      <c r="B625" s="4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6" t="n"/>
      <c r="L625" s="6" t="n"/>
      <c r="M625" s="3" t="n"/>
      <c r="N625" s="1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</row>
    <row r="626" ht="15.75" customHeight="1">
      <c r="A626" s="3" t="n"/>
      <c r="B626" s="4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6" t="n"/>
      <c r="L626" s="6" t="n"/>
      <c r="M626" s="3" t="n"/>
      <c r="N626" s="1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</row>
    <row r="627" ht="15.75" customHeight="1">
      <c r="A627" s="3" t="n"/>
      <c r="B627" s="4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6" t="n"/>
      <c r="L627" s="6" t="n"/>
      <c r="M627" s="3" t="n"/>
      <c r="N627" s="1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</row>
    <row r="628" ht="15.75" customHeight="1">
      <c r="A628" s="3" t="n"/>
      <c r="B628" s="4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6" t="n"/>
      <c r="L628" s="6" t="n"/>
      <c r="M628" s="3" t="n"/>
      <c r="N628" s="1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</row>
    <row r="629" ht="15.75" customHeight="1">
      <c r="A629" s="3" t="n"/>
      <c r="B629" s="4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6" t="n"/>
      <c r="L629" s="6" t="n"/>
      <c r="M629" s="3" t="n"/>
      <c r="N629" s="1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</row>
    <row r="630" ht="15.75" customHeight="1">
      <c r="A630" s="3" t="n"/>
      <c r="B630" s="4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6" t="n"/>
      <c r="L630" s="6" t="n"/>
      <c r="M630" s="3" t="n"/>
      <c r="N630" s="1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</row>
    <row r="631" ht="15.75" customHeight="1">
      <c r="A631" s="3" t="n"/>
      <c r="B631" s="4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6" t="n"/>
      <c r="L631" s="6" t="n"/>
      <c r="M631" s="3" t="n"/>
      <c r="N631" s="1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</row>
    <row r="632" ht="15.75" customHeight="1">
      <c r="A632" s="3" t="n"/>
      <c r="B632" s="4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6" t="n"/>
      <c r="L632" s="6" t="n"/>
      <c r="M632" s="3" t="n"/>
      <c r="N632" s="1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</row>
    <row r="633" ht="15.75" customHeight="1">
      <c r="A633" s="3" t="n"/>
      <c r="B633" s="4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6" t="n"/>
      <c r="L633" s="6" t="n"/>
      <c r="M633" s="3" t="n"/>
      <c r="N633" s="1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</row>
    <row r="634" ht="15.75" customHeight="1">
      <c r="A634" s="3" t="n"/>
      <c r="B634" s="4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6" t="n"/>
      <c r="L634" s="6" t="n"/>
      <c r="M634" s="3" t="n"/>
      <c r="N634" s="1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</row>
    <row r="635" ht="15.75" customHeight="1">
      <c r="A635" s="3" t="n"/>
      <c r="B635" s="4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6" t="n"/>
      <c r="L635" s="6" t="n"/>
      <c r="M635" s="3" t="n"/>
      <c r="N635" s="1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</row>
    <row r="636" ht="15.75" customHeight="1">
      <c r="A636" s="3" t="n"/>
      <c r="B636" s="4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6" t="n"/>
      <c r="L636" s="6" t="n"/>
      <c r="M636" s="3" t="n"/>
      <c r="N636" s="1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</row>
    <row r="637" ht="15.75" customHeight="1">
      <c r="A637" s="3" t="n"/>
      <c r="B637" s="4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6" t="n"/>
      <c r="L637" s="6" t="n"/>
      <c r="M637" s="3" t="n"/>
      <c r="N637" s="1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</row>
    <row r="638" ht="15.75" customHeight="1">
      <c r="A638" s="3" t="n"/>
      <c r="B638" s="4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6" t="n"/>
      <c r="L638" s="6" t="n"/>
      <c r="M638" s="3" t="n"/>
      <c r="N638" s="1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</row>
    <row r="639" ht="15.75" customHeight="1">
      <c r="A639" s="3" t="n"/>
      <c r="B639" s="4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6" t="n"/>
      <c r="L639" s="6" t="n"/>
      <c r="M639" s="3" t="n"/>
      <c r="N639" s="1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</row>
    <row r="640" ht="15.75" customHeight="1">
      <c r="A640" s="3" t="n"/>
      <c r="B640" s="4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6" t="n"/>
      <c r="L640" s="6" t="n"/>
      <c r="M640" s="3" t="n"/>
      <c r="N640" s="1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</row>
    <row r="641" ht="15.75" customHeight="1">
      <c r="A641" s="3" t="n"/>
      <c r="B641" s="4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6" t="n"/>
      <c r="L641" s="6" t="n"/>
      <c r="M641" s="3" t="n"/>
      <c r="N641" s="1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</row>
    <row r="642" ht="15.75" customHeight="1">
      <c r="A642" s="3" t="n"/>
      <c r="B642" s="4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6" t="n"/>
      <c r="L642" s="6" t="n"/>
      <c r="M642" s="3" t="n"/>
      <c r="N642" s="1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</row>
    <row r="643" ht="15.75" customHeight="1">
      <c r="A643" s="3" t="n"/>
      <c r="B643" s="4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6" t="n"/>
      <c r="L643" s="6" t="n"/>
      <c r="M643" s="3" t="n"/>
      <c r="N643" s="1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</row>
    <row r="644" ht="15.75" customHeight="1">
      <c r="A644" s="3" t="n"/>
      <c r="B644" s="4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6" t="n"/>
      <c r="L644" s="6" t="n"/>
      <c r="M644" s="3" t="n"/>
      <c r="N644" s="1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</row>
    <row r="645" ht="15.75" customHeight="1">
      <c r="A645" s="3" t="n"/>
      <c r="B645" s="4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6" t="n"/>
      <c r="L645" s="6" t="n"/>
      <c r="M645" s="3" t="n"/>
      <c r="N645" s="1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</row>
    <row r="646" ht="15.75" customHeight="1">
      <c r="A646" s="3" t="n"/>
      <c r="B646" s="4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6" t="n"/>
      <c r="L646" s="6" t="n"/>
      <c r="M646" s="3" t="n"/>
      <c r="N646" s="1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</row>
    <row r="647" ht="15.75" customHeight="1">
      <c r="A647" s="3" t="n"/>
      <c r="B647" s="4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6" t="n"/>
      <c r="L647" s="6" t="n"/>
      <c r="M647" s="3" t="n"/>
      <c r="N647" s="1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</row>
    <row r="648" ht="15.75" customHeight="1">
      <c r="A648" s="3" t="n"/>
      <c r="B648" s="4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6" t="n"/>
      <c r="L648" s="6" t="n"/>
      <c r="M648" s="3" t="n"/>
      <c r="N648" s="1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</row>
    <row r="649" ht="15.75" customHeight="1">
      <c r="A649" s="3" t="n"/>
      <c r="B649" s="4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6" t="n"/>
      <c r="L649" s="6" t="n"/>
      <c r="M649" s="3" t="n"/>
      <c r="N649" s="1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</row>
    <row r="650" ht="15.75" customHeight="1">
      <c r="A650" s="3" t="n"/>
      <c r="B650" s="4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6" t="n"/>
      <c r="L650" s="6" t="n"/>
      <c r="M650" s="3" t="n"/>
      <c r="N650" s="1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</row>
    <row r="651" ht="15.75" customHeight="1">
      <c r="A651" s="3" t="n"/>
      <c r="B651" s="4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6" t="n"/>
      <c r="L651" s="6" t="n"/>
      <c r="M651" s="3" t="n"/>
      <c r="N651" s="1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</row>
    <row r="652" ht="15.75" customHeight="1">
      <c r="A652" s="3" t="n"/>
      <c r="B652" s="4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6" t="n"/>
      <c r="L652" s="6" t="n"/>
      <c r="M652" s="3" t="n"/>
      <c r="N652" s="1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</row>
    <row r="653" ht="15.75" customHeight="1">
      <c r="A653" s="3" t="n"/>
      <c r="B653" s="4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6" t="n"/>
      <c r="L653" s="6" t="n"/>
      <c r="M653" s="3" t="n"/>
      <c r="N653" s="1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</row>
    <row r="654" ht="15.75" customHeight="1">
      <c r="A654" s="3" t="n"/>
      <c r="B654" s="4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6" t="n"/>
      <c r="L654" s="6" t="n"/>
      <c r="M654" s="3" t="n"/>
      <c r="N654" s="1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</row>
    <row r="655" ht="15.75" customHeight="1">
      <c r="A655" s="3" t="n"/>
      <c r="B655" s="4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6" t="n"/>
      <c r="L655" s="6" t="n"/>
      <c r="M655" s="3" t="n"/>
      <c r="N655" s="1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</row>
    <row r="656" ht="15.75" customHeight="1">
      <c r="A656" s="3" t="n"/>
      <c r="B656" s="4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6" t="n"/>
      <c r="L656" s="6" t="n"/>
      <c r="M656" s="3" t="n"/>
      <c r="N656" s="1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</row>
    <row r="657" ht="15.75" customHeight="1">
      <c r="A657" s="3" t="n"/>
      <c r="B657" s="4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6" t="n"/>
      <c r="L657" s="6" t="n"/>
      <c r="M657" s="3" t="n"/>
      <c r="N657" s="1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</row>
    <row r="658" ht="15.75" customHeight="1">
      <c r="A658" s="3" t="n"/>
      <c r="B658" s="4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6" t="n"/>
      <c r="L658" s="6" t="n"/>
      <c r="M658" s="3" t="n"/>
      <c r="N658" s="1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</row>
    <row r="659" ht="15.75" customHeight="1">
      <c r="A659" s="3" t="n"/>
      <c r="B659" s="4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6" t="n"/>
      <c r="L659" s="6" t="n"/>
      <c r="M659" s="3" t="n"/>
      <c r="N659" s="1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</row>
    <row r="660" ht="15.75" customHeight="1">
      <c r="A660" s="3" t="n"/>
      <c r="B660" s="4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6" t="n"/>
      <c r="L660" s="6" t="n"/>
      <c r="M660" s="3" t="n"/>
      <c r="N660" s="1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</row>
    <row r="661" ht="15.75" customHeight="1">
      <c r="A661" s="3" t="n"/>
      <c r="B661" s="4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6" t="n"/>
      <c r="L661" s="6" t="n"/>
      <c r="M661" s="3" t="n"/>
      <c r="N661" s="1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</row>
    <row r="662" ht="15.75" customHeight="1">
      <c r="A662" s="3" t="n"/>
      <c r="B662" s="4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6" t="n"/>
      <c r="L662" s="6" t="n"/>
      <c r="M662" s="3" t="n"/>
      <c r="N662" s="1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</row>
    <row r="663" ht="15.75" customHeight="1">
      <c r="A663" s="3" t="n"/>
      <c r="B663" s="4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6" t="n"/>
      <c r="L663" s="6" t="n"/>
      <c r="M663" s="3" t="n"/>
      <c r="N663" s="1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</row>
    <row r="664" ht="15.75" customHeight="1">
      <c r="A664" s="3" t="n"/>
      <c r="B664" s="4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6" t="n"/>
      <c r="L664" s="6" t="n"/>
      <c r="M664" s="3" t="n"/>
      <c r="N664" s="1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</row>
    <row r="665" ht="15.75" customHeight="1">
      <c r="A665" s="3" t="n"/>
      <c r="B665" s="4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6" t="n"/>
      <c r="L665" s="6" t="n"/>
      <c r="M665" s="3" t="n"/>
      <c r="N665" s="1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</row>
    <row r="666" ht="15.75" customHeight="1">
      <c r="A666" s="3" t="n"/>
      <c r="B666" s="4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6" t="n"/>
      <c r="L666" s="6" t="n"/>
      <c r="M666" s="3" t="n"/>
      <c r="N666" s="1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</row>
    <row r="667" ht="15.75" customHeight="1">
      <c r="A667" s="3" t="n"/>
      <c r="B667" s="4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6" t="n"/>
      <c r="L667" s="6" t="n"/>
      <c r="M667" s="3" t="n"/>
      <c r="N667" s="1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</row>
    <row r="668" ht="15.75" customHeight="1">
      <c r="A668" s="3" t="n"/>
      <c r="B668" s="4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6" t="n"/>
      <c r="L668" s="6" t="n"/>
      <c r="M668" s="3" t="n"/>
      <c r="N668" s="1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</row>
    <row r="669" ht="15.75" customHeight="1">
      <c r="A669" s="3" t="n"/>
      <c r="B669" s="4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6" t="n"/>
      <c r="L669" s="6" t="n"/>
      <c r="M669" s="3" t="n"/>
      <c r="N669" s="1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</row>
    <row r="670" ht="15.75" customHeight="1">
      <c r="A670" s="3" t="n"/>
      <c r="B670" s="4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6" t="n"/>
      <c r="L670" s="6" t="n"/>
      <c r="M670" s="3" t="n"/>
      <c r="N670" s="1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</row>
    <row r="671" ht="15.75" customHeight="1">
      <c r="A671" s="3" t="n"/>
      <c r="B671" s="4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6" t="n"/>
      <c r="L671" s="6" t="n"/>
      <c r="M671" s="3" t="n"/>
      <c r="N671" s="1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</row>
    <row r="672" ht="15.75" customHeight="1">
      <c r="A672" s="3" t="n"/>
      <c r="B672" s="4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6" t="n"/>
      <c r="L672" s="6" t="n"/>
      <c r="M672" s="3" t="n"/>
      <c r="N672" s="1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</row>
    <row r="673" ht="15.75" customHeight="1">
      <c r="A673" s="3" t="n"/>
      <c r="B673" s="4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6" t="n"/>
      <c r="L673" s="6" t="n"/>
      <c r="M673" s="3" t="n"/>
      <c r="N673" s="1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</row>
    <row r="674" ht="15.75" customHeight="1">
      <c r="A674" s="3" t="n"/>
      <c r="B674" s="4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6" t="n"/>
      <c r="L674" s="6" t="n"/>
      <c r="M674" s="3" t="n"/>
      <c r="N674" s="1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</row>
    <row r="675" ht="15.75" customHeight="1">
      <c r="A675" s="3" t="n"/>
      <c r="B675" s="4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6" t="n"/>
      <c r="L675" s="6" t="n"/>
      <c r="M675" s="3" t="n"/>
      <c r="N675" s="1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</row>
    <row r="676" ht="15.75" customHeight="1">
      <c r="A676" s="3" t="n"/>
      <c r="B676" s="4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6" t="n"/>
      <c r="L676" s="6" t="n"/>
      <c r="M676" s="3" t="n"/>
      <c r="N676" s="1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</row>
    <row r="677" ht="15.75" customHeight="1">
      <c r="A677" s="3" t="n"/>
      <c r="B677" s="4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6" t="n"/>
      <c r="L677" s="6" t="n"/>
      <c r="M677" s="3" t="n"/>
      <c r="N677" s="1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</row>
    <row r="678" ht="15.75" customHeight="1">
      <c r="A678" s="3" t="n"/>
      <c r="B678" s="4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6" t="n"/>
      <c r="L678" s="6" t="n"/>
      <c r="M678" s="3" t="n"/>
      <c r="N678" s="1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</row>
    <row r="679" ht="15.75" customHeight="1">
      <c r="A679" s="3" t="n"/>
      <c r="B679" s="4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6" t="n"/>
      <c r="L679" s="6" t="n"/>
      <c r="M679" s="3" t="n"/>
      <c r="N679" s="1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</row>
    <row r="680" ht="15.75" customHeight="1">
      <c r="A680" s="3" t="n"/>
      <c r="B680" s="4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6" t="n"/>
      <c r="L680" s="6" t="n"/>
      <c r="M680" s="3" t="n"/>
      <c r="N680" s="1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</row>
    <row r="681" ht="15.75" customHeight="1">
      <c r="A681" s="3" t="n"/>
      <c r="B681" s="4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6" t="n"/>
      <c r="L681" s="6" t="n"/>
      <c r="M681" s="3" t="n"/>
      <c r="N681" s="1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</row>
    <row r="682" ht="15.75" customHeight="1">
      <c r="A682" s="3" t="n"/>
      <c r="B682" s="4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6" t="n"/>
      <c r="L682" s="6" t="n"/>
      <c r="M682" s="3" t="n"/>
      <c r="N682" s="1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</row>
    <row r="683" ht="15.75" customHeight="1">
      <c r="A683" s="3" t="n"/>
      <c r="B683" s="4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6" t="n"/>
      <c r="L683" s="6" t="n"/>
      <c r="M683" s="3" t="n"/>
      <c r="N683" s="1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</row>
    <row r="684" ht="15.75" customHeight="1">
      <c r="A684" s="3" t="n"/>
      <c r="B684" s="4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6" t="n"/>
      <c r="L684" s="6" t="n"/>
      <c r="M684" s="3" t="n"/>
      <c r="N684" s="1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</row>
    <row r="685" ht="15.75" customHeight="1">
      <c r="A685" s="3" t="n"/>
      <c r="B685" s="4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6" t="n"/>
      <c r="L685" s="6" t="n"/>
      <c r="M685" s="3" t="n"/>
      <c r="N685" s="1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</row>
    <row r="686" ht="15.75" customHeight="1">
      <c r="A686" s="3" t="n"/>
      <c r="B686" s="4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6" t="n"/>
      <c r="L686" s="6" t="n"/>
      <c r="M686" s="3" t="n"/>
      <c r="N686" s="1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</row>
    <row r="687" ht="15.75" customHeight="1">
      <c r="A687" s="3" t="n"/>
      <c r="B687" s="4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6" t="n"/>
      <c r="L687" s="6" t="n"/>
      <c r="M687" s="3" t="n"/>
      <c r="N687" s="1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</row>
    <row r="688" ht="15.75" customHeight="1">
      <c r="A688" s="3" t="n"/>
      <c r="B688" s="4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6" t="n"/>
      <c r="L688" s="6" t="n"/>
      <c r="M688" s="3" t="n"/>
      <c r="N688" s="1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</row>
    <row r="689" ht="15.75" customHeight="1">
      <c r="A689" s="3" t="n"/>
      <c r="B689" s="4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6" t="n"/>
      <c r="L689" s="6" t="n"/>
      <c r="M689" s="3" t="n"/>
      <c r="N689" s="1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</row>
    <row r="690" ht="15.75" customHeight="1">
      <c r="A690" s="3" t="n"/>
      <c r="B690" s="4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6" t="n"/>
      <c r="L690" s="6" t="n"/>
      <c r="M690" s="3" t="n"/>
      <c r="N690" s="1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</row>
    <row r="691" ht="15.75" customHeight="1">
      <c r="A691" s="3" t="n"/>
      <c r="B691" s="4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6" t="n"/>
      <c r="L691" s="6" t="n"/>
      <c r="M691" s="3" t="n"/>
      <c r="N691" s="1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</row>
    <row r="692" ht="15.75" customHeight="1">
      <c r="A692" s="3" t="n"/>
      <c r="B692" s="4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6" t="n"/>
      <c r="L692" s="6" t="n"/>
      <c r="M692" s="3" t="n"/>
      <c r="N692" s="1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</row>
    <row r="693" ht="15.75" customHeight="1">
      <c r="A693" s="3" t="n"/>
      <c r="B693" s="4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6" t="n"/>
      <c r="L693" s="6" t="n"/>
      <c r="M693" s="3" t="n"/>
      <c r="N693" s="1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</row>
    <row r="694" ht="15.75" customHeight="1">
      <c r="A694" s="3" t="n"/>
      <c r="B694" s="4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6" t="n"/>
      <c r="L694" s="6" t="n"/>
      <c r="M694" s="3" t="n"/>
      <c r="N694" s="1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</row>
    <row r="695" ht="15.75" customHeight="1">
      <c r="A695" s="3" t="n"/>
      <c r="B695" s="4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6" t="n"/>
      <c r="L695" s="6" t="n"/>
      <c r="M695" s="3" t="n"/>
      <c r="N695" s="1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</row>
    <row r="696" ht="15.75" customHeight="1">
      <c r="A696" s="3" t="n"/>
      <c r="B696" s="4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6" t="n"/>
      <c r="L696" s="6" t="n"/>
      <c r="M696" s="3" t="n"/>
      <c r="N696" s="1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</row>
    <row r="697" ht="15.75" customHeight="1">
      <c r="A697" s="3" t="n"/>
      <c r="B697" s="4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6" t="n"/>
      <c r="L697" s="6" t="n"/>
      <c r="M697" s="3" t="n"/>
      <c r="N697" s="1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</row>
    <row r="698" ht="15.75" customHeight="1">
      <c r="A698" s="3" t="n"/>
      <c r="B698" s="4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6" t="n"/>
      <c r="L698" s="6" t="n"/>
      <c r="M698" s="3" t="n"/>
      <c r="N698" s="1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</row>
    <row r="699" ht="15.75" customHeight="1">
      <c r="A699" s="3" t="n"/>
      <c r="B699" s="4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6" t="n"/>
      <c r="L699" s="6" t="n"/>
      <c r="M699" s="3" t="n"/>
      <c r="N699" s="1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</row>
    <row r="700" ht="15.75" customHeight="1">
      <c r="A700" s="3" t="n"/>
      <c r="B700" s="4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6" t="n"/>
      <c r="L700" s="6" t="n"/>
      <c r="M700" s="3" t="n"/>
      <c r="N700" s="1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</row>
    <row r="701" ht="15.75" customHeight="1">
      <c r="A701" s="3" t="n"/>
      <c r="B701" s="4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6" t="n"/>
      <c r="L701" s="6" t="n"/>
      <c r="M701" s="3" t="n"/>
      <c r="N701" s="1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</row>
    <row r="702" ht="15.75" customHeight="1">
      <c r="A702" s="3" t="n"/>
      <c r="B702" s="4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6" t="n"/>
      <c r="L702" s="6" t="n"/>
      <c r="M702" s="3" t="n"/>
      <c r="N702" s="1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</row>
    <row r="703" ht="15.75" customHeight="1">
      <c r="A703" s="3" t="n"/>
      <c r="B703" s="4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6" t="n"/>
      <c r="L703" s="6" t="n"/>
      <c r="M703" s="3" t="n"/>
      <c r="N703" s="1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</row>
    <row r="704" ht="15.75" customHeight="1">
      <c r="A704" s="3" t="n"/>
      <c r="B704" s="4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6" t="n"/>
      <c r="L704" s="6" t="n"/>
      <c r="M704" s="3" t="n"/>
      <c r="N704" s="1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</row>
    <row r="705" ht="15.75" customHeight="1">
      <c r="A705" s="3" t="n"/>
      <c r="B705" s="4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6" t="n"/>
      <c r="L705" s="6" t="n"/>
      <c r="M705" s="3" t="n"/>
      <c r="N705" s="1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</row>
    <row r="706" ht="15.75" customHeight="1">
      <c r="A706" s="3" t="n"/>
      <c r="B706" s="4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6" t="n"/>
      <c r="L706" s="6" t="n"/>
      <c r="M706" s="3" t="n"/>
      <c r="N706" s="1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</row>
    <row r="707" ht="15.75" customHeight="1">
      <c r="A707" s="3" t="n"/>
      <c r="B707" s="4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6" t="n"/>
      <c r="L707" s="6" t="n"/>
      <c r="M707" s="3" t="n"/>
      <c r="N707" s="1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</row>
    <row r="708" ht="15.75" customHeight="1">
      <c r="A708" s="3" t="n"/>
      <c r="B708" s="4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6" t="n"/>
      <c r="L708" s="6" t="n"/>
      <c r="M708" s="3" t="n"/>
      <c r="N708" s="1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</row>
    <row r="709" ht="15.75" customHeight="1">
      <c r="A709" s="3" t="n"/>
      <c r="B709" s="4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6" t="n"/>
      <c r="L709" s="6" t="n"/>
      <c r="M709" s="3" t="n"/>
      <c r="N709" s="1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</row>
    <row r="710" ht="15.75" customHeight="1">
      <c r="A710" s="3" t="n"/>
      <c r="B710" s="4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6" t="n"/>
      <c r="L710" s="6" t="n"/>
      <c r="M710" s="3" t="n"/>
      <c r="N710" s="1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</row>
    <row r="711" ht="15.75" customHeight="1">
      <c r="A711" s="3" t="n"/>
      <c r="B711" s="4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6" t="n"/>
      <c r="L711" s="6" t="n"/>
      <c r="M711" s="3" t="n"/>
      <c r="N711" s="1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</row>
    <row r="712" ht="15.75" customHeight="1">
      <c r="A712" s="3" t="n"/>
      <c r="B712" s="4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6" t="n"/>
      <c r="L712" s="6" t="n"/>
      <c r="M712" s="3" t="n"/>
      <c r="N712" s="1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</row>
    <row r="713" ht="15.75" customHeight="1">
      <c r="A713" s="3" t="n"/>
      <c r="B713" s="4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6" t="n"/>
      <c r="L713" s="6" t="n"/>
      <c r="M713" s="3" t="n"/>
      <c r="N713" s="1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</row>
    <row r="714" ht="15.75" customHeight="1">
      <c r="A714" s="3" t="n"/>
      <c r="B714" s="4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6" t="n"/>
      <c r="L714" s="6" t="n"/>
      <c r="M714" s="3" t="n"/>
      <c r="N714" s="1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</row>
    <row r="715" ht="15.75" customHeight="1">
      <c r="A715" s="3" t="n"/>
      <c r="B715" s="4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6" t="n"/>
      <c r="L715" s="6" t="n"/>
      <c r="M715" s="3" t="n"/>
      <c r="N715" s="1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</row>
    <row r="716" ht="15.75" customHeight="1">
      <c r="A716" s="3" t="n"/>
      <c r="B716" s="4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6" t="n"/>
      <c r="L716" s="6" t="n"/>
      <c r="M716" s="3" t="n"/>
      <c r="N716" s="1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</row>
    <row r="717" ht="15.75" customHeight="1">
      <c r="A717" s="3" t="n"/>
      <c r="B717" s="4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6" t="n"/>
      <c r="L717" s="6" t="n"/>
      <c r="M717" s="3" t="n"/>
      <c r="N717" s="1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</row>
    <row r="718" ht="15.75" customHeight="1">
      <c r="A718" s="3" t="n"/>
      <c r="B718" s="4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6" t="n"/>
      <c r="L718" s="6" t="n"/>
      <c r="M718" s="3" t="n"/>
      <c r="N718" s="1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</row>
    <row r="719" ht="15.75" customHeight="1">
      <c r="A719" s="3" t="n"/>
      <c r="B719" s="4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6" t="n"/>
      <c r="L719" s="6" t="n"/>
      <c r="M719" s="3" t="n"/>
      <c r="N719" s="1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</row>
    <row r="720" ht="15.75" customHeight="1">
      <c r="A720" s="3" t="n"/>
      <c r="B720" s="4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6" t="n"/>
      <c r="L720" s="6" t="n"/>
      <c r="M720" s="3" t="n"/>
      <c r="N720" s="1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</row>
    <row r="721" ht="15.75" customHeight="1">
      <c r="A721" s="3" t="n"/>
      <c r="B721" s="4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6" t="n"/>
      <c r="L721" s="6" t="n"/>
      <c r="M721" s="3" t="n"/>
      <c r="N721" s="1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</row>
    <row r="722" ht="15.75" customHeight="1">
      <c r="A722" s="3" t="n"/>
      <c r="B722" s="4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6" t="n"/>
      <c r="L722" s="6" t="n"/>
      <c r="M722" s="3" t="n"/>
      <c r="N722" s="1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</row>
    <row r="723" ht="15.75" customHeight="1">
      <c r="A723" s="3" t="n"/>
      <c r="B723" s="4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6" t="n"/>
      <c r="L723" s="6" t="n"/>
      <c r="M723" s="3" t="n"/>
      <c r="N723" s="1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</row>
    <row r="724" ht="15.75" customHeight="1">
      <c r="A724" s="3" t="n"/>
      <c r="B724" s="4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6" t="n"/>
      <c r="L724" s="6" t="n"/>
      <c r="M724" s="3" t="n"/>
      <c r="N724" s="1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</row>
    <row r="725" ht="15.75" customHeight="1">
      <c r="A725" s="3" t="n"/>
      <c r="B725" s="4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6" t="n"/>
      <c r="L725" s="6" t="n"/>
      <c r="M725" s="3" t="n"/>
      <c r="N725" s="1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</row>
    <row r="726" ht="15.75" customHeight="1">
      <c r="A726" s="3" t="n"/>
      <c r="B726" s="4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6" t="n"/>
      <c r="L726" s="6" t="n"/>
      <c r="M726" s="3" t="n"/>
      <c r="N726" s="1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</row>
    <row r="727" ht="15.75" customHeight="1">
      <c r="A727" s="3" t="n"/>
      <c r="B727" s="4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6" t="n"/>
      <c r="L727" s="6" t="n"/>
      <c r="M727" s="3" t="n"/>
      <c r="N727" s="1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</row>
    <row r="728" ht="15.75" customHeight="1">
      <c r="A728" s="3" t="n"/>
      <c r="B728" s="4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6" t="n"/>
      <c r="L728" s="6" t="n"/>
      <c r="M728" s="3" t="n"/>
      <c r="N728" s="1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</row>
    <row r="729" ht="15.75" customHeight="1">
      <c r="A729" s="3" t="n"/>
      <c r="B729" s="4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6" t="n"/>
      <c r="L729" s="6" t="n"/>
      <c r="M729" s="3" t="n"/>
      <c r="N729" s="1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</row>
    <row r="730" ht="15.75" customHeight="1">
      <c r="A730" s="3" t="n"/>
      <c r="B730" s="4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6" t="n"/>
      <c r="L730" s="6" t="n"/>
      <c r="M730" s="3" t="n"/>
      <c r="N730" s="1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</row>
    <row r="731" ht="15.75" customHeight="1">
      <c r="A731" s="3" t="n"/>
      <c r="B731" s="4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6" t="n"/>
      <c r="L731" s="6" t="n"/>
      <c r="M731" s="3" t="n"/>
      <c r="N731" s="1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</row>
    <row r="732" ht="15.75" customHeight="1">
      <c r="A732" s="3" t="n"/>
      <c r="B732" s="4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6" t="n"/>
      <c r="L732" s="6" t="n"/>
      <c r="M732" s="3" t="n"/>
      <c r="N732" s="1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</row>
    <row r="733" ht="15.75" customHeight="1">
      <c r="A733" s="3" t="n"/>
      <c r="B733" s="4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6" t="n"/>
      <c r="L733" s="6" t="n"/>
      <c r="M733" s="3" t="n"/>
      <c r="N733" s="1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</row>
    <row r="734" ht="15.75" customHeight="1">
      <c r="A734" s="3" t="n"/>
      <c r="B734" s="4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6" t="n"/>
      <c r="L734" s="6" t="n"/>
      <c r="M734" s="3" t="n"/>
      <c r="N734" s="1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</row>
    <row r="735" ht="15.75" customHeight="1">
      <c r="A735" s="3" t="n"/>
      <c r="B735" s="4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6" t="n"/>
      <c r="L735" s="6" t="n"/>
      <c r="M735" s="3" t="n"/>
      <c r="N735" s="1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</row>
    <row r="736" ht="15.75" customHeight="1">
      <c r="A736" s="3" t="n"/>
      <c r="B736" s="4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6" t="n"/>
      <c r="L736" s="6" t="n"/>
      <c r="M736" s="3" t="n"/>
      <c r="N736" s="1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</row>
    <row r="737" ht="15.75" customHeight="1">
      <c r="A737" s="3" t="n"/>
      <c r="B737" s="4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6" t="n"/>
      <c r="L737" s="6" t="n"/>
      <c r="M737" s="3" t="n"/>
      <c r="N737" s="1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</row>
    <row r="738" ht="15.75" customHeight="1">
      <c r="A738" s="3" t="n"/>
      <c r="B738" s="4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6" t="n"/>
      <c r="L738" s="6" t="n"/>
      <c r="M738" s="3" t="n"/>
      <c r="N738" s="1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</row>
    <row r="739" ht="15.75" customHeight="1">
      <c r="A739" s="3" t="n"/>
      <c r="B739" s="4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6" t="n"/>
      <c r="L739" s="6" t="n"/>
      <c r="M739" s="3" t="n"/>
      <c r="N739" s="1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</row>
    <row r="740" ht="15.75" customHeight="1">
      <c r="A740" s="3" t="n"/>
      <c r="B740" s="4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6" t="n"/>
      <c r="L740" s="6" t="n"/>
      <c r="M740" s="3" t="n"/>
      <c r="N740" s="1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</row>
    <row r="741" ht="15.75" customHeight="1">
      <c r="A741" s="3" t="n"/>
      <c r="B741" s="4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6" t="n"/>
      <c r="L741" s="6" t="n"/>
      <c r="M741" s="3" t="n"/>
      <c r="N741" s="1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</row>
    <row r="742" ht="15.75" customHeight="1">
      <c r="A742" s="3" t="n"/>
      <c r="B742" s="4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6" t="n"/>
      <c r="L742" s="6" t="n"/>
      <c r="M742" s="3" t="n"/>
      <c r="N742" s="1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</row>
    <row r="743" ht="15.75" customHeight="1">
      <c r="A743" s="3" t="n"/>
      <c r="B743" s="4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6" t="n"/>
      <c r="L743" s="6" t="n"/>
      <c r="M743" s="3" t="n"/>
      <c r="N743" s="1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</row>
    <row r="744" ht="15.75" customHeight="1">
      <c r="A744" s="3" t="n"/>
      <c r="B744" s="4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6" t="n"/>
      <c r="L744" s="6" t="n"/>
      <c r="M744" s="3" t="n"/>
      <c r="N744" s="1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</row>
    <row r="745" ht="15.75" customHeight="1">
      <c r="A745" s="3" t="n"/>
      <c r="B745" s="4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6" t="n"/>
      <c r="L745" s="6" t="n"/>
      <c r="M745" s="3" t="n"/>
      <c r="N745" s="1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</row>
    <row r="746" ht="15.75" customHeight="1">
      <c r="A746" s="3" t="n"/>
      <c r="B746" s="4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6" t="n"/>
      <c r="L746" s="6" t="n"/>
      <c r="M746" s="3" t="n"/>
      <c r="N746" s="1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</row>
    <row r="747" ht="15.75" customHeight="1">
      <c r="A747" s="3" t="n"/>
      <c r="B747" s="4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6" t="n"/>
      <c r="L747" s="6" t="n"/>
      <c r="M747" s="3" t="n"/>
      <c r="N747" s="1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</row>
    <row r="748" ht="15.75" customHeight="1">
      <c r="A748" s="3" t="n"/>
      <c r="B748" s="4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6" t="n"/>
      <c r="L748" s="6" t="n"/>
      <c r="M748" s="3" t="n"/>
      <c r="N748" s="1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</row>
    <row r="749" ht="15.75" customHeight="1">
      <c r="A749" s="3" t="n"/>
      <c r="B749" s="4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6" t="n"/>
      <c r="L749" s="6" t="n"/>
      <c r="M749" s="3" t="n"/>
      <c r="N749" s="1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</row>
    <row r="750" ht="15.75" customHeight="1">
      <c r="A750" s="3" t="n"/>
      <c r="B750" s="4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6" t="n"/>
      <c r="L750" s="6" t="n"/>
      <c r="M750" s="3" t="n"/>
      <c r="N750" s="1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</row>
    <row r="751" ht="15.75" customHeight="1">
      <c r="A751" s="3" t="n"/>
      <c r="B751" s="4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6" t="n"/>
      <c r="L751" s="6" t="n"/>
      <c r="M751" s="3" t="n"/>
      <c r="N751" s="1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</row>
    <row r="752" ht="15.75" customHeight="1">
      <c r="A752" s="3" t="n"/>
      <c r="B752" s="4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6" t="n"/>
      <c r="L752" s="6" t="n"/>
      <c r="M752" s="3" t="n"/>
      <c r="N752" s="1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</row>
    <row r="753" ht="15.75" customHeight="1">
      <c r="A753" s="3" t="n"/>
      <c r="B753" s="4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6" t="n"/>
      <c r="L753" s="6" t="n"/>
      <c r="M753" s="3" t="n"/>
      <c r="N753" s="1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</row>
    <row r="754" ht="15.75" customHeight="1">
      <c r="A754" s="3" t="n"/>
      <c r="B754" s="4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6" t="n"/>
      <c r="L754" s="6" t="n"/>
      <c r="M754" s="3" t="n"/>
      <c r="N754" s="1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</row>
    <row r="755" ht="15.75" customHeight="1">
      <c r="A755" s="3" t="n"/>
      <c r="B755" s="4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6" t="n"/>
      <c r="L755" s="6" t="n"/>
      <c r="M755" s="3" t="n"/>
      <c r="N755" s="1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</row>
    <row r="756" ht="15.75" customHeight="1">
      <c r="A756" s="3" t="n"/>
      <c r="B756" s="4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6" t="n"/>
      <c r="L756" s="6" t="n"/>
      <c r="M756" s="3" t="n"/>
      <c r="N756" s="1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</row>
    <row r="757" ht="15.75" customHeight="1">
      <c r="A757" s="3" t="n"/>
      <c r="B757" s="4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6" t="n"/>
      <c r="L757" s="6" t="n"/>
      <c r="M757" s="3" t="n"/>
      <c r="N757" s="1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</row>
    <row r="758" ht="15.75" customHeight="1">
      <c r="A758" s="3" t="n"/>
      <c r="B758" s="4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6" t="n"/>
      <c r="L758" s="6" t="n"/>
      <c r="M758" s="3" t="n"/>
      <c r="N758" s="1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</row>
    <row r="759" ht="15.75" customHeight="1">
      <c r="A759" s="3" t="n"/>
      <c r="B759" s="4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6" t="n"/>
      <c r="L759" s="6" t="n"/>
      <c r="M759" s="3" t="n"/>
      <c r="N759" s="1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</row>
    <row r="760" ht="15.75" customHeight="1">
      <c r="A760" s="3" t="n"/>
      <c r="B760" s="4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6" t="n"/>
      <c r="L760" s="6" t="n"/>
      <c r="M760" s="3" t="n"/>
      <c r="N760" s="1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</row>
    <row r="761" ht="15.75" customHeight="1">
      <c r="A761" s="3" t="n"/>
      <c r="B761" s="4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6" t="n"/>
      <c r="L761" s="6" t="n"/>
      <c r="M761" s="3" t="n"/>
      <c r="N761" s="1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</row>
    <row r="762" ht="15.75" customHeight="1">
      <c r="A762" s="3" t="n"/>
      <c r="B762" s="4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6" t="n"/>
      <c r="L762" s="6" t="n"/>
      <c r="M762" s="3" t="n"/>
      <c r="N762" s="1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</row>
    <row r="763" ht="15.75" customHeight="1">
      <c r="A763" s="3" t="n"/>
      <c r="B763" s="4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6" t="n"/>
      <c r="L763" s="6" t="n"/>
      <c r="M763" s="3" t="n"/>
      <c r="N763" s="1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</row>
    <row r="764" ht="15.75" customHeight="1">
      <c r="A764" s="3" t="n"/>
      <c r="B764" s="4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6" t="n"/>
      <c r="L764" s="6" t="n"/>
      <c r="M764" s="3" t="n"/>
      <c r="N764" s="1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</row>
    <row r="765" ht="15.75" customHeight="1">
      <c r="A765" s="3" t="n"/>
      <c r="B765" s="4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6" t="n"/>
      <c r="L765" s="6" t="n"/>
      <c r="M765" s="3" t="n"/>
      <c r="N765" s="1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</row>
    <row r="766" ht="15.75" customHeight="1">
      <c r="A766" s="3" t="n"/>
      <c r="B766" s="4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6" t="n"/>
      <c r="L766" s="6" t="n"/>
      <c r="M766" s="3" t="n"/>
      <c r="N766" s="1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</row>
    <row r="767" ht="15.75" customHeight="1">
      <c r="A767" s="3" t="n"/>
      <c r="B767" s="4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6" t="n"/>
      <c r="L767" s="6" t="n"/>
      <c r="M767" s="3" t="n"/>
      <c r="N767" s="1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</row>
    <row r="768" ht="15.75" customHeight="1">
      <c r="A768" s="3" t="n"/>
      <c r="B768" s="4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6" t="n"/>
      <c r="L768" s="6" t="n"/>
      <c r="M768" s="3" t="n"/>
      <c r="N768" s="1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</row>
    <row r="769" ht="15.75" customHeight="1">
      <c r="A769" s="3" t="n"/>
      <c r="B769" s="4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6" t="n"/>
      <c r="L769" s="6" t="n"/>
      <c r="M769" s="3" t="n"/>
      <c r="N769" s="1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</row>
    <row r="770" ht="15.75" customHeight="1">
      <c r="A770" s="3" t="n"/>
      <c r="B770" s="4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6" t="n"/>
      <c r="L770" s="6" t="n"/>
      <c r="M770" s="3" t="n"/>
      <c r="N770" s="1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</row>
    <row r="771" ht="15.75" customHeight="1">
      <c r="A771" s="3" t="n"/>
      <c r="B771" s="4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6" t="n"/>
      <c r="L771" s="6" t="n"/>
      <c r="M771" s="3" t="n"/>
      <c r="N771" s="1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</row>
    <row r="772" ht="15.75" customHeight="1">
      <c r="A772" s="3" t="n"/>
      <c r="B772" s="4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6" t="n"/>
      <c r="L772" s="6" t="n"/>
      <c r="M772" s="3" t="n"/>
      <c r="N772" s="1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</row>
    <row r="773" ht="15.75" customHeight="1">
      <c r="A773" s="3" t="n"/>
      <c r="B773" s="4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6" t="n"/>
      <c r="L773" s="6" t="n"/>
      <c r="M773" s="3" t="n"/>
      <c r="N773" s="1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</row>
    <row r="774" ht="15.75" customHeight="1">
      <c r="A774" s="3" t="n"/>
      <c r="B774" s="4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6" t="n"/>
      <c r="L774" s="6" t="n"/>
      <c r="M774" s="3" t="n"/>
      <c r="N774" s="1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</row>
    <row r="775" ht="15.75" customHeight="1">
      <c r="A775" s="3" t="n"/>
      <c r="B775" s="4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6" t="n"/>
      <c r="L775" s="6" t="n"/>
      <c r="M775" s="3" t="n"/>
      <c r="N775" s="1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</row>
    <row r="776" ht="15.75" customHeight="1">
      <c r="A776" s="3" t="n"/>
      <c r="B776" s="4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6" t="n"/>
      <c r="L776" s="6" t="n"/>
      <c r="M776" s="3" t="n"/>
      <c r="N776" s="1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</row>
    <row r="777" ht="15.75" customHeight="1">
      <c r="A777" s="3" t="n"/>
      <c r="B777" s="4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6" t="n"/>
      <c r="L777" s="6" t="n"/>
      <c r="M777" s="3" t="n"/>
      <c r="N777" s="1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</row>
    <row r="778" ht="15.75" customHeight="1">
      <c r="A778" s="3" t="n"/>
      <c r="B778" s="4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6" t="n"/>
      <c r="L778" s="6" t="n"/>
      <c r="M778" s="3" t="n"/>
      <c r="N778" s="1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</row>
    <row r="779" ht="15.75" customHeight="1">
      <c r="A779" s="3" t="n"/>
      <c r="B779" s="4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6" t="n"/>
      <c r="L779" s="6" t="n"/>
      <c r="M779" s="3" t="n"/>
      <c r="N779" s="1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</row>
    <row r="780" ht="15.75" customHeight="1">
      <c r="A780" s="3" t="n"/>
      <c r="B780" s="4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6" t="n"/>
      <c r="L780" s="6" t="n"/>
      <c r="M780" s="3" t="n"/>
      <c r="N780" s="1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</row>
    <row r="781" ht="15.75" customHeight="1">
      <c r="A781" s="3" t="n"/>
      <c r="B781" s="4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6" t="n"/>
      <c r="L781" s="6" t="n"/>
      <c r="M781" s="3" t="n"/>
      <c r="N781" s="1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</row>
    <row r="782" ht="15.75" customHeight="1">
      <c r="A782" s="3" t="n"/>
      <c r="B782" s="4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6" t="n"/>
      <c r="L782" s="6" t="n"/>
      <c r="M782" s="3" t="n"/>
      <c r="N782" s="1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</row>
    <row r="783" ht="15.75" customHeight="1">
      <c r="A783" s="3" t="n"/>
      <c r="B783" s="4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6" t="n"/>
      <c r="L783" s="6" t="n"/>
      <c r="M783" s="3" t="n"/>
      <c r="N783" s="1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</row>
    <row r="784" ht="15.75" customHeight="1">
      <c r="A784" s="3" t="n"/>
      <c r="B784" s="4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6" t="n"/>
      <c r="L784" s="6" t="n"/>
      <c r="M784" s="3" t="n"/>
      <c r="N784" s="1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</row>
    <row r="785" ht="15.75" customHeight="1">
      <c r="A785" s="3" t="n"/>
      <c r="B785" s="4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6" t="n"/>
      <c r="L785" s="6" t="n"/>
      <c r="M785" s="3" t="n"/>
      <c r="N785" s="1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</row>
    <row r="786" ht="15.75" customHeight="1">
      <c r="A786" s="3" t="n"/>
      <c r="B786" s="4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6" t="n"/>
      <c r="L786" s="6" t="n"/>
      <c r="M786" s="3" t="n"/>
      <c r="N786" s="1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</row>
    <row r="787" ht="15.75" customHeight="1">
      <c r="A787" s="3" t="n"/>
      <c r="B787" s="4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6" t="n"/>
      <c r="L787" s="6" t="n"/>
      <c r="M787" s="3" t="n"/>
      <c r="N787" s="1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</row>
    <row r="788" ht="15.75" customHeight="1">
      <c r="A788" s="3" t="n"/>
      <c r="B788" s="4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6" t="n"/>
      <c r="L788" s="6" t="n"/>
      <c r="M788" s="3" t="n"/>
      <c r="N788" s="1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</row>
    <row r="789" ht="15.75" customHeight="1">
      <c r="A789" s="3" t="n"/>
      <c r="B789" s="4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6" t="n"/>
      <c r="L789" s="6" t="n"/>
      <c r="M789" s="3" t="n"/>
      <c r="N789" s="1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</row>
    <row r="790" ht="15.75" customHeight="1">
      <c r="A790" s="3" t="n"/>
      <c r="B790" s="4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6" t="n"/>
      <c r="L790" s="6" t="n"/>
      <c r="M790" s="3" t="n"/>
      <c r="N790" s="1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</row>
    <row r="791" ht="15.75" customHeight="1">
      <c r="A791" s="3" t="n"/>
      <c r="B791" s="4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6" t="n"/>
      <c r="L791" s="6" t="n"/>
      <c r="M791" s="3" t="n"/>
      <c r="N791" s="1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</row>
    <row r="792" ht="15.75" customHeight="1">
      <c r="A792" s="3" t="n"/>
      <c r="B792" s="4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6" t="n"/>
      <c r="L792" s="6" t="n"/>
      <c r="M792" s="3" t="n"/>
      <c r="N792" s="1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</row>
    <row r="793" ht="15.75" customHeight="1">
      <c r="A793" s="3" t="n"/>
      <c r="B793" s="4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6" t="n"/>
      <c r="L793" s="6" t="n"/>
      <c r="M793" s="3" t="n"/>
      <c r="N793" s="1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</row>
    <row r="794" ht="15.75" customHeight="1">
      <c r="A794" s="3" t="n"/>
      <c r="B794" s="4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6" t="n"/>
      <c r="L794" s="6" t="n"/>
      <c r="M794" s="3" t="n"/>
      <c r="N794" s="1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</row>
    <row r="795" ht="15.75" customHeight="1">
      <c r="A795" s="3" t="n"/>
      <c r="B795" s="4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6" t="n"/>
      <c r="L795" s="6" t="n"/>
      <c r="M795" s="3" t="n"/>
      <c r="N795" s="1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</row>
    <row r="796" ht="15.75" customHeight="1">
      <c r="A796" s="3" t="n"/>
      <c r="B796" s="4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6" t="n"/>
      <c r="L796" s="6" t="n"/>
      <c r="M796" s="3" t="n"/>
      <c r="N796" s="1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</row>
    <row r="797" ht="15.75" customHeight="1">
      <c r="A797" s="3" t="n"/>
      <c r="B797" s="4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6" t="n"/>
      <c r="L797" s="6" t="n"/>
      <c r="M797" s="3" t="n"/>
      <c r="N797" s="1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</row>
    <row r="798" ht="15.75" customHeight="1">
      <c r="A798" s="3" t="n"/>
      <c r="B798" s="4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6" t="n"/>
      <c r="L798" s="6" t="n"/>
      <c r="M798" s="3" t="n"/>
      <c r="N798" s="1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</row>
    <row r="799" ht="15.75" customHeight="1">
      <c r="A799" s="3" t="n"/>
      <c r="B799" s="4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6" t="n"/>
      <c r="L799" s="6" t="n"/>
      <c r="M799" s="3" t="n"/>
      <c r="N799" s="1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</row>
    <row r="800" ht="15.75" customHeight="1">
      <c r="A800" s="3" t="n"/>
      <c r="B800" s="4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6" t="n"/>
      <c r="L800" s="6" t="n"/>
      <c r="M800" s="3" t="n"/>
      <c r="N800" s="1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</row>
    <row r="801" ht="15.75" customHeight="1">
      <c r="A801" s="3" t="n"/>
      <c r="B801" s="4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6" t="n"/>
      <c r="L801" s="6" t="n"/>
      <c r="M801" s="3" t="n"/>
      <c r="N801" s="1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</row>
    <row r="802" ht="15.75" customHeight="1">
      <c r="A802" s="3" t="n"/>
      <c r="B802" s="4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6" t="n"/>
      <c r="L802" s="6" t="n"/>
      <c r="M802" s="3" t="n"/>
      <c r="N802" s="1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</row>
    <row r="803" ht="15.75" customHeight="1">
      <c r="A803" s="3" t="n"/>
      <c r="B803" s="4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6" t="n"/>
      <c r="L803" s="6" t="n"/>
      <c r="M803" s="3" t="n"/>
      <c r="N803" s="1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</row>
    <row r="804" ht="15.75" customHeight="1">
      <c r="A804" s="3" t="n"/>
      <c r="B804" s="4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6" t="n"/>
      <c r="L804" s="6" t="n"/>
      <c r="M804" s="3" t="n"/>
      <c r="N804" s="1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</row>
    <row r="805" ht="15.75" customHeight="1">
      <c r="A805" s="3" t="n"/>
      <c r="B805" s="4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6" t="n"/>
      <c r="L805" s="6" t="n"/>
      <c r="M805" s="3" t="n"/>
      <c r="N805" s="1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</row>
    <row r="806" ht="15.75" customHeight="1">
      <c r="A806" s="3" t="n"/>
      <c r="B806" s="4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6" t="n"/>
      <c r="L806" s="6" t="n"/>
      <c r="M806" s="3" t="n"/>
      <c r="N806" s="1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</row>
    <row r="807" ht="15.75" customHeight="1">
      <c r="A807" s="3" t="n"/>
      <c r="B807" s="4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6" t="n"/>
      <c r="L807" s="6" t="n"/>
      <c r="M807" s="3" t="n"/>
      <c r="N807" s="1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</row>
    <row r="808" ht="15.75" customHeight="1">
      <c r="A808" s="3" t="n"/>
      <c r="B808" s="4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6" t="n"/>
      <c r="L808" s="6" t="n"/>
      <c r="M808" s="3" t="n"/>
      <c r="N808" s="1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</row>
    <row r="809" ht="15.75" customHeight="1">
      <c r="A809" s="3" t="n"/>
      <c r="B809" s="4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6" t="n"/>
      <c r="L809" s="6" t="n"/>
      <c r="M809" s="3" t="n"/>
      <c r="N809" s="1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</row>
    <row r="810" ht="15.75" customHeight="1">
      <c r="A810" s="3" t="n"/>
      <c r="B810" s="4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6" t="n"/>
      <c r="L810" s="6" t="n"/>
      <c r="M810" s="3" t="n"/>
      <c r="N810" s="1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</row>
    <row r="811" ht="15.75" customHeight="1">
      <c r="A811" s="3" t="n"/>
      <c r="B811" s="4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6" t="n"/>
      <c r="L811" s="6" t="n"/>
      <c r="M811" s="3" t="n"/>
      <c r="N811" s="1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</row>
    <row r="812" ht="15.75" customHeight="1">
      <c r="A812" s="3" t="n"/>
      <c r="B812" s="4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6" t="n"/>
      <c r="L812" s="6" t="n"/>
      <c r="M812" s="3" t="n"/>
      <c r="N812" s="1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</row>
    <row r="813" ht="15.75" customHeight="1">
      <c r="A813" s="3" t="n"/>
      <c r="B813" s="4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6" t="n"/>
      <c r="L813" s="6" t="n"/>
      <c r="M813" s="3" t="n"/>
      <c r="N813" s="1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</row>
    <row r="814" ht="15.75" customHeight="1">
      <c r="A814" s="3" t="n"/>
      <c r="B814" s="4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6" t="n"/>
      <c r="L814" s="6" t="n"/>
      <c r="M814" s="3" t="n"/>
      <c r="N814" s="1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</row>
    <row r="815" ht="15.75" customHeight="1">
      <c r="A815" s="3" t="n"/>
      <c r="B815" s="4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6" t="n"/>
      <c r="L815" s="6" t="n"/>
      <c r="M815" s="3" t="n"/>
      <c r="N815" s="1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</row>
    <row r="816" ht="15.75" customHeight="1">
      <c r="A816" s="3" t="n"/>
      <c r="B816" s="4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6" t="n"/>
      <c r="L816" s="6" t="n"/>
      <c r="M816" s="3" t="n"/>
      <c r="N816" s="1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</row>
    <row r="817" ht="15.75" customHeight="1">
      <c r="A817" s="3" t="n"/>
      <c r="B817" s="4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6" t="n"/>
      <c r="L817" s="6" t="n"/>
      <c r="M817" s="3" t="n"/>
      <c r="N817" s="1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</row>
    <row r="818" ht="15.75" customHeight="1">
      <c r="A818" s="3" t="n"/>
      <c r="B818" s="4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6" t="n"/>
      <c r="L818" s="6" t="n"/>
      <c r="M818" s="3" t="n"/>
      <c r="N818" s="1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</row>
    <row r="819" ht="15.75" customHeight="1">
      <c r="A819" s="3" t="n"/>
      <c r="B819" s="4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6" t="n"/>
      <c r="L819" s="6" t="n"/>
      <c r="M819" s="3" t="n"/>
      <c r="N819" s="1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</row>
    <row r="820" ht="15.75" customHeight="1">
      <c r="A820" s="3" t="n"/>
      <c r="B820" s="4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6" t="n"/>
      <c r="L820" s="6" t="n"/>
      <c r="M820" s="3" t="n"/>
      <c r="N820" s="1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</row>
    <row r="821" ht="15.75" customHeight="1">
      <c r="A821" s="3" t="n"/>
      <c r="B821" s="4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6" t="n"/>
      <c r="L821" s="6" t="n"/>
      <c r="M821" s="3" t="n"/>
      <c r="N821" s="1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</row>
    <row r="822" ht="15.75" customHeight="1">
      <c r="A822" s="3" t="n"/>
      <c r="B822" s="4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6" t="n"/>
      <c r="L822" s="6" t="n"/>
      <c r="M822" s="3" t="n"/>
      <c r="N822" s="1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</row>
    <row r="823" ht="15.75" customHeight="1">
      <c r="A823" s="3" t="n"/>
      <c r="B823" s="4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6" t="n"/>
      <c r="L823" s="6" t="n"/>
      <c r="M823" s="3" t="n"/>
      <c r="N823" s="1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</row>
    <row r="824" ht="15.75" customHeight="1">
      <c r="A824" s="3" t="n"/>
      <c r="B824" s="4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6" t="n"/>
      <c r="L824" s="6" t="n"/>
      <c r="M824" s="3" t="n"/>
      <c r="N824" s="1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</row>
    <row r="825" ht="15.75" customHeight="1">
      <c r="A825" s="3" t="n"/>
      <c r="B825" s="4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6" t="n"/>
      <c r="L825" s="6" t="n"/>
      <c r="M825" s="3" t="n"/>
      <c r="N825" s="1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</row>
    <row r="826" ht="15.75" customHeight="1">
      <c r="A826" s="3" t="n"/>
      <c r="B826" s="4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6" t="n"/>
      <c r="L826" s="6" t="n"/>
      <c r="M826" s="3" t="n"/>
      <c r="N826" s="1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</row>
    <row r="827" ht="15.75" customHeight="1">
      <c r="A827" s="3" t="n"/>
      <c r="B827" s="4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6" t="n"/>
      <c r="L827" s="6" t="n"/>
      <c r="M827" s="3" t="n"/>
      <c r="N827" s="1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</row>
    <row r="828" ht="15.75" customHeight="1">
      <c r="A828" s="3" t="n"/>
      <c r="B828" s="4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6" t="n"/>
      <c r="L828" s="6" t="n"/>
      <c r="M828" s="3" t="n"/>
      <c r="N828" s="1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</row>
    <row r="829" ht="15.75" customHeight="1">
      <c r="A829" s="3" t="n"/>
      <c r="B829" s="4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6" t="n"/>
      <c r="L829" s="6" t="n"/>
      <c r="M829" s="3" t="n"/>
      <c r="N829" s="1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</row>
    <row r="830" ht="15.75" customHeight="1">
      <c r="A830" s="3" t="n"/>
      <c r="B830" s="4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6" t="n"/>
      <c r="L830" s="6" t="n"/>
      <c r="M830" s="3" t="n"/>
      <c r="N830" s="1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</row>
    <row r="831" ht="15.75" customHeight="1">
      <c r="A831" s="3" t="n"/>
      <c r="B831" s="4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6" t="n"/>
      <c r="L831" s="6" t="n"/>
      <c r="M831" s="3" t="n"/>
      <c r="N831" s="1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</row>
    <row r="832" ht="15.75" customHeight="1">
      <c r="A832" s="3" t="n"/>
      <c r="B832" s="4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6" t="n"/>
      <c r="L832" s="6" t="n"/>
      <c r="M832" s="3" t="n"/>
      <c r="N832" s="1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</row>
    <row r="833" ht="15.75" customHeight="1">
      <c r="A833" s="3" t="n"/>
      <c r="B833" s="4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6" t="n"/>
      <c r="L833" s="6" t="n"/>
      <c r="M833" s="3" t="n"/>
      <c r="N833" s="1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</row>
    <row r="834" ht="15.75" customHeight="1">
      <c r="A834" s="3" t="n"/>
      <c r="B834" s="4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6" t="n"/>
      <c r="L834" s="6" t="n"/>
      <c r="M834" s="3" t="n"/>
      <c r="N834" s="1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</row>
    <row r="835" ht="15.75" customHeight="1">
      <c r="A835" s="3" t="n"/>
      <c r="B835" s="4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6" t="n"/>
      <c r="L835" s="6" t="n"/>
      <c r="M835" s="3" t="n"/>
      <c r="N835" s="1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</row>
    <row r="836" ht="15.75" customHeight="1">
      <c r="A836" s="3" t="n"/>
      <c r="B836" s="4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6" t="n"/>
      <c r="L836" s="6" t="n"/>
      <c r="M836" s="3" t="n"/>
      <c r="N836" s="1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</row>
    <row r="837" ht="15.75" customHeight="1">
      <c r="A837" s="3" t="n"/>
      <c r="B837" s="4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6" t="n"/>
      <c r="L837" s="6" t="n"/>
      <c r="M837" s="3" t="n"/>
      <c r="N837" s="1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</row>
    <row r="838" ht="15.75" customHeight="1">
      <c r="A838" s="3" t="n"/>
      <c r="B838" s="4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6" t="n"/>
      <c r="L838" s="6" t="n"/>
      <c r="M838" s="3" t="n"/>
      <c r="N838" s="1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</row>
    <row r="839" ht="15.75" customHeight="1">
      <c r="A839" s="3" t="n"/>
      <c r="B839" s="4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6" t="n"/>
      <c r="L839" s="6" t="n"/>
      <c r="M839" s="3" t="n"/>
      <c r="N839" s="1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</row>
    <row r="840" ht="15.75" customHeight="1">
      <c r="A840" s="3" t="n"/>
      <c r="B840" s="4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6" t="n"/>
      <c r="L840" s="6" t="n"/>
      <c r="M840" s="3" t="n"/>
      <c r="N840" s="1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</row>
    <row r="841" ht="15.75" customHeight="1">
      <c r="A841" s="3" t="n"/>
      <c r="B841" s="4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6" t="n"/>
      <c r="L841" s="6" t="n"/>
      <c r="M841" s="3" t="n"/>
      <c r="N841" s="1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</row>
    <row r="842" ht="15.75" customHeight="1">
      <c r="A842" s="3" t="n"/>
      <c r="B842" s="4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6" t="n"/>
      <c r="L842" s="6" t="n"/>
      <c r="M842" s="3" t="n"/>
      <c r="N842" s="1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</row>
    <row r="843" ht="15.75" customHeight="1">
      <c r="A843" s="3" t="n"/>
      <c r="B843" s="4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6" t="n"/>
      <c r="L843" s="6" t="n"/>
      <c r="M843" s="3" t="n"/>
      <c r="N843" s="1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</row>
    <row r="844" ht="15.75" customHeight="1">
      <c r="A844" s="3" t="n"/>
      <c r="B844" s="4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6" t="n"/>
      <c r="L844" s="6" t="n"/>
      <c r="M844" s="3" t="n"/>
      <c r="N844" s="1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</row>
    <row r="845" ht="15.75" customHeight="1">
      <c r="A845" s="3" t="n"/>
      <c r="B845" s="4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6" t="n"/>
      <c r="L845" s="6" t="n"/>
      <c r="M845" s="3" t="n"/>
      <c r="N845" s="1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</row>
    <row r="846" ht="15.75" customHeight="1">
      <c r="A846" s="3" t="n"/>
      <c r="B846" s="4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6" t="n"/>
      <c r="L846" s="6" t="n"/>
      <c r="M846" s="3" t="n"/>
      <c r="N846" s="1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</row>
    <row r="847" ht="15.75" customHeight="1">
      <c r="A847" s="3" t="n"/>
      <c r="B847" s="4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6" t="n"/>
      <c r="L847" s="6" t="n"/>
      <c r="M847" s="3" t="n"/>
      <c r="N847" s="1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</row>
    <row r="848" ht="15.75" customHeight="1">
      <c r="A848" s="3" t="n"/>
      <c r="B848" s="4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6" t="n"/>
      <c r="L848" s="6" t="n"/>
      <c r="M848" s="3" t="n"/>
      <c r="N848" s="1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</row>
    <row r="849" ht="15.75" customHeight="1">
      <c r="A849" s="3" t="n"/>
      <c r="B849" s="4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6" t="n"/>
      <c r="L849" s="6" t="n"/>
      <c r="M849" s="3" t="n"/>
      <c r="N849" s="1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</row>
    <row r="850" ht="15.75" customHeight="1">
      <c r="A850" s="3" t="n"/>
      <c r="B850" s="4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6" t="n"/>
      <c r="L850" s="6" t="n"/>
      <c r="M850" s="3" t="n"/>
      <c r="N850" s="1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</row>
    <row r="851" ht="15.75" customHeight="1">
      <c r="A851" s="3" t="n"/>
      <c r="B851" s="4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6" t="n"/>
      <c r="L851" s="6" t="n"/>
      <c r="M851" s="3" t="n"/>
      <c r="N851" s="1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</row>
    <row r="852" ht="15.75" customHeight="1">
      <c r="A852" s="3" t="n"/>
      <c r="B852" s="4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6" t="n"/>
      <c r="L852" s="6" t="n"/>
      <c r="M852" s="3" t="n"/>
      <c r="N852" s="1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</row>
    <row r="853" ht="15.75" customHeight="1">
      <c r="A853" s="3" t="n"/>
      <c r="B853" s="4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6" t="n"/>
      <c r="L853" s="6" t="n"/>
      <c r="M853" s="3" t="n"/>
      <c r="N853" s="1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</row>
    <row r="854" ht="15.75" customHeight="1">
      <c r="A854" s="3" t="n"/>
      <c r="B854" s="4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6" t="n"/>
      <c r="L854" s="6" t="n"/>
      <c r="M854" s="3" t="n"/>
      <c r="N854" s="1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</row>
    <row r="855" ht="15.75" customHeight="1">
      <c r="A855" s="3" t="n"/>
      <c r="B855" s="4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6" t="n"/>
      <c r="L855" s="6" t="n"/>
      <c r="M855" s="3" t="n"/>
      <c r="N855" s="1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</row>
    <row r="856" ht="15.75" customHeight="1">
      <c r="A856" s="3" t="n"/>
      <c r="B856" s="4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6" t="n"/>
      <c r="L856" s="6" t="n"/>
      <c r="M856" s="3" t="n"/>
      <c r="N856" s="1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</row>
    <row r="857" ht="15.75" customHeight="1">
      <c r="A857" s="3" t="n"/>
      <c r="B857" s="4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6" t="n"/>
      <c r="L857" s="6" t="n"/>
      <c r="M857" s="3" t="n"/>
      <c r="N857" s="1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</row>
    <row r="858" ht="15.75" customHeight="1">
      <c r="A858" s="3" t="n"/>
      <c r="B858" s="4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6" t="n"/>
      <c r="L858" s="6" t="n"/>
      <c r="M858" s="3" t="n"/>
      <c r="N858" s="1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</row>
    <row r="859" ht="15.75" customHeight="1">
      <c r="A859" s="3" t="n"/>
      <c r="B859" s="4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6" t="n"/>
      <c r="L859" s="6" t="n"/>
      <c r="M859" s="3" t="n"/>
      <c r="N859" s="1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</row>
    <row r="860" ht="15.75" customHeight="1">
      <c r="A860" s="3" t="n"/>
      <c r="B860" s="4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6" t="n"/>
      <c r="L860" s="6" t="n"/>
      <c r="M860" s="3" t="n"/>
      <c r="N860" s="1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</row>
    <row r="861" ht="15.75" customHeight="1">
      <c r="A861" s="3" t="n"/>
      <c r="B861" s="4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6" t="n"/>
      <c r="L861" s="6" t="n"/>
      <c r="M861" s="3" t="n"/>
      <c r="N861" s="1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</row>
    <row r="862" ht="15.75" customHeight="1">
      <c r="A862" s="3" t="n"/>
      <c r="B862" s="4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6" t="n"/>
      <c r="L862" s="6" t="n"/>
      <c r="M862" s="3" t="n"/>
      <c r="N862" s="1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</row>
    <row r="863" ht="15.75" customHeight="1">
      <c r="A863" s="3" t="n"/>
      <c r="B863" s="4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6" t="n"/>
      <c r="L863" s="6" t="n"/>
      <c r="M863" s="3" t="n"/>
      <c r="N863" s="1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</row>
    <row r="864" ht="15.75" customHeight="1">
      <c r="A864" s="3" t="n"/>
      <c r="B864" s="4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6" t="n"/>
      <c r="L864" s="6" t="n"/>
      <c r="M864" s="3" t="n"/>
      <c r="N864" s="1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</row>
    <row r="865" ht="15.75" customHeight="1">
      <c r="A865" s="3" t="n"/>
      <c r="B865" s="4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6" t="n"/>
      <c r="L865" s="6" t="n"/>
      <c r="M865" s="3" t="n"/>
      <c r="N865" s="1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</row>
    <row r="866" ht="15.75" customHeight="1">
      <c r="A866" s="3" t="n"/>
      <c r="B866" s="4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6" t="n"/>
      <c r="L866" s="6" t="n"/>
      <c r="M866" s="3" t="n"/>
      <c r="N866" s="1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</row>
    <row r="867" ht="15.75" customHeight="1">
      <c r="A867" s="3" t="n"/>
      <c r="B867" s="4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6" t="n"/>
      <c r="L867" s="6" t="n"/>
      <c r="M867" s="3" t="n"/>
      <c r="N867" s="1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</row>
    <row r="868" ht="15.75" customHeight="1">
      <c r="A868" s="3" t="n"/>
      <c r="B868" s="4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6" t="n"/>
      <c r="L868" s="6" t="n"/>
      <c r="M868" s="3" t="n"/>
      <c r="N868" s="1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</row>
    <row r="869" ht="15.75" customHeight="1">
      <c r="A869" s="3" t="n"/>
      <c r="B869" s="4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6" t="n"/>
      <c r="L869" s="6" t="n"/>
      <c r="M869" s="3" t="n"/>
      <c r="N869" s="1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</row>
    <row r="870" ht="15.75" customHeight="1">
      <c r="A870" s="3" t="n"/>
      <c r="B870" s="4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6" t="n"/>
      <c r="L870" s="6" t="n"/>
      <c r="M870" s="3" t="n"/>
      <c r="N870" s="1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</row>
    <row r="871" ht="15.75" customHeight="1">
      <c r="A871" s="3" t="n"/>
      <c r="B871" s="4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6" t="n"/>
      <c r="L871" s="6" t="n"/>
      <c r="M871" s="3" t="n"/>
      <c r="N871" s="1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</row>
    <row r="872" ht="15.75" customHeight="1">
      <c r="A872" s="3" t="n"/>
      <c r="B872" s="4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6" t="n"/>
      <c r="L872" s="6" t="n"/>
      <c r="M872" s="3" t="n"/>
      <c r="N872" s="1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</row>
    <row r="873" ht="15.75" customHeight="1">
      <c r="A873" s="3" t="n"/>
      <c r="B873" s="4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6" t="n"/>
      <c r="L873" s="6" t="n"/>
      <c r="M873" s="3" t="n"/>
      <c r="N873" s="1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</row>
    <row r="874" ht="15.75" customHeight="1">
      <c r="A874" s="3" t="n"/>
      <c r="B874" s="4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6" t="n"/>
      <c r="L874" s="6" t="n"/>
      <c r="M874" s="3" t="n"/>
      <c r="N874" s="1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</row>
    <row r="875" ht="15.75" customHeight="1">
      <c r="A875" s="3" t="n"/>
      <c r="B875" s="4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6" t="n"/>
      <c r="L875" s="6" t="n"/>
      <c r="M875" s="3" t="n"/>
      <c r="N875" s="1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</row>
    <row r="876" ht="15.75" customHeight="1">
      <c r="A876" s="3" t="n"/>
      <c r="B876" s="4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6" t="n"/>
      <c r="L876" s="6" t="n"/>
      <c r="M876" s="3" t="n"/>
      <c r="N876" s="1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</row>
    <row r="877" ht="15.75" customHeight="1">
      <c r="A877" s="3" t="n"/>
      <c r="B877" s="4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6" t="n"/>
      <c r="L877" s="6" t="n"/>
      <c r="M877" s="3" t="n"/>
      <c r="N877" s="1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</row>
    <row r="878" ht="15.75" customHeight="1">
      <c r="A878" s="3" t="n"/>
      <c r="B878" s="4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6" t="n"/>
      <c r="L878" s="6" t="n"/>
      <c r="M878" s="3" t="n"/>
      <c r="N878" s="1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</row>
    <row r="879" ht="15.75" customHeight="1">
      <c r="A879" s="3" t="n"/>
      <c r="B879" s="4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6" t="n"/>
      <c r="L879" s="6" t="n"/>
      <c r="M879" s="3" t="n"/>
      <c r="N879" s="1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</row>
    <row r="880" ht="15.75" customHeight="1">
      <c r="A880" s="3" t="n"/>
      <c r="B880" s="4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6" t="n"/>
      <c r="L880" s="6" t="n"/>
      <c r="M880" s="3" t="n"/>
      <c r="N880" s="1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</row>
    <row r="881" ht="15.75" customHeight="1">
      <c r="A881" s="3" t="n"/>
      <c r="B881" s="4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6" t="n"/>
      <c r="L881" s="6" t="n"/>
      <c r="M881" s="3" t="n"/>
      <c r="N881" s="1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</row>
    <row r="882" ht="15.75" customHeight="1">
      <c r="A882" s="3" t="n"/>
      <c r="B882" s="4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6" t="n"/>
      <c r="L882" s="6" t="n"/>
      <c r="M882" s="3" t="n"/>
      <c r="N882" s="1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</row>
    <row r="883" ht="15.75" customHeight="1">
      <c r="A883" s="3" t="n"/>
      <c r="B883" s="4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6" t="n"/>
      <c r="L883" s="6" t="n"/>
      <c r="M883" s="3" t="n"/>
      <c r="N883" s="1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</row>
    <row r="884" ht="15.75" customHeight="1">
      <c r="A884" s="3" t="n"/>
      <c r="B884" s="4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6" t="n"/>
      <c r="L884" s="6" t="n"/>
      <c r="M884" s="3" t="n"/>
      <c r="N884" s="1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</row>
    <row r="885" ht="15.75" customHeight="1">
      <c r="A885" s="3" t="n"/>
      <c r="B885" s="4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6" t="n"/>
      <c r="L885" s="6" t="n"/>
      <c r="M885" s="3" t="n"/>
      <c r="N885" s="1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</row>
    <row r="886" ht="15.75" customHeight="1">
      <c r="A886" s="3" t="n"/>
      <c r="B886" s="4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6" t="n"/>
      <c r="L886" s="6" t="n"/>
      <c r="M886" s="3" t="n"/>
      <c r="N886" s="1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</row>
    <row r="887" ht="15.75" customHeight="1">
      <c r="A887" s="3" t="n"/>
      <c r="B887" s="4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6" t="n"/>
      <c r="L887" s="6" t="n"/>
      <c r="M887" s="3" t="n"/>
      <c r="N887" s="1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</row>
    <row r="888" ht="15.75" customHeight="1">
      <c r="A888" s="3" t="n"/>
      <c r="B888" s="4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6" t="n"/>
      <c r="L888" s="6" t="n"/>
      <c r="M888" s="3" t="n"/>
      <c r="N888" s="1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</row>
    <row r="889" ht="15.75" customHeight="1">
      <c r="A889" s="3" t="n"/>
      <c r="B889" s="4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6" t="n"/>
      <c r="L889" s="6" t="n"/>
      <c r="M889" s="3" t="n"/>
      <c r="N889" s="1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</row>
    <row r="890" ht="15.75" customHeight="1">
      <c r="A890" s="3" t="n"/>
      <c r="B890" s="4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6" t="n"/>
      <c r="L890" s="6" t="n"/>
      <c r="M890" s="3" t="n"/>
      <c r="N890" s="1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</row>
    <row r="891" ht="15.75" customHeight="1">
      <c r="A891" s="3" t="n"/>
      <c r="B891" s="4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6" t="n"/>
      <c r="L891" s="6" t="n"/>
      <c r="M891" s="3" t="n"/>
      <c r="N891" s="1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</row>
    <row r="892" ht="15.75" customHeight="1">
      <c r="A892" s="3" t="n"/>
      <c r="B892" s="4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6" t="n"/>
      <c r="L892" s="6" t="n"/>
      <c r="M892" s="3" t="n"/>
      <c r="N892" s="1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</row>
    <row r="893" ht="15.75" customHeight="1">
      <c r="A893" s="3" t="n"/>
      <c r="B893" s="4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6" t="n"/>
      <c r="L893" s="6" t="n"/>
      <c r="M893" s="3" t="n"/>
      <c r="N893" s="1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</row>
    <row r="894" ht="15.75" customHeight="1">
      <c r="A894" s="3" t="n"/>
      <c r="B894" s="4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6" t="n"/>
      <c r="L894" s="6" t="n"/>
      <c r="M894" s="3" t="n"/>
      <c r="N894" s="1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</row>
    <row r="895" ht="15.75" customHeight="1">
      <c r="A895" s="3" t="n"/>
      <c r="B895" s="4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6" t="n"/>
      <c r="L895" s="6" t="n"/>
      <c r="M895" s="3" t="n"/>
      <c r="N895" s="1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</row>
    <row r="896" ht="15.75" customHeight="1">
      <c r="A896" s="3" t="n"/>
      <c r="B896" s="4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6" t="n"/>
      <c r="L896" s="6" t="n"/>
      <c r="M896" s="3" t="n"/>
      <c r="N896" s="1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</row>
    <row r="897" ht="15.75" customHeight="1">
      <c r="A897" s="3" t="n"/>
      <c r="B897" s="4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6" t="n"/>
      <c r="L897" s="6" t="n"/>
      <c r="M897" s="3" t="n"/>
      <c r="N897" s="1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</row>
    <row r="898" ht="15.75" customHeight="1">
      <c r="A898" s="3" t="n"/>
      <c r="B898" s="4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6" t="n"/>
      <c r="L898" s="6" t="n"/>
      <c r="M898" s="3" t="n"/>
      <c r="N898" s="1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</row>
    <row r="899" ht="15.75" customHeight="1">
      <c r="A899" s="3" t="n"/>
      <c r="B899" s="4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6" t="n"/>
      <c r="L899" s="6" t="n"/>
      <c r="M899" s="3" t="n"/>
      <c r="N899" s="1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</row>
    <row r="900" ht="15.75" customHeight="1">
      <c r="A900" s="3" t="n"/>
      <c r="B900" s="4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6" t="n"/>
      <c r="L900" s="6" t="n"/>
      <c r="M900" s="3" t="n"/>
      <c r="N900" s="1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</row>
    <row r="901" ht="15.75" customHeight="1">
      <c r="A901" s="3" t="n"/>
      <c r="B901" s="4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6" t="n"/>
      <c r="L901" s="6" t="n"/>
      <c r="M901" s="3" t="n"/>
      <c r="N901" s="1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</row>
    <row r="902" ht="15.75" customHeight="1">
      <c r="A902" s="3" t="n"/>
      <c r="B902" s="4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6" t="n"/>
      <c r="L902" s="6" t="n"/>
      <c r="M902" s="3" t="n"/>
      <c r="N902" s="1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</row>
    <row r="903" ht="15.75" customHeight="1">
      <c r="A903" s="3" t="n"/>
      <c r="B903" s="4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6" t="n"/>
      <c r="L903" s="6" t="n"/>
      <c r="M903" s="3" t="n"/>
      <c r="N903" s="1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</row>
    <row r="904" ht="15.75" customHeight="1">
      <c r="A904" s="3" t="n"/>
      <c r="B904" s="4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6" t="n"/>
      <c r="L904" s="6" t="n"/>
      <c r="M904" s="3" t="n"/>
      <c r="N904" s="1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</row>
    <row r="905" ht="15.75" customHeight="1">
      <c r="A905" s="3" t="n"/>
      <c r="B905" s="4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6" t="n"/>
      <c r="L905" s="6" t="n"/>
      <c r="M905" s="3" t="n"/>
      <c r="N905" s="1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</row>
    <row r="906" ht="15.75" customHeight="1">
      <c r="A906" s="3" t="n"/>
      <c r="B906" s="4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6" t="n"/>
      <c r="L906" s="6" t="n"/>
      <c r="M906" s="3" t="n"/>
      <c r="N906" s="1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</row>
    <row r="907" ht="15.75" customHeight="1">
      <c r="A907" s="3" t="n"/>
      <c r="B907" s="4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6" t="n"/>
      <c r="L907" s="6" t="n"/>
      <c r="M907" s="3" t="n"/>
      <c r="N907" s="1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</row>
    <row r="908" ht="15.75" customHeight="1">
      <c r="A908" s="3" t="n"/>
      <c r="B908" s="4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6" t="n"/>
      <c r="L908" s="6" t="n"/>
      <c r="M908" s="3" t="n"/>
      <c r="N908" s="1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</row>
    <row r="909" ht="15.75" customHeight="1">
      <c r="A909" s="3" t="n"/>
      <c r="B909" s="4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6" t="n"/>
      <c r="L909" s="6" t="n"/>
      <c r="M909" s="3" t="n"/>
      <c r="N909" s="1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</row>
    <row r="910" ht="15.75" customHeight="1">
      <c r="A910" s="3" t="n"/>
      <c r="B910" s="4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6" t="n"/>
      <c r="L910" s="6" t="n"/>
      <c r="M910" s="3" t="n"/>
      <c r="N910" s="1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</row>
    <row r="911" ht="15.75" customHeight="1">
      <c r="A911" s="3" t="n"/>
      <c r="B911" s="4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6" t="n"/>
      <c r="L911" s="6" t="n"/>
      <c r="M911" s="3" t="n"/>
      <c r="N911" s="1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</row>
    <row r="912" ht="15.75" customHeight="1">
      <c r="A912" s="3" t="n"/>
      <c r="B912" s="4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6" t="n"/>
      <c r="L912" s="6" t="n"/>
      <c r="M912" s="3" t="n"/>
      <c r="N912" s="1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</row>
    <row r="913" ht="15.75" customHeight="1">
      <c r="A913" s="3" t="n"/>
      <c r="B913" s="4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6" t="n"/>
      <c r="L913" s="6" t="n"/>
      <c r="M913" s="3" t="n"/>
      <c r="N913" s="1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</row>
    <row r="914" ht="15.75" customHeight="1">
      <c r="A914" s="3" t="n"/>
      <c r="B914" s="4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6" t="n"/>
      <c r="L914" s="6" t="n"/>
      <c r="M914" s="3" t="n"/>
      <c r="N914" s="1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</row>
    <row r="915" ht="15.75" customHeight="1">
      <c r="A915" s="3" t="n"/>
      <c r="B915" s="4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6" t="n"/>
      <c r="L915" s="6" t="n"/>
      <c r="M915" s="3" t="n"/>
      <c r="N915" s="1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</row>
    <row r="916" ht="15.75" customHeight="1">
      <c r="A916" s="3" t="n"/>
      <c r="B916" s="4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6" t="n"/>
      <c r="L916" s="6" t="n"/>
      <c r="M916" s="3" t="n"/>
      <c r="N916" s="1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</row>
    <row r="917" ht="15.75" customHeight="1">
      <c r="A917" s="3" t="n"/>
      <c r="B917" s="4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6" t="n"/>
      <c r="L917" s="6" t="n"/>
      <c r="M917" s="3" t="n"/>
      <c r="N917" s="1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</row>
    <row r="918" ht="15.75" customHeight="1">
      <c r="A918" s="3" t="n"/>
      <c r="B918" s="4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6" t="n"/>
      <c r="L918" s="6" t="n"/>
      <c r="M918" s="3" t="n"/>
      <c r="N918" s="1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</row>
    <row r="919" ht="15.75" customHeight="1">
      <c r="A919" s="3" t="n"/>
      <c r="B919" s="4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6" t="n"/>
      <c r="L919" s="6" t="n"/>
      <c r="M919" s="3" t="n"/>
      <c r="N919" s="1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</row>
    <row r="920" ht="15.75" customHeight="1">
      <c r="A920" s="3" t="n"/>
      <c r="B920" s="4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6" t="n"/>
      <c r="L920" s="6" t="n"/>
      <c r="M920" s="3" t="n"/>
      <c r="N920" s="1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</row>
    <row r="921" ht="15.75" customHeight="1">
      <c r="A921" s="3" t="n"/>
      <c r="B921" s="4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6" t="n"/>
      <c r="L921" s="6" t="n"/>
      <c r="M921" s="3" t="n"/>
      <c r="N921" s="1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</row>
    <row r="922" ht="15.75" customHeight="1">
      <c r="A922" s="3" t="n"/>
      <c r="B922" s="4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6" t="n"/>
      <c r="L922" s="6" t="n"/>
      <c r="M922" s="3" t="n"/>
      <c r="N922" s="1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</row>
    <row r="923" ht="15.75" customHeight="1">
      <c r="A923" s="3" t="n"/>
      <c r="B923" s="4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6" t="n"/>
      <c r="L923" s="6" t="n"/>
      <c r="M923" s="3" t="n"/>
      <c r="N923" s="1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</row>
    <row r="924" ht="15.75" customHeight="1">
      <c r="A924" s="3" t="n"/>
      <c r="B924" s="4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6" t="n"/>
      <c r="L924" s="6" t="n"/>
      <c r="M924" s="3" t="n"/>
      <c r="N924" s="1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</row>
    <row r="925" ht="15.75" customHeight="1">
      <c r="A925" s="3" t="n"/>
      <c r="B925" s="4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6" t="n"/>
      <c r="L925" s="6" t="n"/>
      <c r="M925" s="3" t="n"/>
      <c r="N925" s="1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</row>
    <row r="926" ht="15.75" customHeight="1">
      <c r="A926" s="3" t="n"/>
      <c r="B926" s="4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6" t="n"/>
      <c r="L926" s="6" t="n"/>
      <c r="M926" s="3" t="n"/>
      <c r="N926" s="1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</row>
    <row r="927" ht="15.75" customHeight="1">
      <c r="A927" s="3" t="n"/>
      <c r="B927" s="4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6" t="n"/>
      <c r="L927" s="6" t="n"/>
      <c r="M927" s="3" t="n"/>
      <c r="N927" s="1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</row>
    <row r="928" ht="15.75" customHeight="1">
      <c r="A928" s="3" t="n"/>
      <c r="B928" s="4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6" t="n"/>
      <c r="L928" s="6" t="n"/>
      <c r="M928" s="3" t="n"/>
      <c r="N928" s="1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</row>
    <row r="929" ht="15.75" customHeight="1">
      <c r="A929" s="3" t="n"/>
      <c r="B929" s="4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6" t="n"/>
      <c r="L929" s="6" t="n"/>
      <c r="M929" s="3" t="n"/>
      <c r="N929" s="1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</row>
    <row r="930" ht="15.75" customHeight="1">
      <c r="A930" s="3" t="n"/>
      <c r="B930" s="4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6" t="n"/>
      <c r="L930" s="6" t="n"/>
      <c r="M930" s="3" t="n"/>
      <c r="N930" s="1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</row>
    <row r="931" ht="15.75" customHeight="1">
      <c r="A931" s="3" t="n"/>
      <c r="B931" s="4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6" t="n"/>
      <c r="L931" s="6" t="n"/>
      <c r="M931" s="3" t="n"/>
      <c r="N931" s="1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</row>
    <row r="932" ht="15.75" customHeight="1">
      <c r="A932" s="3" t="n"/>
      <c r="B932" s="4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6" t="n"/>
      <c r="L932" s="6" t="n"/>
      <c r="M932" s="3" t="n"/>
      <c r="N932" s="1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</row>
    <row r="933" ht="15.75" customHeight="1">
      <c r="A933" s="3" t="n"/>
      <c r="B933" s="4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6" t="n"/>
      <c r="L933" s="6" t="n"/>
      <c r="M933" s="3" t="n"/>
      <c r="N933" s="1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</row>
    <row r="934" ht="15.75" customHeight="1">
      <c r="A934" s="3" t="n"/>
      <c r="B934" s="4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6" t="n"/>
      <c r="L934" s="6" t="n"/>
      <c r="M934" s="3" t="n"/>
      <c r="N934" s="1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</row>
    <row r="935" ht="15.75" customHeight="1">
      <c r="A935" s="3" t="n"/>
      <c r="B935" s="4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6" t="n"/>
      <c r="L935" s="6" t="n"/>
      <c r="M935" s="3" t="n"/>
      <c r="N935" s="1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</row>
    <row r="936" ht="15.75" customHeight="1">
      <c r="A936" s="3" t="n"/>
      <c r="B936" s="4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6" t="n"/>
      <c r="L936" s="6" t="n"/>
      <c r="M936" s="3" t="n"/>
      <c r="N936" s="1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</row>
    <row r="937" ht="15.75" customHeight="1">
      <c r="A937" s="3" t="n"/>
      <c r="B937" s="4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6" t="n"/>
      <c r="L937" s="6" t="n"/>
      <c r="M937" s="3" t="n"/>
      <c r="N937" s="1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</row>
    <row r="938" ht="15.75" customHeight="1">
      <c r="A938" s="3" t="n"/>
      <c r="B938" s="4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6" t="n"/>
      <c r="L938" s="6" t="n"/>
      <c r="M938" s="3" t="n"/>
      <c r="N938" s="1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</row>
    <row r="939" ht="15.75" customHeight="1">
      <c r="A939" s="3" t="n"/>
      <c r="B939" s="4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6" t="n"/>
      <c r="L939" s="6" t="n"/>
      <c r="M939" s="3" t="n"/>
      <c r="N939" s="1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</row>
    <row r="940" ht="15.75" customHeight="1">
      <c r="A940" s="3" t="n"/>
      <c r="B940" s="4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6" t="n"/>
      <c r="L940" s="6" t="n"/>
      <c r="M940" s="3" t="n"/>
      <c r="N940" s="1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</row>
    <row r="941" ht="15.75" customHeight="1">
      <c r="A941" s="3" t="n"/>
      <c r="B941" s="4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6" t="n"/>
      <c r="L941" s="6" t="n"/>
      <c r="M941" s="3" t="n"/>
      <c r="N941" s="1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</row>
    <row r="942" ht="15.75" customHeight="1">
      <c r="A942" s="3" t="n"/>
      <c r="B942" s="4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6" t="n"/>
      <c r="L942" s="6" t="n"/>
      <c r="M942" s="3" t="n"/>
      <c r="N942" s="1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</row>
    <row r="943" ht="15.75" customHeight="1">
      <c r="A943" s="3" t="n"/>
      <c r="B943" s="4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6" t="n"/>
      <c r="L943" s="6" t="n"/>
      <c r="M943" s="3" t="n"/>
      <c r="N943" s="1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</row>
    <row r="944" ht="15.75" customHeight="1">
      <c r="A944" s="3" t="n"/>
      <c r="B944" s="4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6" t="n"/>
      <c r="L944" s="6" t="n"/>
      <c r="M944" s="3" t="n"/>
      <c r="N944" s="1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</row>
    <row r="945" ht="15.75" customHeight="1">
      <c r="A945" s="3" t="n"/>
      <c r="B945" s="4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6" t="n"/>
      <c r="L945" s="6" t="n"/>
      <c r="M945" s="3" t="n"/>
      <c r="N945" s="1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</row>
    <row r="946" ht="15.75" customHeight="1">
      <c r="A946" s="3" t="n"/>
      <c r="B946" s="4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6" t="n"/>
      <c r="L946" s="6" t="n"/>
      <c r="M946" s="3" t="n"/>
      <c r="N946" s="1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</row>
    <row r="947" ht="15.75" customHeight="1">
      <c r="A947" s="3" t="n"/>
      <c r="B947" s="4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6" t="n"/>
      <c r="L947" s="6" t="n"/>
      <c r="M947" s="3" t="n"/>
      <c r="N947" s="1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</row>
    <row r="948" ht="15.75" customHeight="1">
      <c r="A948" s="3" t="n"/>
      <c r="B948" s="4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6" t="n"/>
      <c r="L948" s="6" t="n"/>
      <c r="M948" s="3" t="n"/>
      <c r="N948" s="1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</row>
    <row r="949" ht="15.75" customHeight="1">
      <c r="A949" s="3" t="n"/>
      <c r="B949" s="4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6" t="n"/>
      <c r="L949" s="6" t="n"/>
      <c r="M949" s="3" t="n"/>
      <c r="N949" s="1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</row>
    <row r="950" ht="15.75" customHeight="1">
      <c r="A950" s="3" t="n"/>
      <c r="B950" s="4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6" t="n"/>
      <c r="L950" s="6" t="n"/>
      <c r="M950" s="3" t="n"/>
      <c r="N950" s="1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</row>
    <row r="951" ht="15.75" customHeight="1">
      <c r="A951" s="3" t="n"/>
      <c r="B951" s="4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6" t="n"/>
      <c r="L951" s="6" t="n"/>
      <c r="M951" s="3" t="n"/>
      <c r="N951" s="1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</row>
    <row r="952" ht="15.75" customHeight="1">
      <c r="A952" s="3" t="n"/>
      <c r="B952" s="4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6" t="n"/>
      <c r="L952" s="6" t="n"/>
      <c r="M952" s="3" t="n"/>
      <c r="N952" s="1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</row>
    <row r="953" ht="15.75" customHeight="1">
      <c r="A953" s="3" t="n"/>
      <c r="B953" s="4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6" t="n"/>
      <c r="L953" s="6" t="n"/>
      <c r="M953" s="3" t="n"/>
      <c r="N953" s="1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</row>
    <row r="954" ht="15.75" customHeight="1">
      <c r="A954" s="3" t="n"/>
      <c r="B954" s="4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6" t="n"/>
      <c r="L954" s="6" t="n"/>
      <c r="M954" s="3" t="n"/>
      <c r="N954" s="1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</row>
    <row r="955" ht="15.75" customHeight="1">
      <c r="A955" s="3" t="n"/>
      <c r="B955" s="4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6" t="n"/>
      <c r="L955" s="6" t="n"/>
      <c r="M955" s="3" t="n"/>
      <c r="N955" s="1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</row>
    <row r="956" ht="15.75" customHeight="1">
      <c r="A956" s="3" t="n"/>
      <c r="B956" s="4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6" t="n"/>
      <c r="L956" s="6" t="n"/>
      <c r="M956" s="3" t="n"/>
      <c r="N956" s="1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</row>
    <row r="957" ht="15.75" customHeight="1">
      <c r="A957" s="3" t="n"/>
      <c r="B957" s="4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6" t="n"/>
      <c r="L957" s="6" t="n"/>
      <c r="M957" s="3" t="n"/>
      <c r="N957" s="1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</row>
    <row r="958" ht="15.75" customHeight="1">
      <c r="A958" s="3" t="n"/>
      <c r="B958" s="4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6" t="n"/>
      <c r="L958" s="6" t="n"/>
      <c r="M958" s="3" t="n"/>
      <c r="N958" s="1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</row>
    <row r="959" ht="15.75" customHeight="1">
      <c r="A959" s="3" t="n"/>
      <c r="B959" s="4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6" t="n"/>
      <c r="L959" s="6" t="n"/>
      <c r="M959" s="3" t="n"/>
      <c r="N959" s="1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</row>
    <row r="960" ht="15.75" customHeight="1">
      <c r="A960" s="3" t="n"/>
      <c r="B960" s="4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6" t="n"/>
      <c r="L960" s="6" t="n"/>
      <c r="M960" s="3" t="n"/>
      <c r="N960" s="1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</row>
    <row r="961" ht="15.75" customHeight="1">
      <c r="A961" s="3" t="n"/>
      <c r="B961" s="4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6" t="n"/>
      <c r="L961" s="6" t="n"/>
      <c r="M961" s="3" t="n"/>
      <c r="N961" s="1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</row>
    <row r="962" ht="15.75" customHeight="1">
      <c r="A962" s="3" t="n"/>
      <c r="B962" s="4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6" t="n"/>
      <c r="L962" s="6" t="n"/>
      <c r="M962" s="3" t="n"/>
      <c r="N962" s="1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</row>
    <row r="963" ht="15.75" customHeight="1">
      <c r="A963" s="3" t="n"/>
      <c r="B963" s="4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6" t="n"/>
      <c r="L963" s="6" t="n"/>
      <c r="M963" s="3" t="n"/>
      <c r="N963" s="1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</row>
    <row r="964" ht="15.75" customHeight="1">
      <c r="A964" s="3" t="n"/>
      <c r="B964" s="4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6" t="n"/>
      <c r="L964" s="6" t="n"/>
      <c r="M964" s="3" t="n"/>
      <c r="N964" s="1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</row>
    <row r="965" ht="15.75" customHeight="1">
      <c r="A965" s="3" t="n"/>
      <c r="B965" s="4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6" t="n"/>
      <c r="L965" s="6" t="n"/>
      <c r="M965" s="3" t="n"/>
      <c r="N965" s="1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</row>
    <row r="966" ht="15.75" customHeight="1">
      <c r="A966" s="3" t="n"/>
      <c r="B966" s="4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6" t="n"/>
      <c r="L966" s="6" t="n"/>
      <c r="M966" s="3" t="n"/>
      <c r="N966" s="1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</row>
    <row r="967" ht="15.75" customHeight="1">
      <c r="A967" s="3" t="n"/>
      <c r="B967" s="4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6" t="n"/>
      <c r="L967" s="6" t="n"/>
      <c r="M967" s="3" t="n"/>
      <c r="N967" s="1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</row>
    <row r="968" ht="15.75" customHeight="1">
      <c r="A968" s="3" t="n"/>
      <c r="B968" s="4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6" t="n"/>
      <c r="L968" s="6" t="n"/>
      <c r="M968" s="3" t="n"/>
      <c r="N968" s="1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</row>
    <row r="969" ht="15.75" customHeight="1">
      <c r="A969" s="3" t="n"/>
      <c r="B969" s="4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6" t="n"/>
      <c r="L969" s="6" t="n"/>
      <c r="M969" s="3" t="n"/>
      <c r="N969" s="1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</row>
    <row r="970" ht="15.75" customHeight="1">
      <c r="A970" s="3" t="n"/>
      <c r="B970" s="4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6" t="n"/>
      <c r="L970" s="6" t="n"/>
      <c r="M970" s="3" t="n"/>
      <c r="N970" s="1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</row>
    <row r="971" ht="15.75" customHeight="1">
      <c r="A971" s="3" t="n"/>
      <c r="B971" s="4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6" t="n"/>
      <c r="L971" s="6" t="n"/>
      <c r="M971" s="3" t="n"/>
      <c r="N971" s="1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</row>
    <row r="972" ht="15.75" customHeight="1">
      <c r="A972" s="3" t="n"/>
      <c r="B972" s="4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6" t="n"/>
      <c r="L972" s="6" t="n"/>
      <c r="M972" s="3" t="n"/>
      <c r="N972" s="1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</row>
    <row r="973" ht="15.75" customHeight="1">
      <c r="A973" s="3" t="n"/>
      <c r="B973" s="4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6" t="n"/>
      <c r="L973" s="6" t="n"/>
      <c r="M973" s="3" t="n"/>
      <c r="N973" s="1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</row>
    <row r="974" ht="15.75" customHeight="1">
      <c r="A974" s="3" t="n"/>
      <c r="B974" s="4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6" t="n"/>
      <c r="L974" s="6" t="n"/>
      <c r="M974" s="3" t="n"/>
      <c r="N974" s="1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</row>
    <row r="975" ht="15.75" customHeight="1">
      <c r="A975" s="3" t="n"/>
      <c r="B975" s="4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6" t="n"/>
      <c r="L975" s="6" t="n"/>
      <c r="M975" s="3" t="n"/>
      <c r="N975" s="1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</row>
    <row r="976" ht="15.75" customHeight="1">
      <c r="A976" s="3" t="n"/>
      <c r="B976" s="4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6" t="n"/>
      <c r="L976" s="6" t="n"/>
      <c r="M976" s="3" t="n"/>
      <c r="N976" s="1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</row>
    <row r="977" ht="15.75" customHeight="1">
      <c r="A977" s="3" t="n"/>
      <c r="B977" s="4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6" t="n"/>
      <c r="L977" s="6" t="n"/>
      <c r="M977" s="3" t="n"/>
      <c r="N977" s="1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</row>
    <row r="978" ht="15.75" customHeight="1">
      <c r="A978" s="3" t="n"/>
      <c r="B978" s="4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6" t="n"/>
      <c r="L978" s="6" t="n"/>
      <c r="M978" s="3" t="n"/>
      <c r="N978" s="1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</row>
    <row r="979" ht="15.75" customHeight="1">
      <c r="A979" s="3" t="n"/>
      <c r="B979" s="4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6" t="n"/>
      <c r="L979" s="6" t="n"/>
      <c r="M979" s="3" t="n"/>
      <c r="N979" s="1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</row>
    <row r="980" ht="15.75" customHeight="1">
      <c r="A980" s="3" t="n"/>
      <c r="B980" s="4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6" t="n"/>
      <c r="L980" s="6" t="n"/>
      <c r="M980" s="3" t="n"/>
      <c r="N980" s="1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</row>
    <row r="981" ht="15.75" customHeight="1">
      <c r="A981" s="3" t="n"/>
      <c r="B981" s="4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6" t="n"/>
      <c r="L981" s="6" t="n"/>
      <c r="M981" s="3" t="n"/>
      <c r="N981" s="1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</row>
    <row r="982" ht="15.75" customHeight="1">
      <c r="A982" s="3" t="n"/>
      <c r="B982" s="4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6" t="n"/>
      <c r="L982" s="6" t="n"/>
      <c r="M982" s="3" t="n"/>
      <c r="N982" s="1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</row>
    <row r="983" ht="15.75" customHeight="1">
      <c r="A983" s="3" t="n"/>
      <c r="B983" s="4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6" t="n"/>
      <c r="L983" s="6" t="n"/>
      <c r="M983" s="3" t="n"/>
      <c r="N983" s="1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</row>
    <row r="984" ht="15.75" customHeight="1">
      <c r="A984" s="3" t="n"/>
      <c r="B984" s="4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6" t="n"/>
      <c r="L984" s="6" t="n"/>
      <c r="M984" s="3" t="n"/>
      <c r="N984" s="1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</row>
    <row r="985" ht="15.75" customHeight="1">
      <c r="A985" s="3" t="n"/>
      <c r="B985" s="4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6" t="n"/>
      <c r="L985" s="6" t="n"/>
      <c r="M985" s="3" t="n"/>
      <c r="N985" s="1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</row>
    <row r="986" ht="15.75" customHeight="1">
      <c r="A986" s="3" t="n"/>
      <c r="B986" s="4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6" t="n"/>
      <c r="L986" s="6" t="n"/>
      <c r="M986" s="3" t="n"/>
      <c r="N986" s="1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</row>
    <row r="987" ht="15.75" customHeight="1">
      <c r="A987" s="3" t="n"/>
      <c r="B987" s="4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6" t="n"/>
      <c r="L987" s="6" t="n"/>
      <c r="M987" s="3" t="n"/>
      <c r="N987" s="1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</row>
    <row r="988" ht="15.75" customHeight="1">
      <c r="A988" s="3" t="n"/>
      <c r="B988" s="4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6" t="n"/>
      <c r="L988" s="6" t="n"/>
      <c r="M988" s="3" t="n"/>
      <c r="N988" s="1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</row>
    <row r="989" ht="15.75" customHeight="1">
      <c r="A989" s="3" t="n"/>
      <c r="B989" s="4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6" t="n"/>
      <c r="L989" s="6" t="n"/>
      <c r="M989" s="3" t="n"/>
      <c r="N989" s="1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</row>
    <row r="990" ht="15.75" customHeight="1">
      <c r="A990" s="3" t="n"/>
      <c r="B990" s="4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6" t="n"/>
      <c r="L990" s="6" t="n"/>
      <c r="M990" s="3" t="n"/>
      <c r="N990" s="1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</row>
    <row r="991" ht="15.75" customHeight="1">
      <c r="A991" s="3" t="n"/>
      <c r="B991" s="4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6" t="n"/>
      <c r="L991" s="6" t="n"/>
      <c r="M991" s="3" t="n"/>
      <c r="N991" s="1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</row>
    <row r="992" ht="15.75" customHeight="1">
      <c r="A992" s="3" t="n"/>
      <c r="B992" s="4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6" t="n"/>
      <c r="L992" s="6" t="n"/>
      <c r="M992" s="3" t="n"/>
      <c r="N992" s="1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</row>
    <row r="993" ht="15.75" customHeight="1">
      <c r="A993" s="3" t="n"/>
      <c r="B993" s="4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6" t="n"/>
      <c r="L993" s="6" t="n"/>
      <c r="M993" s="3" t="n"/>
      <c r="N993" s="1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</row>
    <row r="994" ht="15.75" customHeight="1">
      <c r="A994" s="3" t="n"/>
      <c r="B994" s="4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6" t="n"/>
      <c r="L994" s="6" t="n"/>
      <c r="M994" s="3" t="n"/>
      <c r="N994" s="1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</row>
    <row r="995" ht="15.75" customHeight="1">
      <c r="A995" s="3" t="n"/>
      <c r="B995" s="4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6" t="n"/>
      <c r="L995" s="6" t="n"/>
      <c r="M995" s="3" t="n"/>
      <c r="N995" s="1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</row>
    <row r="996" ht="15.75" customHeight="1">
      <c r="A996" s="3" t="n"/>
      <c r="B996" s="4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6" t="n"/>
      <c r="L996" s="6" t="n"/>
      <c r="M996" s="3" t="n"/>
      <c r="N996" s="1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</row>
    <row r="997" ht="15.75" customHeight="1">
      <c r="A997" s="3" t="n"/>
      <c r="B997" s="4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6" t="n"/>
      <c r="L997" s="6" t="n"/>
      <c r="M997" s="3" t="n"/>
      <c r="N997" s="1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</row>
    <row r="998" ht="15.75" customHeight="1">
      <c r="A998" s="3" t="n"/>
      <c r="B998" s="4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6" t="n"/>
      <c r="L998" s="6" t="n"/>
      <c r="M998" s="3" t="n"/>
      <c r="N998" s="1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2" t="inlineStr">
        <is>
          <t>ES</t>
        </is>
      </c>
      <c r="B2" s="2" t="n">
        <v>50</v>
      </c>
    </row>
    <row r="3">
      <c r="A3" s="2" t="inlineStr">
        <is>
          <t>MES</t>
        </is>
      </c>
      <c r="B3" s="2" t="n">
        <v>5</v>
      </c>
    </row>
    <row r="4">
      <c r="A4" s="2" t="inlineStr">
        <is>
          <t>NQ</t>
        </is>
      </c>
      <c r="B4" s="2" t="n">
        <v>20</v>
      </c>
    </row>
    <row r="5">
      <c r="A5" s="2" t="inlineStr">
        <is>
          <t>MNQ</t>
        </is>
      </c>
      <c r="B5" s="2" t="n">
        <v>2</v>
      </c>
    </row>
    <row r="6">
      <c r="A6" s="2" t="inlineStr">
        <is>
          <t>YM</t>
        </is>
      </c>
      <c r="B6" s="2" t="n">
        <v>5</v>
      </c>
    </row>
    <row r="7">
      <c r="A7" s="2" t="inlineStr">
        <is>
          <t>RTY</t>
        </is>
      </c>
      <c r="B7" s="2" t="n">
        <v>50</v>
      </c>
    </row>
    <row r="8">
      <c r="A8" s="2" t="inlineStr">
        <is>
          <t>GC</t>
        </is>
      </c>
      <c r="B8" s="2" t="n">
        <v>100</v>
      </c>
    </row>
    <row r="9">
      <c r="A9" s="2" t="inlineStr">
        <is>
          <t>MGC</t>
        </is>
      </c>
      <c r="B9" s="2" t="n">
        <v>10</v>
      </c>
    </row>
    <row r="10">
      <c r="A10" s="2" t="inlineStr">
        <is>
          <t>CL</t>
        </is>
      </c>
      <c r="B10" s="2" t="n">
        <v>1000</v>
      </c>
    </row>
    <row r="11">
      <c r="A11" s="2" t="inlineStr">
        <is>
          <t>MCL</t>
        </is>
      </c>
      <c r="B11" s="2" t="n">
        <v>100</v>
      </c>
    </row>
    <row r="12">
      <c r="A12" s="2" t="inlineStr">
        <is>
          <t>QM</t>
        </is>
      </c>
      <c r="B12" s="2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15" t="inlineStr">
        <is>
          <t>Rules</t>
        </is>
      </c>
      <c r="B1" s="15" t="inlineStr">
        <is>
          <t>Market conditions</t>
        </is>
      </c>
      <c r="C1" s="15" t="inlineStr">
        <is>
          <t>Emotion before trade</t>
        </is>
      </c>
      <c r="D1" s="15" t="inlineStr">
        <is>
          <t>Setup</t>
        </is>
      </c>
      <c r="E1" s="15" t="inlineStr">
        <is>
          <t>Process</t>
        </is>
      </c>
      <c r="F1" s="15" t="inlineStr">
        <is>
          <t>Mistakes</t>
        </is>
      </c>
      <c r="G1" s="15" t="inlineStr">
        <is>
          <t>Learning</t>
        </is>
      </c>
      <c r="I1" s="16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17" t="inlineStr">
        <is>
          <t>Type</t>
        </is>
      </c>
      <c r="B1" s="17" t="inlineStr">
        <is>
          <t>Rule</t>
        </is>
      </c>
    </row>
    <row r="2">
      <c r="A2" t="inlineStr">
        <is>
          <t>Hard</t>
        </is>
      </c>
      <c r="B2" s="12" t="inlineStr">
        <is>
          <t>Check Economic News.</t>
        </is>
      </c>
    </row>
    <row r="3">
      <c r="A3" t="inlineStr">
        <is>
          <t>Hard</t>
        </is>
      </c>
      <c r="B3" s="12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2" t="inlineStr">
        <is>
          <t>Create a plan — only long if 1H is uptrend; only short if 1H is downtrend.</t>
        </is>
      </c>
    </row>
    <row r="5" ht="45" customHeight="1">
      <c r="A5" t="inlineStr">
        <is>
          <t>Hard</t>
        </is>
      </c>
      <c r="B5" s="12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2" t="inlineStr">
        <is>
          <t>Trade only after 9:45. Don't trade after 12 pm.</t>
        </is>
      </c>
    </row>
    <row r="7">
      <c r="A7" t="inlineStr">
        <is>
          <t>Hard</t>
        </is>
      </c>
      <c r="B7" s="12" t="inlineStr">
        <is>
          <t>Target 2–2.5 Risk to Reward.</t>
        </is>
      </c>
    </row>
    <row r="8">
      <c r="A8" t="inlineStr">
        <is>
          <t>Hard</t>
        </is>
      </c>
      <c r="B8" s="12" t="inlineStr">
        <is>
          <t>Aim for 1–3 trades a day with a predefined daily stop loss and an overall assumed profit target.</t>
        </is>
      </c>
    </row>
    <row r="9" ht="45" customHeight="1">
      <c r="A9" t="inlineStr">
        <is>
          <t>Other</t>
        </is>
      </c>
      <c r="B9" s="12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cols>
    <col width="11" customWidth="1" min="1" max="28"/>
  </cols>
  <sheetData>
    <row r="1">
      <c r="A1" s="18" t="inlineStr">
        <is>
          <t>Date</t>
        </is>
      </c>
      <c r="B1" s="18" t="inlineStr">
        <is>
          <t>Time</t>
        </is>
      </c>
      <c r="C1" s="18" t="inlineStr">
        <is>
          <t>Asset</t>
        </is>
      </c>
      <c r="D1" s="18" t="inlineStr">
        <is>
          <t>Dir</t>
        </is>
      </c>
      <c r="E1" s="18" t="inlineStr">
        <is>
          <t>P&amp;L</t>
        </is>
      </c>
      <c r="F1" s="18" t="inlineStr">
        <is>
          <t>1H Trend</t>
        </is>
      </c>
      <c r="G1" s="18" t="inlineStr">
        <is>
          <t>1H ST</t>
        </is>
      </c>
      <c r="H1" s="18" t="inlineStr">
        <is>
          <t>15m ST</t>
        </is>
      </c>
      <c r="I1" s="18" t="inlineStr">
        <is>
          <t>5m ST</t>
        </is>
      </c>
      <c r="J1" s="18" t="inlineStr">
        <is>
          <t>5m RSI</t>
        </is>
      </c>
      <c r="K1" s="18" t="inlineStr">
        <is>
          <t>5m EMA</t>
        </is>
      </c>
      <c r="L1" s="18" t="inlineStr">
        <is>
          <t>5m MACD</t>
        </is>
      </c>
      <c r="M1" s="18" t="inlineStr">
        <is>
          <t>5m ADX</t>
        </is>
      </c>
      <c r="N1" s="18" t="inlineStr">
        <is>
          <t>5m ATR</t>
        </is>
      </c>
      <c r="O1" s="18" t="inlineStr">
        <is>
          <t>VWAP</t>
        </is>
      </c>
      <c r="P1" s="18" t="inlineStr">
        <is>
          <t>VWAP Side</t>
        </is>
      </c>
      <c r="Q1" s="18" t="inlineStr">
        <is>
          <t>VPOC</t>
        </is>
      </c>
      <c r="R1" s="18" t="inlineStr">
        <is>
          <t>RVOL</t>
        </is>
      </c>
      <c r="S1" s="18" t="inlineStr">
        <is>
          <t>Est. Delta</t>
        </is>
      </c>
      <c r="T1" s="18" t="inlineStr">
        <is>
          <t>Fib %</t>
        </is>
      </c>
      <c r="U1" s="18" t="inlineStr">
        <is>
          <t>Fib Zone</t>
        </is>
      </c>
      <c r="V1" s="18" t="inlineStr">
        <is>
          <t>Pullback</t>
        </is>
      </c>
      <c r="W1" s="18" t="inlineStr">
        <is>
          <t>PB Score</t>
        </is>
      </c>
      <c r="X1" s="18" t="inlineStr">
        <is>
          <t>At Level</t>
        </is>
      </c>
      <c r="Y1" s="18" t="inlineStr">
        <is>
          <t>Candle</t>
        </is>
      </c>
      <c r="Z1" s="18" t="inlineStr">
        <is>
          <t>Trig Vol</t>
        </is>
      </c>
      <c r="AA1" s="18" t="inlineStr">
        <is>
          <t>STs Aligned</t>
        </is>
      </c>
      <c r="AB1" s="18" t="inlineStr">
        <is>
          <t>With 1H Trend</t>
        </is>
      </c>
    </row>
    <row r="2">
      <c r="A2" t="inlineStr">
        <is>
          <t>2026-09-09</t>
        </is>
      </c>
      <c r="B2" t="inlineStr">
        <is>
          <t>10:50</t>
        </is>
      </c>
      <c r="C2" t="inlineStr">
        <is>
          <t>MNQ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up</t>
        </is>
      </c>
      <c r="I2" t="inlineStr">
        <is>
          <t>down</t>
        </is>
      </c>
      <c r="J2" t="n">
        <v>53.3</v>
      </c>
      <c r="K2" t="inlineStr">
        <is>
          <t>bull</t>
        </is>
      </c>
      <c r="L2" t="inlineStr">
        <is>
          <t>-</t>
        </is>
      </c>
      <c r="M2" t="n">
        <v>26.7</v>
      </c>
      <c r="N2" t="n">
        <v>38.84</v>
      </c>
      <c r="O2" t="n">
        <v>29510.08</v>
      </c>
      <c r="P2" t="inlineStr">
        <is>
          <t>above</t>
        </is>
      </c>
      <c r="Q2" t="n">
        <v>29481.87</v>
      </c>
      <c r="R2" t="n">
        <v>0.92</v>
      </c>
      <c r="S2" t="n">
        <v>26743</v>
      </c>
      <c r="T2" t="n">
        <v>28</v>
      </c>
      <c r="U2" t="inlineStr">
        <is>
          <t>shallow</t>
        </is>
      </c>
      <c r="V2" t="inlineStr">
        <is>
          <t>Good</t>
        </is>
      </c>
      <c r="W2" t="n">
        <v>2</v>
      </c>
      <c r="X2" t="inlineStr">
        <is>
          <t>No</t>
        </is>
      </c>
      <c r="Y2" t="inlineStr">
        <is>
          <t>bearish engulfing</t>
        </is>
      </c>
      <c r="Z2" t="n">
        <v>0.72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2026-09-09</t>
        </is>
      </c>
      <c r="B3" t="inlineStr">
        <is>
          <t>15:01</t>
        </is>
      </c>
      <c r="C3" t="inlineStr">
        <is>
          <t>MNQ</t>
        </is>
      </c>
      <c r="D3" t="inlineStr">
        <is>
          <t>Long</t>
        </is>
      </c>
      <c r="E3" t="n">
        <v>-32</v>
      </c>
      <c r="F3" t="inlineStr">
        <is>
          <t>down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43.8</v>
      </c>
      <c r="K3" t="inlineStr">
        <is>
          <t>bear</t>
        </is>
      </c>
      <c r="L3" t="inlineStr">
        <is>
          <t>-</t>
        </is>
      </c>
      <c r="M3" t="n">
        <v>10.4</v>
      </c>
      <c r="N3" t="n">
        <v>20.2</v>
      </c>
      <c r="O3" t="n">
        <v>29473.62</v>
      </c>
      <c r="P3" t="inlineStr">
        <is>
          <t>below</t>
        </is>
      </c>
      <c r="Q3" t="n">
        <v>29484.72</v>
      </c>
      <c r="R3" t="n">
        <v>0.99</v>
      </c>
      <c r="S3" t="n">
        <v>20968</v>
      </c>
      <c r="T3" t="n">
        <v>26</v>
      </c>
      <c r="U3" t="inlineStr">
        <is>
          <t>shallow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bearish close</t>
        </is>
      </c>
      <c r="Z3" t="n">
        <v>1.45</v>
      </c>
      <c r="AA3" t="inlineStr">
        <is>
          <t>No</t>
        </is>
      </c>
      <c r="AB3" t="inlineStr">
        <is>
          <t>No</t>
        </is>
      </c>
    </row>
    <row r="4">
      <c r="A4" t="inlineStr">
        <is>
          <t>2026-09-09</t>
        </is>
      </c>
      <c r="B4" t="inlineStr">
        <is>
          <t>15:07</t>
        </is>
      </c>
      <c r="C4" t="inlineStr">
        <is>
          <t>MGC</t>
        </is>
      </c>
      <c r="D4" t="inlineStr">
        <is>
          <t>Long</t>
        </is>
      </c>
      <c r="E4" t="n">
        <v>2</v>
      </c>
      <c r="F4" t="inlineStr">
        <is>
          <t>down</t>
        </is>
      </c>
      <c r="G4" t="inlineStr">
        <is>
          <t>up</t>
        </is>
      </c>
      <c r="H4" t="inlineStr">
        <is>
          <t>down</t>
        </is>
      </c>
      <c r="I4" t="inlineStr">
        <is>
          <t>down</t>
        </is>
      </c>
      <c r="J4" t="n">
        <v>32.5</v>
      </c>
      <c r="K4" t="inlineStr">
        <is>
          <t>bear</t>
        </is>
      </c>
      <c r="L4" t="inlineStr">
        <is>
          <t>-</t>
        </is>
      </c>
      <c r="M4" t="n">
        <v>27.8</v>
      </c>
      <c r="N4" t="n">
        <v>4.28</v>
      </c>
      <c r="O4" t="n">
        <v>4452.85</v>
      </c>
      <c r="P4" t="inlineStr">
        <is>
          <t>below</t>
        </is>
      </c>
      <c r="Q4" t="n">
        <v>4457.36</v>
      </c>
      <c r="R4" t="n">
        <v>1.06</v>
      </c>
      <c r="S4" t="n">
        <v>-666</v>
      </c>
      <c r="T4" t="n">
        <v>46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No</t>
        </is>
      </c>
      <c r="Y4" t="inlineStr">
        <is>
          <t>strong bullish close</t>
        </is>
      </c>
      <c r="Z4" t="n">
        <v>0.7</v>
      </c>
      <c r="AA4" t="inlineStr">
        <is>
          <t>No</t>
        </is>
      </c>
      <c r="AB4" t="inlineStr">
        <is>
          <t>No</t>
        </is>
      </c>
    </row>
    <row r="5">
      <c r="A5" t="inlineStr">
        <is>
          <t>2026-09-09</t>
        </is>
      </c>
      <c r="B5" t="inlineStr">
        <is>
          <t>15:08</t>
        </is>
      </c>
      <c r="C5" t="inlineStr">
        <is>
          <t>MNQ</t>
        </is>
      </c>
      <c r="D5" t="inlineStr">
        <is>
          <t>Long</t>
        </is>
      </c>
      <c r="E5" t="n">
        <v>17.5</v>
      </c>
      <c r="F5" t="inlineStr">
        <is>
          <t>down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49.1</v>
      </c>
      <c r="K5" t="inlineStr">
        <is>
          <t>bear</t>
        </is>
      </c>
      <c r="L5" t="inlineStr">
        <is>
          <t>-</t>
        </is>
      </c>
      <c r="M5" t="n">
        <v>10.6</v>
      </c>
      <c r="N5" t="n">
        <v>20.27</v>
      </c>
      <c r="O5" t="n">
        <v>29473.42</v>
      </c>
      <c r="P5" t="inlineStr">
        <is>
          <t>below</t>
        </is>
      </c>
      <c r="Q5" t="n">
        <v>29484.72</v>
      </c>
      <c r="R5" t="n">
        <v>1</v>
      </c>
      <c r="S5" t="n">
        <v>22487</v>
      </c>
      <c r="T5" t="n">
        <v>23</v>
      </c>
      <c r="U5" t="inlineStr">
        <is>
          <t>shallow</t>
        </is>
      </c>
      <c r="V5" t="inlineStr">
        <is>
          <t>Weak</t>
        </is>
      </c>
      <c r="W5" t="n">
        <v>1</v>
      </c>
      <c r="X5" t="inlineStr">
        <is>
          <t>Round</t>
        </is>
      </c>
      <c r="Y5" t="inlineStr">
        <is>
          <t>bullish engulfing</t>
        </is>
      </c>
      <c r="Z5" t="n">
        <v>1.08</v>
      </c>
      <c r="AA5" t="inlineStr">
        <is>
          <t>No</t>
        </is>
      </c>
      <c r="AB5" t="inlineStr">
        <is>
          <t>No</t>
        </is>
      </c>
    </row>
    <row r="6">
      <c r="A6" t="inlineStr">
        <is>
          <t>2026-09-09</t>
        </is>
      </c>
      <c r="B6" t="inlineStr">
        <is>
          <t>15:31</t>
        </is>
      </c>
      <c r="C6" t="inlineStr">
        <is>
          <t>MNQ</t>
        </is>
      </c>
      <c r="D6" t="inlineStr">
        <is>
          <t>Long</t>
        </is>
      </c>
      <c r="E6" t="n">
        <v>-23.5</v>
      </c>
      <c r="F6" t="inlineStr">
        <is>
          <t>down</t>
        </is>
      </c>
      <c r="G6" t="inlineStr">
        <is>
          <t>down</t>
        </is>
      </c>
      <c r="H6" t="inlineStr">
        <is>
          <t>down</t>
        </is>
      </c>
      <c r="I6" t="inlineStr">
        <is>
          <t>down</t>
        </is>
      </c>
      <c r="J6" t="n">
        <v>48.2</v>
      </c>
      <c r="K6" t="inlineStr">
        <is>
          <t>bear</t>
        </is>
      </c>
      <c r="L6" t="inlineStr">
        <is>
          <t>-</t>
        </is>
      </c>
      <c r="M6" t="n">
        <v>9.300000000000001</v>
      </c>
      <c r="N6" t="n">
        <v>18.47</v>
      </c>
      <c r="O6" t="n">
        <v>29473.05</v>
      </c>
      <c r="P6" t="inlineStr">
        <is>
          <t>below</t>
        </is>
      </c>
      <c r="Q6" t="n">
        <v>29484.72</v>
      </c>
      <c r="R6" t="n">
        <v>0.55</v>
      </c>
      <c r="S6" t="n">
        <v>21303</v>
      </c>
      <c r="T6" t="n">
        <v>24</v>
      </c>
      <c r="U6" t="inlineStr">
        <is>
          <t>shallow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0.84</v>
      </c>
      <c r="AA6" t="inlineStr">
        <is>
          <t>No</t>
        </is>
      </c>
      <c r="AB6" t="inlineStr">
        <is>
          <t>No</t>
        </is>
      </c>
    </row>
    <row r="7">
      <c r="A7" t="inlineStr">
        <is>
          <t>2026-09-09</t>
        </is>
      </c>
      <c r="B7" t="inlineStr">
        <is>
          <t>22:34</t>
        </is>
      </c>
      <c r="C7" t="inlineStr">
        <is>
          <t>MNQ</t>
        </is>
      </c>
      <c r="D7" t="inlineStr">
        <is>
          <t>Short</t>
        </is>
      </c>
      <c r="E7" t="n">
        <v>7</v>
      </c>
      <c r="F7" t="inlineStr">
        <is>
          <t>down</t>
        </is>
      </c>
      <c r="G7" t="inlineStr">
        <is>
          <t>down</t>
        </is>
      </c>
      <c r="H7" t="inlineStr">
        <is>
          <t>down</t>
        </is>
      </c>
      <c r="I7" t="inlineStr">
        <is>
          <t>down</t>
        </is>
      </c>
      <c r="J7" t="n">
        <v>46.9</v>
      </c>
      <c r="K7" t="inlineStr">
        <is>
          <t>bear</t>
        </is>
      </c>
      <c r="L7" t="inlineStr">
        <is>
          <t>+</t>
        </is>
      </c>
      <c r="M7" t="n">
        <v>33.3</v>
      </c>
      <c r="N7" t="n">
        <v>19.99</v>
      </c>
      <c r="O7" t="n">
        <v>29466.81</v>
      </c>
      <c r="P7" t="inlineStr">
        <is>
          <t>below</t>
        </is>
      </c>
      <c r="Q7" t="n">
        <v>29443.46</v>
      </c>
      <c r="R7" t="n">
        <v>0.59</v>
      </c>
      <c r="S7" t="n">
        <v>34442</v>
      </c>
      <c r="T7" t="n">
        <v>18</v>
      </c>
      <c r="U7" t="inlineStr">
        <is>
          <t>shallow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0.45</v>
      </c>
      <c r="AA7" t="inlineStr">
        <is>
          <t>Yes</t>
        </is>
      </c>
      <c r="AB7" t="inlineStr">
        <is>
          <t>Yes</t>
        </is>
      </c>
    </row>
    <row r="8">
      <c r="A8" t="inlineStr">
        <is>
          <t>2026-09-09</t>
        </is>
      </c>
      <c r="B8" t="inlineStr">
        <is>
          <t>22:36</t>
        </is>
      </c>
      <c r="C8" t="inlineStr">
        <is>
          <t>MGC</t>
        </is>
      </c>
      <c r="D8" t="inlineStr">
        <is>
          <t>Short</t>
        </is>
      </c>
      <c r="E8" t="n">
        <v>-98</v>
      </c>
      <c r="F8" t="inlineStr">
        <is>
          <t>flat</t>
        </is>
      </c>
      <c r="G8" t="inlineStr">
        <is>
          <t>up</t>
        </is>
      </c>
      <c r="H8" t="inlineStr">
        <is>
          <t>up</t>
        </is>
      </c>
      <c r="I8" t="inlineStr">
        <is>
          <t>up</t>
        </is>
      </c>
      <c r="J8" t="n">
        <v>61.7</v>
      </c>
      <c r="K8" t="inlineStr">
        <is>
          <t>bull</t>
        </is>
      </c>
      <c r="L8" t="inlineStr">
        <is>
          <t>+</t>
        </is>
      </c>
      <c r="M8" t="n">
        <v>29</v>
      </c>
      <c r="N8" t="n">
        <v>5.4</v>
      </c>
      <c r="O8" t="n">
        <v>4451.74</v>
      </c>
      <c r="P8" t="inlineStr">
        <is>
          <t>above</t>
        </is>
      </c>
      <c r="Q8" t="n">
        <v>4457.36</v>
      </c>
      <c r="R8" t="n">
        <v>0.82</v>
      </c>
      <c r="S8" t="n">
        <v>627</v>
      </c>
      <c r="V8" t="inlineStr">
        <is>
          <t>Weak</t>
        </is>
      </c>
      <c r="W8" t="n">
        <v>1</v>
      </c>
      <c r="X8" t="inlineStr">
        <is>
          <t>Round</t>
        </is>
      </c>
      <c r="Y8" t="inlineStr">
        <is>
          <t>bullish engulfing</t>
        </is>
      </c>
      <c r="Z8" t="n">
        <v>1.32</v>
      </c>
      <c r="AA8" t="inlineStr">
        <is>
          <t>No</t>
        </is>
      </c>
      <c r="AB8" t="inlineStr">
        <is>
          <t>No</t>
        </is>
      </c>
    </row>
    <row r="9">
      <c r="A9" t="inlineStr">
        <is>
          <t>2026-09-09</t>
        </is>
      </c>
      <c r="B9" t="inlineStr">
        <is>
          <t>22:42</t>
        </is>
      </c>
      <c r="C9" t="inlineStr">
        <is>
          <t>MGC</t>
        </is>
      </c>
      <c r="D9" t="inlineStr">
        <is>
          <t>Long</t>
        </is>
      </c>
      <c r="E9" t="n">
        <v>-40</v>
      </c>
      <c r="F9" t="inlineStr">
        <is>
          <t>flat</t>
        </is>
      </c>
      <c r="G9" t="inlineStr">
        <is>
          <t>up</t>
        </is>
      </c>
      <c r="H9" t="inlineStr">
        <is>
          <t>up</t>
        </is>
      </c>
      <c r="I9" t="inlineStr">
        <is>
          <t>up</t>
        </is>
      </c>
      <c r="J9" t="n">
        <v>61.2</v>
      </c>
      <c r="K9" t="inlineStr">
        <is>
          <t>bull</t>
        </is>
      </c>
      <c r="L9" t="inlineStr">
        <is>
          <t>+</t>
        </is>
      </c>
      <c r="M9" t="n">
        <v>29</v>
      </c>
      <c r="N9" t="n">
        <v>5.29</v>
      </c>
      <c r="O9" t="n">
        <v>4451.78</v>
      </c>
      <c r="P9" t="inlineStr">
        <is>
          <t>above</t>
        </is>
      </c>
      <c r="Q9" t="n">
        <v>4457.36</v>
      </c>
      <c r="R9" t="n">
        <v>0.61</v>
      </c>
      <c r="S9" t="n">
        <v>443</v>
      </c>
      <c r="T9" t="n">
        <v>3</v>
      </c>
      <c r="U9" t="inlineStr">
        <is>
          <t>extended (no pullback)</t>
        </is>
      </c>
      <c r="V9" t="inlineStr">
        <is>
          <t>No setup</t>
        </is>
      </c>
      <c r="W9" t="n">
        <v>0</v>
      </c>
      <c r="X9" t="inlineStr">
        <is>
          <t>No</t>
        </is>
      </c>
      <c r="Y9" t="inlineStr">
        <is>
          <t>strong bearish close</t>
        </is>
      </c>
      <c r="Z9" t="n">
        <v>0.79</v>
      </c>
      <c r="AA9" t="inlineStr">
        <is>
          <t>Yes</t>
        </is>
      </c>
      <c r="AB9" t="inlineStr">
        <is>
          <t>No</t>
        </is>
      </c>
    </row>
    <row r="10">
      <c r="A10" t="inlineStr">
        <is>
          <t>2026-09-09</t>
        </is>
      </c>
      <c r="B10" t="inlineStr">
        <is>
          <t>22:46</t>
        </is>
      </c>
      <c r="C10" t="inlineStr">
        <is>
          <t>MGC</t>
        </is>
      </c>
      <c r="D10" t="inlineStr">
        <is>
          <t>Short</t>
        </is>
      </c>
      <c r="E10" t="n">
        <v>-38</v>
      </c>
      <c r="F10" t="inlineStr">
        <is>
          <t>flat</t>
        </is>
      </c>
      <c r="G10" t="inlineStr">
        <is>
          <t>up</t>
        </is>
      </c>
      <c r="H10" t="inlineStr">
        <is>
          <t>up</t>
        </is>
      </c>
      <c r="I10" t="inlineStr">
        <is>
          <t>up</t>
        </is>
      </c>
      <c r="J10" t="n">
        <v>60.4</v>
      </c>
      <c r="K10" t="inlineStr">
        <is>
          <t>bull</t>
        </is>
      </c>
      <c r="L10" t="inlineStr">
        <is>
          <t>+</t>
        </is>
      </c>
      <c r="M10" t="n">
        <v>28.8</v>
      </c>
      <c r="N10" t="n">
        <v>5.11</v>
      </c>
      <c r="O10" t="n">
        <v>4451.79</v>
      </c>
      <c r="P10" t="inlineStr">
        <is>
          <t>above</t>
        </is>
      </c>
      <c r="Q10" t="n">
        <v>4457.36</v>
      </c>
      <c r="R10" t="n">
        <v>0.39</v>
      </c>
      <c r="S10" t="n">
        <v>408</v>
      </c>
      <c r="T10" t="n">
        <v>14</v>
      </c>
      <c r="U10" t="inlineStr">
        <is>
          <t>extended (no pullback)</t>
        </is>
      </c>
      <c r="V10" t="inlineStr">
        <is>
          <t>No setup</t>
        </is>
      </c>
      <c r="W10" t="n">
        <v>0</v>
      </c>
      <c r="X10" t="inlineStr">
        <is>
          <t>Round</t>
        </is>
      </c>
      <c r="Z10" t="n">
        <v>0.34</v>
      </c>
      <c r="AA10" t="inlineStr">
        <is>
          <t>No</t>
        </is>
      </c>
      <c r="AB10" t="inlineStr">
        <is>
          <t>No</t>
        </is>
      </c>
    </row>
    <row r="11">
      <c r="A11" t="inlineStr">
        <is>
          <t>2026-09-09</t>
        </is>
      </c>
      <c r="B11" t="inlineStr">
        <is>
          <t>22:51</t>
        </is>
      </c>
      <c r="C11" t="inlineStr">
        <is>
          <t>MGC</t>
        </is>
      </c>
      <c r="D11" t="inlineStr">
        <is>
          <t>Short</t>
        </is>
      </c>
      <c r="E11" t="n">
        <v>-40</v>
      </c>
      <c r="F11" t="inlineStr">
        <is>
          <t>flat</t>
        </is>
      </c>
      <c r="G11" t="inlineStr">
        <is>
          <t>up</t>
        </is>
      </c>
      <c r="H11" t="inlineStr">
        <is>
          <t>up</t>
        </is>
      </c>
      <c r="I11" t="inlineStr">
        <is>
          <t>up</t>
        </is>
      </c>
      <c r="J11" t="n">
        <v>64.09999999999999</v>
      </c>
      <c r="K11" t="inlineStr">
        <is>
          <t>bull</t>
        </is>
      </c>
      <c r="L11" t="inlineStr">
        <is>
          <t>+</t>
        </is>
      </c>
      <c r="M11" t="n">
        <v>29</v>
      </c>
      <c r="N11" t="n">
        <v>5.07</v>
      </c>
      <c r="O11" t="n">
        <v>4451.81</v>
      </c>
      <c r="P11" t="inlineStr">
        <is>
          <t>above</t>
        </is>
      </c>
      <c r="Q11" t="n">
        <v>4457.36</v>
      </c>
      <c r="R11" t="n">
        <v>0.55</v>
      </c>
      <c r="S11" t="n">
        <v>586</v>
      </c>
      <c r="T11" t="n">
        <v>52</v>
      </c>
      <c r="U11" t="inlineStr">
        <is>
          <t>golden</t>
        </is>
      </c>
      <c r="V11" t="inlineStr">
        <is>
          <t>Weak</t>
        </is>
      </c>
      <c r="W11" t="n">
        <v>1</v>
      </c>
      <c r="X11" t="inlineStr">
        <is>
          <t>Round</t>
        </is>
      </c>
      <c r="Y11" t="inlineStr">
        <is>
          <t>strong bullish close</t>
        </is>
      </c>
      <c r="Z11" t="n">
        <v>0.47</v>
      </c>
      <c r="AA11" t="inlineStr">
        <is>
          <t>No</t>
        </is>
      </c>
      <c r="AB11" t="inlineStr">
        <is>
          <t>No</t>
        </is>
      </c>
    </row>
    <row r="12">
      <c r="A12" t="inlineStr">
        <is>
          <t>2026-09-09</t>
        </is>
      </c>
      <c r="B12" t="inlineStr">
        <is>
          <t>22:53</t>
        </is>
      </c>
      <c r="C12" t="inlineStr">
        <is>
          <t>MGC</t>
        </is>
      </c>
      <c r="D12" t="inlineStr">
        <is>
          <t>Long</t>
        </is>
      </c>
      <c r="E12" t="n">
        <v>-178</v>
      </c>
      <c r="F12" t="inlineStr">
        <is>
          <t>flat</t>
        </is>
      </c>
      <c r="G12" t="inlineStr">
        <is>
          <t>up</t>
        </is>
      </c>
      <c r="H12" t="inlineStr">
        <is>
          <t>up</t>
        </is>
      </c>
      <c r="I12" t="inlineStr">
        <is>
          <t>up</t>
        </is>
      </c>
      <c r="J12" t="n">
        <v>64.09999999999999</v>
      </c>
      <c r="K12" t="inlineStr">
        <is>
          <t>bull</t>
        </is>
      </c>
      <c r="L12" t="inlineStr">
        <is>
          <t>+</t>
        </is>
      </c>
      <c r="M12" t="n">
        <v>29</v>
      </c>
      <c r="N12" t="n">
        <v>5.07</v>
      </c>
      <c r="O12" t="n">
        <v>4451.81</v>
      </c>
      <c r="P12" t="inlineStr">
        <is>
          <t>above</t>
        </is>
      </c>
      <c r="Q12" t="n">
        <v>4457.36</v>
      </c>
      <c r="R12" t="n">
        <v>0.55</v>
      </c>
      <c r="S12" t="n">
        <v>586</v>
      </c>
      <c r="T12" t="n">
        <v>1</v>
      </c>
      <c r="U12" t="inlineStr">
        <is>
          <t>extended (no pullback)</t>
        </is>
      </c>
      <c r="V12" t="inlineStr">
        <is>
          <t>No setup</t>
        </is>
      </c>
      <c r="W12" t="n">
        <v>0</v>
      </c>
      <c r="X12" t="inlineStr">
        <is>
          <t>No</t>
        </is>
      </c>
      <c r="Y12" t="inlineStr">
        <is>
          <t>strong bullish close</t>
        </is>
      </c>
      <c r="Z12" t="n">
        <v>0.47</v>
      </c>
      <c r="AA12" t="inlineStr">
        <is>
          <t>Yes</t>
        </is>
      </c>
      <c r="AB12" t="inlineStr">
        <is>
          <t>No</t>
        </is>
      </c>
    </row>
    <row r="13">
      <c r="A13" t="inlineStr">
        <is>
          <t>2026-09-09</t>
        </is>
      </c>
      <c r="B13" t="inlineStr">
        <is>
          <t>23:22</t>
        </is>
      </c>
      <c r="C13" t="inlineStr">
        <is>
          <t>MNQ</t>
        </is>
      </c>
      <c r="D13" t="inlineStr">
        <is>
          <t>Short</t>
        </is>
      </c>
      <c r="E13" t="n">
        <v>4.5</v>
      </c>
      <c r="F13" t="inlineStr">
        <is>
          <t>down</t>
        </is>
      </c>
      <c r="G13" t="inlineStr">
        <is>
          <t>down</t>
        </is>
      </c>
      <c r="H13" t="inlineStr">
        <is>
          <t>down</t>
        </is>
      </c>
      <c r="I13" t="inlineStr">
        <is>
          <t>down</t>
        </is>
      </c>
      <c r="J13" t="n">
        <v>45.6</v>
      </c>
      <c r="K13" t="inlineStr">
        <is>
          <t>bull</t>
        </is>
      </c>
      <c r="L13" t="inlineStr">
        <is>
          <t>+</t>
        </is>
      </c>
      <c r="M13" t="n">
        <v>20.8</v>
      </c>
      <c r="N13" t="n">
        <v>17.78</v>
      </c>
      <c r="O13" t="n">
        <v>29466.22</v>
      </c>
      <c r="P13" t="inlineStr">
        <is>
          <t>below</t>
        </is>
      </c>
      <c r="Q13" t="n">
        <v>29443.46</v>
      </c>
      <c r="R13" t="n">
        <v>2.01</v>
      </c>
      <c r="S13" t="n">
        <v>34593</v>
      </c>
      <c r="T13" t="n">
        <v>35</v>
      </c>
      <c r="U13" t="inlineStr">
        <is>
          <t>shallow</t>
        </is>
      </c>
      <c r="V13" t="inlineStr">
        <is>
          <t>Good</t>
        </is>
      </c>
      <c r="W13" t="n">
        <v>2</v>
      </c>
      <c r="X13" t="inlineStr">
        <is>
          <t>Round</t>
        </is>
      </c>
      <c r="Y13" t="inlineStr">
        <is>
          <t>bearish engulfing</t>
        </is>
      </c>
      <c r="Z13" t="n">
        <v>1.48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2026-09-09</t>
        </is>
      </c>
      <c r="B14" t="inlineStr">
        <is>
          <t>23:23</t>
        </is>
      </c>
      <c r="C14" t="inlineStr">
        <is>
          <t>MNQ</t>
        </is>
      </c>
      <c r="D14" t="inlineStr">
        <is>
          <t>Short</t>
        </is>
      </c>
      <c r="E14" t="n">
        <v>4.5</v>
      </c>
      <c r="F14" t="inlineStr">
        <is>
          <t>down</t>
        </is>
      </c>
      <c r="G14" t="inlineStr">
        <is>
          <t>down</t>
        </is>
      </c>
      <c r="H14" t="inlineStr">
        <is>
          <t>down</t>
        </is>
      </c>
      <c r="I14" t="inlineStr">
        <is>
          <t>down</t>
        </is>
      </c>
      <c r="J14" t="n">
        <v>45.6</v>
      </c>
      <c r="K14" t="inlineStr">
        <is>
          <t>bull</t>
        </is>
      </c>
      <c r="L14" t="inlineStr">
        <is>
          <t>+</t>
        </is>
      </c>
      <c r="M14" t="n">
        <v>20.8</v>
      </c>
      <c r="N14" t="n">
        <v>17.78</v>
      </c>
      <c r="O14" t="n">
        <v>29466.22</v>
      </c>
      <c r="P14" t="inlineStr">
        <is>
          <t>below</t>
        </is>
      </c>
      <c r="Q14" t="n">
        <v>29443.46</v>
      </c>
      <c r="R14" t="n">
        <v>2.01</v>
      </c>
      <c r="S14" t="n">
        <v>34593</v>
      </c>
      <c r="T14" t="n">
        <v>34</v>
      </c>
      <c r="U14" t="inlineStr">
        <is>
          <t>shallow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bearish engulfing</t>
        </is>
      </c>
      <c r="Z14" t="n">
        <v>1.48</v>
      </c>
      <c r="AA14" t="inlineStr">
        <is>
          <t>Yes</t>
        </is>
      </c>
      <c r="AB14" t="inlineStr">
        <is>
          <t>Yes</t>
        </is>
      </c>
    </row>
    <row r="15">
      <c r="A15" t="inlineStr">
        <is>
          <t>2026-09-09</t>
        </is>
      </c>
      <c r="B15" t="inlineStr">
        <is>
          <t>23:24</t>
        </is>
      </c>
      <c r="C15" t="inlineStr">
        <is>
          <t>MNQ</t>
        </is>
      </c>
      <c r="D15" t="inlineStr">
        <is>
          <t>Short</t>
        </is>
      </c>
      <c r="E15" t="n">
        <v>10</v>
      </c>
      <c r="F15" t="inlineStr">
        <is>
          <t>down</t>
        </is>
      </c>
      <c r="G15" t="inlineStr">
        <is>
          <t>down</t>
        </is>
      </c>
      <c r="H15" t="inlineStr">
        <is>
          <t>down</t>
        </is>
      </c>
      <c r="I15" t="inlineStr">
        <is>
          <t>down</t>
        </is>
      </c>
      <c r="J15" t="n">
        <v>45.6</v>
      </c>
      <c r="K15" t="inlineStr">
        <is>
          <t>bull</t>
        </is>
      </c>
      <c r="L15" t="inlineStr">
        <is>
          <t>+</t>
        </is>
      </c>
      <c r="M15" t="n">
        <v>20.8</v>
      </c>
      <c r="N15" t="n">
        <v>17.78</v>
      </c>
      <c r="O15" t="n">
        <v>29466.22</v>
      </c>
      <c r="P15" t="inlineStr">
        <is>
          <t>below</t>
        </is>
      </c>
      <c r="Q15" t="n">
        <v>29443.46</v>
      </c>
      <c r="R15" t="n">
        <v>2.01</v>
      </c>
      <c r="S15" t="n">
        <v>34593</v>
      </c>
      <c r="T15" t="n">
        <v>33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Y15" t="inlineStr">
        <is>
          <t>bearish engulfing</t>
        </is>
      </c>
      <c r="Z15" t="n">
        <v>1.48</v>
      </c>
      <c r="AA15" t="inlineStr">
        <is>
          <t>Yes</t>
        </is>
      </c>
      <c r="AB15" t="inlineStr">
        <is>
          <t>Yes</t>
        </is>
      </c>
    </row>
    <row r="16">
      <c r="A16" t="inlineStr">
        <is>
          <t>2026-09-09</t>
        </is>
      </c>
      <c r="B16" t="inlineStr">
        <is>
          <t>23:25</t>
        </is>
      </c>
      <c r="C16" t="inlineStr">
        <is>
          <t>MNQ</t>
        </is>
      </c>
      <c r="D16" t="inlineStr">
        <is>
          <t>Short</t>
        </is>
      </c>
      <c r="E16" t="n">
        <v>10</v>
      </c>
      <c r="F16" t="inlineStr">
        <is>
          <t>down</t>
        </is>
      </c>
      <c r="G16" t="inlineStr">
        <is>
          <t>down</t>
        </is>
      </c>
      <c r="H16" t="inlineStr">
        <is>
          <t>down</t>
        </is>
      </c>
      <c r="I16" t="inlineStr">
        <is>
          <t>down</t>
        </is>
      </c>
      <c r="J16" t="n">
        <v>47.4</v>
      </c>
      <c r="K16" t="inlineStr">
        <is>
          <t>bull</t>
        </is>
      </c>
      <c r="L16" t="inlineStr">
        <is>
          <t>+</t>
        </is>
      </c>
      <c r="M16" t="n">
        <v>20.3</v>
      </c>
      <c r="N16" t="n">
        <v>17.89</v>
      </c>
      <c r="O16" t="n">
        <v>29466.13</v>
      </c>
      <c r="P16" t="inlineStr">
        <is>
          <t>below</t>
        </is>
      </c>
      <c r="Q16" t="n">
        <v>29443.46</v>
      </c>
      <c r="R16" t="n">
        <v>1.36</v>
      </c>
      <c r="S16" t="n">
        <v>34999</v>
      </c>
      <c r="T16" t="n">
        <v>34</v>
      </c>
      <c r="U16" t="inlineStr">
        <is>
          <t>shallow</t>
        </is>
      </c>
      <c r="V16" t="inlineStr">
        <is>
          <t>Good</t>
        </is>
      </c>
      <c r="W16" t="n">
        <v>2</v>
      </c>
      <c r="X16" t="inlineStr">
        <is>
          <t>Round</t>
        </is>
      </c>
      <c r="Y16" t="inlineStr">
        <is>
          <t>bullish pin/hammer</t>
        </is>
      </c>
      <c r="Z16" t="n">
        <v>1.05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2026-09-09</t>
        </is>
      </c>
      <c r="B17" t="inlineStr">
        <is>
          <t>23:30</t>
        </is>
      </c>
      <c r="C17" t="inlineStr">
        <is>
          <t>MNQ</t>
        </is>
      </c>
      <c r="D17" t="inlineStr">
        <is>
          <t>Short</t>
        </is>
      </c>
      <c r="E17" t="n">
        <v>-18</v>
      </c>
      <c r="F17" t="inlineStr">
        <is>
          <t>down</t>
        </is>
      </c>
      <c r="G17" t="inlineStr">
        <is>
          <t>down</t>
        </is>
      </c>
      <c r="H17" t="inlineStr">
        <is>
          <t>down</t>
        </is>
      </c>
      <c r="I17" t="inlineStr">
        <is>
          <t>down</t>
        </is>
      </c>
      <c r="J17" t="n">
        <v>48.2</v>
      </c>
      <c r="K17" t="inlineStr">
        <is>
          <t>bull</t>
        </is>
      </c>
      <c r="L17" t="inlineStr">
        <is>
          <t>+</t>
        </is>
      </c>
      <c r="M17" t="n">
        <v>19.3</v>
      </c>
      <c r="N17" t="n">
        <v>17.47</v>
      </c>
      <c r="O17" t="n">
        <v>29466.07</v>
      </c>
      <c r="P17" t="inlineStr">
        <is>
          <t>below</t>
        </is>
      </c>
      <c r="Q17" t="n">
        <v>29443.46</v>
      </c>
      <c r="R17" t="n">
        <v>0.96</v>
      </c>
      <c r="S17" t="n">
        <v>34999</v>
      </c>
      <c r="T17" t="n">
        <v>33</v>
      </c>
      <c r="U17" t="inlineStr">
        <is>
          <t>shallow</t>
        </is>
      </c>
      <c r="V17" t="inlineStr">
        <is>
          <t>Weak</t>
        </is>
      </c>
      <c r="W17" t="n">
        <v>1</v>
      </c>
      <c r="X17" t="inlineStr">
        <is>
          <t>Round</t>
        </is>
      </c>
      <c r="Z17" t="n">
        <v>0.82</v>
      </c>
      <c r="AA17" t="inlineStr">
        <is>
          <t>Yes</t>
        </is>
      </c>
      <c r="AB17" t="inlineStr">
        <is>
          <t>Yes</t>
        </is>
      </c>
    </row>
    <row r="18">
      <c r="A18" t="inlineStr">
        <is>
          <t>2026-09-09</t>
        </is>
      </c>
      <c r="B18" t="inlineStr">
        <is>
          <t>23:31</t>
        </is>
      </c>
      <c r="C18" t="inlineStr">
        <is>
          <t>MNQ</t>
        </is>
      </c>
      <c r="D18" t="inlineStr">
        <is>
          <t>Long</t>
        </is>
      </c>
      <c r="E18" t="n">
        <v>10</v>
      </c>
      <c r="F18" t="inlineStr">
        <is>
          <t>down</t>
        </is>
      </c>
      <c r="G18" t="inlineStr">
        <is>
          <t>down</t>
        </is>
      </c>
      <c r="H18" t="inlineStr">
        <is>
          <t>down</t>
        </is>
      </c>
      <c r="I18" t="inlineStr">
        <is>
          <t>down</t>
        </is>
      </c>
      <c r="J18" t="n">
        <v>48.2</v>
      </c>
      <c r="K18" t="inlineStr">
        <is>
          <t>bull</t>
        </is>
      </c>
      <c r="L18" t="inlineStr">
        <is>
          <t>+</t>
        </is>
      </c>
      <c r="M18" t="n">
        <v>19.3</v>
      </c>
      <c r="N18" t="n">
        <v>17.47</v>
      </c>
      <c r="O18" t="n">
        <v>29466.07</v>
      </c>
      <c r="P18" t="inlineStr">
        <is>
          <t>below</t>
        </is>
      </c>
      <c r="Q18" t="n">
        <v>29443.46</v>
      </c>
      <c r="R18" t="n">
        <v>0.96</v>
      </c>
      <c r="S18" t="n">
        <v>34999</v>
      </c>
      <c r="T18" t="n">
        <v>37</v>
      </c>
      <c r="U18" t="inlineStr">
        <is>
          <t>shallow</t>
        </is>
      </c>
      <c r="V18" t="inlineStr">
        <is>
          <t>Weak</t>
        </is>
      </c>
      <c r="W18" t="n">
        <v>1</v>
      </c>
      <c r="X18" t="inlineStr">
        <is>
          <t>ORL</t>
        </is>
      </c>
      <c r="Z18" t="n">
        <v>0.82</v>
      </c>
      <c r="AA18" t="inlineStr">
        <is>
          <t>No</t>
        </is>
      </c>
      <c r="AB18" t="inlineStr">
        <is>
          <t>No</t>
        </is>
      </c>
    </row>
    <row r="19">
      <c r="A19" t="inlineStr">
        <is>
          <t>2026-09-10</t>
        </is>
      </c>
      <c r="B19" t="inlineStr">
        <is>
          <t>08:51</t>
        </is>
      </c>
      <c r="C19" t="inlineStr">
        <is>
          <t>MGC</t>
        </is>
      </c>
      <c r="D19" t="inlineStr">
        <is>
          <t>Long</t>
        </is>
      </c>
      <c r="E19" t="n">
        <v>-53</v>
      </c>
      <c r="F19" t="inlineStr">
        <is>
          <t>down</t>
        </is>
      </c>
      <c r="G19" t="inlineStr">
        <is>
          <t>down</t>
        </is>
      </c>
      <c r="H19" t="inlineStr">
        <is>
          <t>down</t>
        </is>
      </c>
      <c r="I19" t="inlineStr">
        <is>
          <t>down</t>
        </is>
      </c>
      <c r="J19" t="n">
        <v>33.6</v>
      </c>
      <c r="K19" t="inlineStr">
        <is>
          <t>bear</t>
        </is>
      </c>
      <c r="L19" t="inlineStr">
        <is>
          <t>-</t>
        </is>
      </c>
      <c r="M19" t="n">
        <v>49.1</v>
      </c>
      <c r="N19" t="n">
        <v>10.31</v>
      </c>
      <c r="O19" t="n">
        <v>4440.78</v>
      </c>
      <c r="P19" t="inlineStr">
        <is>
          <t>below</t>
        </is>
      </c>
      <c r="Q19" t="n">
        <v>4458.43</v>
      </c>
      <c r="R19" t="n">
        <v>3.62</v>
      </c>
      <c r="S19" t="n">
        <v>-9758</v>
      </c>
      <c r="T19" t="n">
        <v>2</v>
      </c>
      <c r="U19" t="inlineStr">
        <is>
          <t>extended (no pullback)</t>
        </is>
      </c>
      <c r="V19" t="inlineStr">
        <is>
          <t>No setup</t>
        </is>
      </c>
      <c r="W19" t="n">
        <v>0</v>
      </c>
      <c r="X19" t="inlineStr">
        <is>
          <t>Round</t>
        </is>
      </c>
      <c r="Y19" t="inlineStr">
        <is>
          <t>strong bearish close</t>
        </is>
      </c>
      <c r="Z19" t="n">
        <v>1.51</v>
      </c>
      <c r="AA19" t="inlineStr">
        <is>
          <t>No</t>
        </is>
      </c>
      <c r="AB19" t="inlineStr">
        <is>
          <t>No</t>
        </is>
      </c>
    </row>
    <row r="20">
      <c r="A20" t="inlineStr">
        <is>
          <t>2026-09-10</t>
        </is>
      </c>
      <c r="B20" t="inlineStr">
        <is>
          <t>08:55</t>
        </is>
      </c>
      <c r="C20" t="inlineStr">
        <is>
          <t>MGC</t>
        </is>
      </c>
      <c r="D20" t="inlineStr">
        <is>
          <t>Short</t>
        </is>
      </c>
      <c r="E20" t="n">
        <v>22</v>
      </c>
      <c r="F20" t="inlineStr">
        <is>
          <t>down</t>
        </is>
      </c>
      <c r="G20" t="inlineStr">
        <is>
          <t>down</t>
        </is>
      </c>
      <c r="H20" t="inlineStr">
        <is>
          <t>down</t>
        </is>
      </c>
      <c r="I20" t="inlineStr">
        <is>
          <t>down</t>
        </is>
      </c>
      <c r="J20" t="n">
        <v>32.2</v>
      </c>
      <c r="K20" t="inlineStr">
        <is>
          <t>bear</t>
        </is>
      </c>
      <c r="L20" t="inlineStr">
        <is>
          <t>-</t>
        </is>
      </c>
      <c r="M20" t="n">
        <v>49.5</v>
      </c>
      <c r="N20" t="n">
        <v>10.14</v>
      </c>
      <c r="O20" t="n">
        <v>4440.13</v>
      </c>
      <c r="P20" t="inlineStr">
        <is>
          <t>below</t>
        </is>
      </c>
      <c r="Q20" t="n">
        <v>4458.43</v>
      </c>
      <c r="R20" t="n">
        <v>2.46</v>
      </c>
      <c r="S20" t="n">
        <v>-9835</v>
      </c>
      <c r="T20" t="n">
        <v>20</v>
      </c>
      <c r="U20" t="inlineStr">
        <is>
          <t>shallow</t>
        </is>
      </c>
      <c r="V20" t="inlineStr">
        <is>
          <t>Weak</t>
        </is>
      </c>
      <c r="W20" t="n">
        <v>1</v>
      </c>
      <c r="X20" t="inlineStr">
        <is>
          <t>PDL/Round</t>
        </is>
      </c>
      <c r="Z20" t="n">
        <v>1.21</v>
      </c>
      <c r="AA20" t="inlineStr">
        <is>
          <t>Yes</t>
        </is>
      </c>
      <c r="AB20" t="inlineStr">
        <is>
          <t>Yes</t>
        </is>
      </c>
    </row>
    <row r="21">
      <c r="A21" t="inlineStr">
        <is>
          <t>2026-09-10</t>
        </is>
      </c>
      <c r="B21" t="inlineStr">
        <is>
          <t>11:16</t>
        </is>
      </c>
      <c r="C21" t="inlineStr">
        <is>
          <t>MGC</t>
        </is>
      </c>
      <c r="D21" t="inlineStr">
        <is>
          <t>Long</t>
        </is>
      </c>
      <c r="E21" t="n">
        <v>20</v>
      </c>
      <c r="F21" t="inlineStr">
        <is>
          <t>down</t>
        </is>
      </c>
      <c r="G21" t="inlineStr">
        <is>
          <t>down</t>
        </is>
      </c>
      <c r="H21" t="inlineStr">
        <is>
          <t>down</t>
        </is>
      </c>
      <c r="I21" t="inlineStr">
        <is>
          <t>up</t>
        </is>
      </c>
      <c r="J21" t="n">
        <v>51.7</v>
      </c>
      <c r="K21" t="inlineStr">
        <is>
          <t>bear</t>
        </is>
      </c>
      <c r="L21" t="inlineStr">
        <is>
          <t>+</t>
        </is>
      </c>
      <c r="M21" t="n">
        <v>12.2</v>
      </c>
      <c r="N21" t="n">
        <v>8.67</v>
      </c>
      <c r="O21" t="n">
        <v>4406.78</v>
      </c>
      <c r="P21" t="inlineStr">
        <is>
          <t>below</t>
        </is>
      </c>
      <c r="Q21" t="n">
        <v>4411.91</v>
      </c>
      <c r="R21" t="n">
        <v>0.9399999999999999</v>
      </c>
      <c r="S21" t="n">
        <v>-899</v>
      </c>
      <c r="T21" t="n">
        <v>28</v>
      </c>
      <c r="U21" t="inlineStr">
        <is>
          <t>shallow</t>
        </is>
      </c>
      <c r="V21" t="inlineStr">
        <is>
          <t>Good</t>
        </is>
      </c>
      <c r="W21" t="n">
        <v>2</v>
      </c>
      <c r="X21" t="inlineStr">
        <is>
          <t>Round</t>
        </is>
      </c>
      <c r="Y21" t="inlineStr">
        <is>
          <t>strong bullish close</t>
        </is>
      </c>
      <c r="Z21" t="n">
        <v>0.58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2026-09-10</t>
        </is>
      </c>
      <c r="B22" t="inlineStr">
        <is>
          <t>14:56</t>
        </is>
      </c>
      <c r="C22" t="inlineStr">
        <is>
          <t>MGC</t>
        </is>
      </c>
      <c r="D22" t="inlineStr">
        <is>
          <t>Long</t>
        </is>
      </c>
      <c r="E22" t="n">
        <v>-406</v>
      </c>
      <c r="F22" t="inlineStr">
        <is>
          <t>down</t>
        </is>
      </c>
      <c r="G22" t="inlineStr">
        <is>
          <t>down</t>
        </is>
      </c>
      <c r="H22" t="inlineStr">
        <is>
          <t>down</t>
        </is>
      </c>
      <c r="I22" t="inlineStr">
        <is>
          <t>down</t>
        </is>
      </c>
      <c r="J22" t="n">
        <v>27.4</v>
      </c>
      <c r="K22" t="inlineStr">
        <is>
          <t>bear</t>
        </is>
      </c>
      <c r="L22" t="inlineStr">
        <is>
          <t>-</t>
        </is>
      </c>
      <c r="M22" t="n">
        <v>35.9</v>
      </c>
      <c r="N22" t="n">
        <v>5.81</v>
      </c>
      <c r="O22" t="n">
        <v>4401.65</v>
      </c>
      <c r="P22" t="inlineStr">
        <is>
          <t>below</t>
        </is>
      </c>
      <c r="Q22" t="n">
        <v>4412.53</v>
      </c>
      <c r="R22" t="n">
        <v>1.66</v>
      </c>
      <c r="S22" t="n">
        <v>-5812</v>
      </c>
      <c r="T22" t="n">
        <v>0</v>
      </c>
      <c r="U22" t="inlineStr">
        <is>
          <t>extended (no pullback)</t>
        </is>
      </c>
      <c r="V22" t="inlineStr">
        <is>
          <t>No setup</t>
        </is>
      </c>
      <c r="W22" t="n">
        <v>0</v>
      </c>
      <c r="X22" t="inlineStr">
        <is>
          <t>Round</t>
        </is>
      </c>
      <c r="Y22" t="inlineStr">
        <is>
          <t>bullish engulfing</t>
        </is>
      </c>
      <c r="Z22" t="n">
        <v>1.08</v>
      </c>
      <c r="AA22" t="inlineStr">
        <is>
          <t>No</t>
        </is>
      </c>
      <c r="AB22" t="inlineStr">
        <is>
          <t>No</t>
        </is>
      </c>
    </row>
    <row r="23">
      <c r="A23" t="inlineStr">
        <is>
          <t>2026-09-10</t>
        </is>
      </c>
      <c r="B23" t="inlineStr">
        <is>
          <t>20:58</t>
        </is>
      </c>
      <c r="C23" t="inlineStr">
        <is>
          <t>MGC</t>
        </is>
      </c>
      <c r="D23" t="inlineStr">
        <is>
          <t>Short</t>
        </is>
      </c>
      <c r="E23" t="n">
        <v>-100</v>
      </c>
      <c r="F23" t="inlineStr">
        <is>
          <t>down</t>
        </is>
      </c>
      <c r="G23" t="inlineStr">
        <is>
          <t>down</t>
        </is>
      </c>
      <c r="H23" t="inlineStr">
        <is>
          <t>down</t>
        </is>
      </c>
      <c r="I23" t="inlineStr">
        <is>
          <t>up</t>
        </is>
      </c>
      <c r="J23" t="n">
        <v>68.7</v>
      </c>
      <c r="K23" t="inlineStr">
        <is>
          <t>bull</t>
        </is>
      </c>
      <c r="L23" t="inlineStr">
        <is>
          <t>+</t>
        </is>
      </c>
      <c r="M23" t="n">
        <v>27.7</v>
      </c>
      <c r="N23" t="n">
        <v>4.52</v>
      </c>
      <c r="O23" t="n">
        <v>4392.92</v>
      </c>
      <c r="P23" t="inlineStr">
        <is>
          <t>below</t>
        </is>
      </c>
      <c r="Q23" t="n">
        <v>4409.78</v>
      </c>
      <c r="R23" t="n">
        <v>0.58</v>
      </c>
      <c r="S23" t="n">
        <v>-6260</v>
      </c>
      <c r="T23" t="n">
        <v>15</v>
      </c>
      <c r="U23" t="inlineStr">
        <is>
          <t>extended (no pullback)</t>
        </is>
      </c>
      <c r="V23" t="inlineStr">
        <is>
          <t>Weak</t>
        </is>
      </c>
      <c r="W23" t="n">
        <v>1</v>
      </c>
      <c r="X23" t="inlineStr">
        <is>
          <t>Round</t>
        </is>
      </c>
      <c r="Z23" t="n">
        <v>1.14</v>
      </c>
      <c r="AA23" t="inlineStr">
        <is>
          <t>No</t>
        </is>
      </c>
      <c r="AB23" t="inlineStr">
        <is>
          <t>Yes</t>
        </is>
      </c>
    </row>
    <row r="24">
      <c r="A24" t="inlineStr">
        <is>
          <t>2026-09-10</t>
        </is>
      </c>
      <c r="B24" t="inlineStr">
        <is>
          <t>21:02</t>
        </is>
      </c>
      <c r="C24" t="inlineStr">
        <is>
          <t>MGC</t>
        </is>
      </c>
      <c r="D24" t="inlineStr">
        <is>
          <t>Long</t>
        </is>
      </c>
      <c r="E24" t="n">
        <v>-8</v>
      </c>
      <c r="F24" t="inlineStr">
        <is>
          <t>down</t>
        </is>
      </c>
      <c r="G24" t="inlineStr">
        <is>
          <t>down</t>
        </is>
      </c>
      <c r="H24" t="inlineStr">
        <is>
          <t>down</t>
        </is>
      </c>
      <c r="I24" t="inlineStr">
        <is>
          <t>up</t>
        </is>
      </c>
      <c r="J24" t="n">
        <v>76.2</v>
      </c>
      <c r="K24" t="inlineStr">
        <is>
          <t>bull</t>
        </is>
      </c>
      <c r="L24" t="inlineStr">
        <is>
          <t>+</t>
        </is>
      </c>
      <c r="M24" t="n">
        <v>29.2</v>
      </c>
      <c r="N24" t="n">
        <v>5.09</v>
      </c>
      <c r="O24" t="n">
        <v>4392.71</v>
      </c>
      <c r="P24" t="inlineStr">
        <is>
          <t>below</t>
        </is>
      </c>
      <c r="Q24" t="n">
        <v>4409.78</v>
      </c>
      <c r="R24" t="n">
        <v>1</v>
      </c>
      <c r="S24" t="n">
        <v>-5323</v>
      </c>
      <c r="T24" t="n">
        <v>14</v>
      </c>
      <c r="U24" t="inlineStr">
        <is>
          <t>extended (no pullback)</t>
        </is>
      </c>
      <c r="V24" t="inlineStr">
        <is>
          <t>No setup</t>
        </is>
      </c>
      <c r="W24" t="n">
        <v>0</v>
      </c>
      <c r="X24" t="inlineStr">
        <is>
          <t>No</t>
        </is>
      </c>
      <c r="Y24" t="inlineStr">
        <is>
          <t>strong bullish close</t>
        </is>
      </c>
      <c r="Z24" t="n">
        <v>4.64</v>
      </c>
      <c r="AA24" t="inlineStr">
        <is>
          <t>No</t>
        </is>
      </c>
      <c r="AB24" t="inlineStr">
        <is>
          <t>No</t>
        </is>
      </c>
    </row>
    <row r="25">
      <c r="A25" t="inlineStr">
        <is>
          <t>2026-09-10</t>
        </is>
      </c>
      <c r="B25" t="inlineStr">
        <is>
          <t>21:04</t>
        </is>
      </c>
      <c r="C25" t="inlineStr">
        <is>
          <t>MNQ</t>
        </is>
      </c>
      <c r="D25" t="inlineStr">
        <is>
          <t>Long</t>
        </is>
      </c>
      <c r="E25" t="n">
        <v>-167.94</v>
      </c>
      <c r="F25" t="inlineStr">
        <is>
          <t>down</t>
        </is>
      </c>
      <c r="G25" t="inlineStr">
        <is>
          <t>down</t>
        </is>
      </c>
      <c r="H25" t="inlineStr">
        <is>
          <t>up</t>
        </is>
      </c>
      <c r="I25" t="inlineStr">
        <is>
          <t>up</t>
        </is>
      </c>
      <c r="J25" t="n">
        <v>63.2</v>
      </c>
      <c r="K25" t="inlineStr">
        <is>
          <t>bull</t>
        </is>
      </c>
      <c r="L25" t="inlineStr">
        <is>
          <t>+</t>
        </is>
      </c>
      <c r="M25" t="n">
        <v>37.6</v>
      </c>
      <c r="N25" t="n">
        <v>20.36</v>
      </c>
      <c r="O25" t="n">
        <v>29175.9</v>
      </c>
      <c r="P25" t="inlineStr">
        <is>
          <t>below</t>
        </is>
      </c>
      <c r="Q25" t="n">
        <v>29136.34</v>
      </c>
      <c r="R25" t="n">
        <v>0.95</v>
      </c>
      <c r="S25" t="n">
        <v>-4933</v>
      </c>
      <c r="T25" t="n">
        <v>6</v>
      </c>
      <c r="U25" t="inlineStr">
        <is>
          <t>extended (no pullback)</t>
        </is>
      </c>
      <c r="V25" t="inlineStr">
        <is>
          <t>Weak</t>
        </is>
      </c>
      <c r="W25" t="n">
        <v>1</v>
      </c>
      <c r="X25" t="inlineStr">
        <is>
          <t>No</t>
        </is>
      </c>
      <c r="Z25" t="n">
        <v>1.26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2026-09-23</t>
        </is>
      </c>
      <c r="B26" t="inlineStr">
        <is>
          <t>10:10</t>
        </is>
      </c>
      <c r="C26" t="inlineStr">
        <is>
          <t>MNQ</t>
        </is>
      </c>
      <c r="D26" t="inlineStr">
        <is>
          <t>Short</t>
        </is>
      </c>
      <c r="E26" t="n">
        <v>135</v>
      </c>
      <c r="F26" t="inlineStr">
        <is>
          <t>up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16</v>
      </c>
      <c r="K26" t="inlineStr">
        <is>
          <t>bear</t>
        </is>
      </c>
      <c r="L26" t="inlineStr">
        <is>
          <t>-</t>
        </is>
      </c>
      <c r="M26" t="n">
        <v>30</v>
      </c>
      <c r="N26" t="n">
        <v>36.67</v>
      </c>
      <c r="O26" t="n">
        <v>30866.76</v>
      </c>
      <c r="P26" t="inlineStr">
        <is>
          <t>below</t>
        </is>
      </c>
      <c r="Q26" t="n">
        <v>30846.91</v>
      </c>
      <c r="R26" t="n">
        <v>1.97</v>
      </c>
      <c r="S26" t="n">
        <v>-60525</v>
      </c>
      <c r="T26" t="n">
        <v>11</v>
      </c>
      <c r="U26" t="inlineStr">
        <is>
          <t>extended (no pullback)</t>
        </is>
      </c>
      <c r="V26" t="inlineStr">
        <is>
          <t>No setup</t>
        </is>
      </c>
      <c r="W26" t="n">
        <v>0</v>
      </c>
      <c r="X26" t="inlineStr">
        <is>
          <t>Round</t>
        </is>
      </c>
      <c r="Y26" t="inlineStr">
        <is>
          <t>strong bearish close</t>
        </is>
      </c>
      <c r="Z26" t="n">
        <v>3.03</v>
      </c>
      <c r="AA26" t="inlineStr">
        <is>
          <t>Yes</t>
        </is>
      </c>
      <c r="AB26" t="inlineStr">
        <is>
          <t>No</t>
        </is>
      </c>
    </row>
    <row r="27">
      <c r="A27" t="inlineStr">
        <is>
          <t>2026-09-23</t>
        </is>
      </c>
      <c r="B27" t="inlineStr">
        <is>
          <t>10:21</t>
        </is>
      </c>
      <c r="C27" t="inlineStr">
        <is>
          <t>MGC</t>
        </is>
      </c>
      <c r="D27" t="inlineStr">
        <is>
          <t>Short</t>
        </is>
      </c>
      <c r="E27" t="n">
        <v>-180</v>
      </c>
      <c r="F27" t="inlineStr">
        <is>
          <t>down</t>
        </is>
      </c>
      <c r="G27" t="inlineStr">
        <is>
          <t>down</t>
        </is>
      </c>
      <c r="H27" t="inlineStr">
        <is>
          <t>down</t>
        </is>
      </c>
      <c r="I27" t="inlineStr">
        <is>
          <t>down</t>
        </is>
      </c>
      <c r="J27" t="n">
        <v>38.9</v>
      </c>
      <c r="K27" t="inlineStr">
        <is>
          <t>bear</t>
        </is>
      </c>
      <c r="L27" t="inlineStr">
        <is>
          <t>-</t>
        </is>
      </c>
      <c r="M27" t="n">
        <v>26.8</v>
      </c>
      <c r="N27" t="n">
        <v>7.46</v>
      </c>
      <c r="O27" t="n">
        <v>4326.26</v>
      </c>
      <c r="P27" t="inlineStr">
        <is>
          <t>below</t>
        </is>
      </c>
      <c r="Q27" t="n">
        <v>4323.9</v>
      </c>
      <c r="R27" t="n">
        <v>0.91</v>
      </c>
      <c r="S27" t="n">
        <v>-4405</v>
      </c>
      <c r="T27" t="n">
        <v>4</v>
      </c>
      <c r="U27" t="inlineStr">
        <is>
          <t>extended (no pullback)</t>
        </is>
      </c>
      <c r="V27" t="inlineStr">
        <is>
          <t>Weak</t>
        </is>
      </c>
      <c r="W27" t="n">
        <v>1</v>
      </c>
      <c r="X27" t="inlineStr">
        <is>
          <t>ORL</t>
        </is>
      </c>
      <c r="Y27" t="inlineStr">
        <is>
          <t>strong bullish close</t>
        </is>
      </c>
      <c r="Z27" t="n">
        <v>0.8</v>
      </c>
      <c r="AA27" t="inlineStr">
        <is>
          <t>Yes</t>
        </is>
      </c>
      <c r="AB27" t="inlineStr">
        <is>
          <t>Yes</t>
        </is>
      </c>
    </row>
    <row r="28">
      <c r="A28" t="inlineStr">
        <is>
          <t>2026-09-23</t>
        </is>
      </c>
      <c r="B28" t="inlineStr">
        <is>
          <t>10:32</t>
        </is>
      </c>
      <c r="C28" t="inlineStr">
        <is>
          <t>MGC</t>
        </is>
      </c>
      <c r="D28" t="inlineStr">
        <is>
          <t>Long</t>
        </is>
      </c>
      <c r="E28" t="n">
        <v>87</v>
      </c>
      <c r="F28" t="inlineStr">
        <is>
          <t>down</t>
        </is>
      </c>
      <c r="G28" t="inlineStr">
        <is>
          <t>down</t>
        </is>
      </c>
      <c r="H28" t="inlineStr">
        <is>
          <t>down</t>
        </is>
      </c>
      <c r="I28" t="inlineStr">
        <is>
          <t>down</t>
        </is>
      </c>
      <c r="J28" t="n">
        <v>45</v>
      </c>
      <c r="K28" t="inlineStr">
        <is>
          <t>bear</t>
        </is>
      </c>
      <c r="L28" t="inlineStr">
        <is>
          <t>-</t>
        </is>
      </c>
      <c r="M28" t="n">
        <v>26.5</v>
      </c>
      <c r="N28" t="n">
        <v>7.69</v>
      </c>
      <c r="O28" t="n">
        <v>4325.41</v>
      </c>
      <c r="P28" t="inlineStr">
        <is>
          <t>below</t>
        </is>
      </c>
      <c r="Q28" t="n">
        <v>4323.53</v>
      </c>
      <c r="R28" t="n">
        <v>1.55</v>
      </c>
      <c r="S28" t="n">
        <v>-3343</v>
      </c>
      <c r="T28" t="n">
        <v>33</v>
      </c>
      <c r="U28" t="inlineStr">
        <is>
          <t>shallow</t>
        </is>
      </c>
      <c r="V28" t="inlineStr">
        <is>
          <t>Weak</t>
        </is>
      </c>
      <c r="W28" t="n">
        <v>1</v>
      </c>
      <c r="X28" t="inlineStr">
        <is>
          <t>Round</t>
        </is>
      </c>
      <c r="Y28" t="inlineStr">
        <is>
          <t>bullish engulfing</t>
        </is>
      </c>
      <c r="Z28" t="n">
        <v>1.21</v>
      </c>
      <c r="AA28" t="inlineStr">
        <is>
          <t>No</t>
        </is>
      </c>
      <c r="AB28" t="inlineStr">
        <is>
          <t>No</t>
        </is>
      </c>
    </row>
    <row r="29">
      <c r="A29" t="inlineStr">
        <is>
          <t>2026-09-23</t>
        </is>
      </c>
      <c r="B29" t="inlineStr">
        <is>
          <t>10:38</t>
        </is>
      </c>
      <c r="C29" t="inlineStr">
        <is>
          <t>MNQ</t>
        </is>
      </c>
      <c r="D29" t="inlineStr">
        <is>
          <t>Short</t>
        </is>
      </c>
      <c r="E29" t="n">
        <v>18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25.2</v>
      </c>
      <c r="K29" t="inlineStr">
        <is>
          <t>bear</t>
        </is>
      </c>
      <c r="L29" t="inlineStr">
        <is>
          <t>-</t>
        </is>
      </c>
      <c r="M29" t="n">
        <v>40.5</v>
      </c>
      <c r="N29" t="n">
        <v>43.64</v>
      </c>
      <c r="O29" t="n">
        <v>30802.54</v>
      </c>
      <c r="P29" t="inlineStr">
        <is>
          <t>below</t>
        </is>
      </c>
      <c r="Q29" t="n">
        <v>30971.35</v>
      </c>
      <c r="R29" t="n">
        <v>1.49</v>
      </c>
      <c r="S29" t="n">
        <v>-65104</v>
      </c>
      <c r="T29" t="n">
        <v>15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Round</t>
        </is>
      </c>
      <c r="Y29" t="inlineStr">
        <is>
          <t>strong bearish close</t>
        </is>
      </c>
      <c r="Z29" t="n">
        <v>1.15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2026-09-23</t>
        </is>
      </c>
      <c r="B30" t="inlineStr">
        <is>
          <t>11:06</t>
        </is>
      </c>
      <c r="C30" t="inlineStr">
        <is>
          <t>MNQ</t>
        </is>
      </c>
      <c r="D30" t="inlineStr">
        <is>
          <t>Short</t>
        </is>
      </c>
      <c r="E30" t="n">
        <v>131</v>
      </c>
      <c r="F30" t="inlineStr">
        <is>
          <t>flat</t>
        </is>
      </c>
      <c r="G30" t="inlineStr">
        <is>
          <t>down</t>
        </is>
      </c>
      <c r="H30" t="inlineStr">
        <is>
          <t>down</t>
        </is>
      </c>
      <c r="I30" t="inlineStr">
        <is>
          <t>up</t>
        </is>
      </c>
      <c r="J30" t="n">
        <v>47.2</v>
      </c>
      <c r="K30" t="inlineStr">
        <is>
          <t>bear</t>
        </is>
      </c>
      <c r="L30" t="inlineStr">
        <is>
          <t>+</t>
        </is>
      </c>
      <c r="M30" t="n">
        <v>30.8</v>
      </c>
      <c r="N30" t="n">
        <v>43.88</v>
      </c>
      <c r="O30" t="n">
        <v>30796.14</v>
      </c>
      <c r="P30" t="inlineStr">
        <is>
          <t>below</t>
        </is>
      </c>
      <c r="Q30" t="n">
        <v>30804.73</v>
      </c>
      <c r="R30" t="n">
        <v>0.78</v>
      </c>
      <c r="S30" t="n">
        <v>-43802</v>
      </c>
      <c r="T30" t="n">
        <v>35</v>
      </c>
      <c r="U30" t="inlineStr">
        <is>
          <t>shallow</t>
        </is>
      </c>
      <c r="V30" t="inlineStr">
        <is>
          <t>Weak</t>
        </is>
      </c>
      <c r="W30" t="n">
        <v>1</v>
      </c>
      <c r="X30" t="inlineStr">
        <is>
          <t>Round</t>
        </is>
      </c>
      <c r="Z30" t="n">
        <v>0.37</v>
      </c>
      <c r="AA30" t="inlineStr">
        <is>
          <t>No</t>
        </is>
      </c>
      <c r="AB30" t="inlineStr">
        <is>
          <t>No</t>
        </is>
      </c>
    </row>
    <row r="31">
      <c r="A31" t="inlineStr">
        <is>
          <t>2026-09-23</t>
        </is>
      </c>
      <c r="B31" t="inlineStr">
        <is>
          <t>11:28</t>
        </is>
      </c>
      <c r="C31" t="inlineStr">
        <is>
          <t>MNQ</t>
        </is>
      </c>
      <c r="D31" t="inlineStr">
        <is>
          <t>Short</t>
        </is>
      </c>
      <c r="E31" t="n">
        <v>51.5</v>
      </c>
      <c r="F31" t="inlineStr">
        <is>
          <t>flat</t>
        </is>
      </c>
      <c r="G31" t="inlineStr">
        <is>
          <t>down</t>
        </is>
      </c>
      <c r="H31" t="inlineStr">
        <is>
          <t>down</t>
        </is>
      </c>
      <c r="I31" t="inlineStr">
        <is>
          <t>up</t>
        </is>
      </c>
      <c r="J31" t="n">
        <v>43.2</v>
      </c>
      <c r="K31" t="inlineStr">
        <is>
          <t>bear</t>
        </is>
      </c>
      <c r="L31" t="inlineStr">
        <is>
          <t>+</t>
        </is>
      </c>
      <c r="M31" t="n">
        <v>25.5</v>
      </c>
      <c r="N31" t="n">
        <v>42.73</v>
      </c>
      <c r="O31" t="n">
        <v>30795.72</v>
      </c>
      <c r="P31" t="inlineStr">
        <is>
          <t>below</t>
        </is>
      </c>
      <c r="Q31" t="n">
        <v>30804.73</v>
      </c>
      <c r="R31" t="n">
        <v>1.28</v>
      </c>
      <c r="S31" t="n">
        <v>-45830</v>
      </c>
      <c r="T31" t="n">
        <v>34</v>
      </c>
      <c r="U31" t="inlineStr">
        <is>
          <t>shallow</t>
        </is>
      </c>
      <c r="V31" t="inlineStr">
        <is>
          <t>Weak</t>
        </is>
      </c>
      <c r="W31" t="n">
        <v>1</v>
      </c>
      <c r="X31" t="inlineStr">
        <is>
          <t>No</t>
        </is>
      </c>
      <c r="Y31" t="inlineStr">
        <is>
          <t>strong bearish close</t>
        </is>
      </c>
      <c r="Z31" t="n">
        <v>0.55</v>
      </c>
      <c r="AA31" t="inlineStr">
        <is>
          <t>No</t>
        </is>
      </c>
      <c r="AB31" t="inlineStr">
        <is>
          <t>No</t>
        </is>
      </c>
    </row>
    <row r="32">
      <c r="A32" t="inlineStr">
        <is>
          <t>2026-09-23</t>
        </is>
      </c>
      <c r="B32" t="inlineStr">
        <is>
          <t>13:09</t>
        </is>
      </c>
      <c r="C32" t="inlineStr">
        <is>
          <t>MGC</t>
        </is>
      </c>
      <c r="D32" t="inlineStr">
        <is>
          <t>Short</t>
        </is>
      </c>
      <c r="E32" t="n">
        <v>11</v>
      </c>
      <c r="F32" t="inlineStr">
        <is>
          <t>down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47.8</v>
      </c>
      <c r="K32" t="inlineStr">
        <is>
          <t>bear</t>
        </is>
      </c>
      <c r="L32" t="inlineStr">
        <is>
          <t>+</t>
        </is>
      </c>
      <c r="M32" t="n">
        <v>19.2</v>
      </c>
      <c r="N32" t="n">
        <v>5.45</v>
      </c>
      <c r="O32" t="n">
        <v>4323.91</v>
      </c>
      <c r="P32" t="inlineStr">
        <is>
          <t>below</t>
        </is>
      </c>
      <c r="Q32" t="n">
        <v>4323.72</v>
      </c>
      <c r="R32" t="n">
        <v>1.45</v>
      </c>
      <c r="S32" t="n">
        <v>-1829</v>
      </c>
      <c r="T32" t="n">
        <v>17</v>
      </c>
      <c r="U32" t="inlineStr">
        <is>
          <t>shallow</t>
        </is>
      </c>
      <c r="V32" t="inlineStr">
        <is>
          <t>Weak</t>
        </is>
      </c>
      <c r="W32" t="n">
        <v>1</v>
      </c>
      <c r="X32" t="inlineStr">
        <is>
          <t>ORL/Round</t>
        </is>
      </c>
      <c r="Y32" t="inlineStr">
        <is>
          <t>strong bullish close</t>
        </is>
      </c>
      <c r="Z32" t="n">
        <v>1.21</v>
      </c>
      <c r="AA32" t="inlineStr">
        <is>
          <t>Yes</t>
        </is>
      </c>
      <c r="AB32" t="inlineStr">
        <is>
          <t>Yes</t>
        </is>
      </c>
    </row>
    <row r="33">
      <c r="A33" t="inlineStr">
        <is>
          <t>2026-09-23</t>
        </is>
      </c>
      <c r="B33" t="inlineStr">
        <is>
          <t>13:10</t>
        </is>
      </c>
      <c r="C33" t="inlineStr">
        <is>
          <t>MNQ</t>
        </is>
      </c>
      <c r="D33" t="inlineStr">
        <is>
          <t>Short</t>
        </is>
      </c>
      <c r="E33" t="n">
        <v>22</v>
      </c>
      <c r="F33" t="inlineStr">
        <is>
          <t>flat</t>
        </is>
      </c>
      <c r="G33" t="inlineStr">
        <is>
          <t>down</t>
        </is>
      </c>
      <c r="H33" t="inlineStr">
        <is>
          <t>down</t>
        </is>
      </c>
      <c r="I33" t="inlineStr">
        <is>
          <t>down</t>
        </is>
      </c>
      <c r="J33" t="n">
        <v>35.1</v>
      </c>
      <c r="K33" t="inlineStr">
        <is>
          <t>bear</t>
        </is>
      </c>
      <c r="L33" t="inlineStr">
        <is>
          <t>-</t>
        </is>
      </c>
      <c r="M33" t="n">
        <v>32.9</v>
      </c>
      <c r="N33" t="n">
        <v>32.08</v>
      </c>
      <c r="O33" t="n">
        <v>30775.83</v>
      </c>
      <c r="P33" t="inlineStr">
        <is>
          <t>below</t>
        </is>
      </c>
      <c r="Q33" t="n">
        <v>30739.94</v>
      </c>
      <c r="R33" t="n">
        <v>1.44</v>
      </c>
      <c r="S33" t="n">
        <v>-58182</v>
      </c>
      <c r="T33" t="n">
        <v>13</v>
      </c>
      <c r="U33" t="inlineStr">
        <is>
          <t>extended (no pullback)</t>
        </is>
      </c>
      <c r="V33" t="inlineStr">
        <is>
          <t>No setup</t>
        </is>
      </c>
      <c r="W33" t="n">
        <v>0</v>
      </c>
      <c r="X33" t="inlineStr">
        <is>
          <t>Round</t>
        </is>
      </c>
      <c r="Y33" t="inlineStr">
        <is>
          <t>bullish pin/hammer</t>
        </is>
      </c>
      <c r="Z33" t="n">
        <v>0.96</v>
      </c>
      <c r="AA33" t="inlineStr">
        <is>
          <t>Yes</t>
        </is>
      </c>
      <c r="AB33" t="inlineStr">
        <is>
          <t>No</t>
        </is>
      </c>
    </row>
    <row r="34">
      <c r="A34" t="inlineStr">
        <is>
          <t>2026-09-23</t>
        </is>
      </c>
      <c r="B34" t="inlineStr">
        <is>
          <t>13:43</t>
        </is>
      </c>
      <c r="C34" t="inlineStr">
        <is>
          <t>MNQ</t>
        </is>
      </c>
      <c r="D34" t="inlineStr">
        <is>
          <t>Short</t>
        </is>
      </c>
      <c r="E34" t="n">
        <v>9.5</v>
      </c>
      <c r="F34" t="inlineStr">
        <is>
          <t>flat</t>
        </is>
      </c>
      <c r="G34" t="inlineStr">
        <is>
          <t>down</t>
        </is>
      </c>
      <c r="H34" t="inlineStr">
        <is>
          <t>down</t>
        </is>
      </c>
      <c r="I34" t="inlineStr">
        <is>
          <t>down</t>
        </is>
      </c>
      <c r="J34" t="n">
        <v>55.1</v>
      </c>
      <c r="K34" t="inlineStr">
        <is>
          <t>bear</t>
        </is>
      </c>
      <c r="L34" t="inlineStr">
        <is>
          <t>+</t>
        </is>
      </c>
      <c r="M34" t="n">
        <v>25.8</v>
      </c>
      <c r="N34" t="n">
        <v>35.07</v>
      </c>
      <c r="O34" t="n">
        <v>30770.1</v>
      </c>
      <c r="P34" t="inlineStr">
        <is>
          <t>below</t>
        </is>
      </c>
      <c r="Q34" t="n">
        <v>30739.94</v>
      </c>
      <c r="R34" t="n">
        <v>2.99</v>
      </c>
      <c r="S34" t="n">
        <v>-50596</v>
      </c>
      <c r="T34" t="n">
        <v>27</v>
      </c>
      <c r="U34" t="inlineStr">
        <is>
          <t>shallow</t>
        </is>
      </c>
      <c r="V34" t="inlineStr">
        <is>
          <t>No setup</t>
        </is>
      </c>
      <c r="W34" t="n">
        <v>0</v>
      </c>
      <c r="X34" t="inlineStr">
        <is>
          <t>Round</t>
        </is>
      </c>
      <c r="Y34" t="inlineStr">
        <is>
          <t>strong bullish close</t>
        </is>
      </c>
      <c r="Z34" t="n">
        <v>1.96</v>
      </c>
      <c r="AA34" t="inlineStr">
        <is>
          <t>Yes</t>
        </is>
      </c>
      <c r="AB34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8"/>
  </cols>
  <sheetData>
    <row r="1">
      <c r="A1" s="18" t="inlineStr">
        <is>
          <t>Date</t>
        </is>
      </c>
      <c r="B1" s="18" t="inlineStr">
        <is>
          <t>Time (ET)</t>
        </is>
      </c>
      <c r="C1" s="18" t="inlineStr">
        <is>
          <t>Currency</t>
        </is>
      </c>
      <c r="D1" s="18" t="inlineStr">
        <is>
          <t>Impact</t>
        </is>
      </c>
      <c r="E1" s="18" t="inlineStr">
        <is>
          <t>Event</t>
        </is>
      </c>
      <c r="F1" s="18" t="inlineStr">
        <is>
          <t>Actual</t>
        </is>
      </c>
      <c r="G1" s="18" t="inlineStr">
        <is>
          <t>Forecast</t>
        </is>
      </c>
      <c r="H1" s="18" t="inlineStr">
        <is>
          <t>Previous</t>
        </is>
      </c>
    </row>
    <row r="2">
      <c r="A2" t="inlineStr">
        <is>
          <t>2026-09-11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PPI</t>
        </is>
      </c>
      <c r="F2" t="inlineStr">
        <is>
          <t>0.2%</t>
        </is>
      </c>
      <c r="G2" t="inlineStr">
        <is>
          <t>0.3%</t>
        </is>
      </c>
      <c r="H2" t="inlineStr">
        <is>
          <t>0.3%</t>
        </is>
      </c>
    </row>
    <row r="3">
      <c r="A3" t="inlineStr">
        <is>
          <t>2026-09-12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CPI</t>
        </is>
      </c>
      <c r="F3" t="inlineStr">
        <is>
          <t>0.3%</t>
        </is>
      </c>
      <c r="G3" t="inlineStr">
        <is>
          <t>0.2%</t>
        </is>
      </c>
      <c r="H3" t="inlineStr">
        <is>
          <t>0.2%</t>
        </is>
      </c>
    </row>
    <row r="4">
      <c r="A4" t="inlineStr">
        <is>
          <t>2026-09-17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1.4%</t>
        </is>
      </c>
      <c r="G4" t="inlineStr">
        <is>
          <t>0.6%</t>
        </is>
      </c>
      <c r="H4" t="inlineStr">
        <is>
          <t>-0.2%</t>
        </is>
      </c>
    </row>
    <row r="5">
      <c r="A5" t="inlineStr">
        <is>
          <t>2026-09-17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Fed Rate Decision</t>
        </is>
      </c>
      <c r="F5" t="inlineStr">
        <is>
          <t>4.00%</t>
        </is>
      </c>
      <c r="G5" t="inlineStr">
        <is>
          <t>4.00%</t>
        </is>
      </c>
      <c r="H5" t="inlineStr">
        <is>
          <t>3.75%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7"/>
  </cols>
  <sheetData>
    <row r="1" ht="17.25" customHeight="1">
      <c r="A1" s="19" t="inlineStr">
        <is>
          <t>Overview</t>
        </is>
      </c>
    </row>
    <row r="2">
      <c r="A2" t="inlineStr">
        <is>
          <t>Generated</t>
        </is>
      </c>
      <c r="B2" t="inlineStr">
        <is>
          <t>2026-09-23 15:51</t>
        </is>
      </c>
    </row>
    <row r="3">
      <c r="A3" t="inlineStr">
        <is>
          <t>Date range</t>
        </is>
      </c>
      <c r="B3" t="inlineStr">
        <is>
          <t>2026-09-09 → 2026-09-23</t>
        </is>
      </c>
    </row>
    <row r="4">
      <c r="A4" t="inlineStr">
        <is>
          <t>Trades</t>
        </is>
      </c>
      <c r="B4" t="n">
        <v>33</v>
      </c>
    </row>
    <row r="5">
      <c r="A5" t="inlineStr">
        <is>
          <t>Win rate</t>
        </is>
      </c>
      <c r="B5" t="inlineStr">
        <is>
          <t>57.6%</t>
        </is>
      </c>
    </row>
    <row r="6">
      <c r="A6" t="inlineStr">
        <is>
          <t>Total P&amp;L</t>
        </is>
      </c>
      <c r="B6" t="n">
        <v>-779.9400000000001</v>
      </c>
    </row>
    <row r="7">
      <c r="A7" t="inlineStr">
        <is>
          <t>Profit factor</t>
        </is>
      </c>
      <c r="B7" t="n">
        <v>0.44</v>
      </c>
    </row>
    <row r="8">
      <c r="A8" t="inlineStr">
        <is>
          <t>Expectancy / trade</t>
        </is>
      </c>
      <c r="B8" t="n">
        <v>-23.63</v>
      </c>
    </row>
    <row r="9">
      <c r="A9" t="inlineStr">
        <is>
          <t>Avg win</t>
        </is>
      </c>
      <c r="B9" t="n">
        <v>31.71</v>
      </c>
    </row>
    <row r="10">
      <c r="A10" t="inlineStr">
        <is>
          <t>Avg loss</t>
        </is>
      </c>
      <c r="B10" t="n">
        <v>-98.75</v>
      </c>
    </row>
    <row r="11">
      <c r="A11" t="inlineStr">
        <is>
          <t>Avg RR targeted</t>
        </is>
      </c>
      <c r="B11" t="n">
        <v>0.87</v>
      </c>
    </row>
    <row r="12">
      <c r="A12" t="inlineStr">
        <is>
          <t>Avg RR realized</t>
        </is>
      </c>
      <c r="B12" t="n">
        <v>-0.22</v>
      </c>
    </row>
    <row r="13">
      <c r="A13" t="inlineStr">
        <is>
          <t>Max drawdown</t>
        </is>
      </c>
      <c r="B13" t="n">
        <v>-1139.94</v>
      </c>
    </row>
    <row r="14">
      <c r="A14" t="inlineStr">
        <is>
          <t>Max win streak</t>
        </is>
      </c>
      <c r="B14" t="n">
        <v>7</v>
      </c>
    </row>
    <row r="15">
      <c r="A15" t="inlineStr">
        <is>
          <t>Max loss streak</t>
        </is>
      </c>
      <c r="B15" t="n">
        <v>5</v>
      </c>
    </row>
    <row r="17" ht="17.25" customHeight="1">
      <c r="A17" s="19" t="inlineStr">
        <is>
          <t>By Setup</t>
        </is>
      </c>
    </row>
    <row r="18">
      <c r="A18" s="18" t="inlineStr">
        <is>
          <t>Setup</t>
        </is>
      </c>
      <c r="B18" s="18" t="inlineStr">
        <is>
          <t>Trades</t>
        </is>
      </c>
      <c r="C18" s="18" t="inlineStr">
        <is>
          <t>Win %</t>
        </is>
      </c>
      <c r="D18" s="18" t="inlineStr">
        <is>
          <t>Total P&amp;L</t>
        </is>
      </c>
      <c r="E18" s="18" t="inlineStr">
        <is>
          <t>Expectancy</t>
        </is>
      </c>
    </row>
    <row r="19">
      <c r="A19" t="inlineStr">
        <is>
          <t>Break and Retest</t>
        </is>
      </c>
      <c r="B19" t="n">
        <v>33</v>
      </c>
      <c r="C19" t="inlineStr">
        <is>
          <t>58%</t>
        </is>
      </c>
      <c r="D19" t="n">
        <v>-779.9400000000001</v>
      </c>
      <c r="E19" t="n">
        <v>-23.63</v>
      </c>
    </row>
    <row r="21" ht="17.25" customHeight="1">
      <c r="A21" s="19" t="inlineStr">
        <is>
          <t>By Instrument</t>
        </is>
      </c>
    </row>
    <row r="22">
      <c r="A22" s="18" t="inlineStr">
        <is>
          <t>Instrument</t>
        </is>
      </c>
      <c r="B22" s="18" t="inlineStr">
        <is>
          <t>Trades</t>
        </is>
      </c>
      <c r="C22" s="18" t="inlineStr">
        <is>
          <t>Win %</t>
        </is>
      </c>
      <c r="D22" s="18" t="inlineStr">
        <is>
          <t>Total P&amp;L</t>
        </is>
      </c>
      <c r="E22" s="18" t="inlineStr">
        <is>
          <t>Expectancy</t>
        </is>
      </c>
    </row>
    <row r="23">
      <c r="A23" t="inlineStr">
        <is>
          <t>MNQ</t>
        </is>
      </c>
      <c r="B23" t="n">
        <v>18</v>
      </c>
      <c r="C23" t="inlineStr">
        <is>
          <t>78%</t>
        </is>
      </c>
      <c r="D23" t="n">
        <v>219.06</v>
      </c>
      <c r="E23" t="n">
        <v>12.17</v>
      </c>
    </row>
    <row r="24">
      <c r="A24" t="inlineStr">
        <is>
          <t>MGC</t>
        </is>
      </c>
      <c r="B24" t="n">
        <v>15</v>
      </c>
      <c r="C24" t="inlineStr">
        <is>
          <t>33%</t>
        </is>
      </c>
      <c r="D24" t="n">
        <v>-999</v>
      </c>
      <c r="E24" t="n">
        <v>-66.59999999999999</v>
      </c>
    </row>
    <row r="26" ht="17.25" customHeight="1">
      <c r="A26" s="19" t="inlineStr">
        <is>
          <t>By Direction</t>
        </is>
      </c>
    </row>
    <row r="27">
      <c r="A27" s="18" t="inlineStr">
        <is>
          <t>Direction</t>
        </is>
      </c>
      <c r="B27" s="18" t="inlineStr">
        <is>
          <t>Trades</t>
        </is>
      </c>
      <c r="C27" s="18" t="inlineStr">
        <is>
          <t>Win %</t>
        </is>
      </c>
      <c r="D27" s="18" t="inlineStr">
        <is>
          <t>Total P&amp;L</t>
        </is>
      </c>
      <c r="E27" s="18" t="inlineStr">
        <is>
          <t>Expectancy</t>
        </is>
      </c>
    </row>
    <row r="28">
      <c r="A28" t="inlineStr">
        <is>
          <t>Short</t>
        </is>
      </c>
      <c r="B28" t="n">
        <v>19</v>
      </c>
      <c r="C28" t="inlineStr">
        <is>
          <t>68%</t>
        </is>
      </c>
      <c r="D28" t="n">
        <v>-38</v>
      </c>
      <c r="E28" t="n">
        <v>-2</v>
      </c>
    </row>
    <row r="29">
      <c r="A29" t="inlineStr">
        <is>
          <t>Long</t>
        </is>
      </c>
      <c r="B29" t="n">
        <v>14</v>
      </c>
      <c r="C29" t="inlineStr">
        <is>
          <t>43%</t>
        </is>
      </c>
      <c r="D29" t="n">
        <v>-741.9400000000001</v>
      </c>
      <c r="E29" t="n">
        <v>-53</v>
      </c>
    </row>
    <row r="31" ht="17.25" customHeight="1">
      <c r="A31" s="19" t="inlineStr">
        <is>
          <t>By Hour</t>
        </is>
      </c>
    </row>
    <row r="32">
      <c r="A32" s="18" t="inlineStr">
        <is>
          <t>Hour</t>
        </is>
      </c>
      <c r="B32" s="18" t="inlineStr">
        <is>
          <t>Trades</t>
        </is>
      </c>
      <c r="C32" s="18" t="inlineStr">
        <is>
          <t>Win %</t>
        </is>
      </c>
      <c r="D32" s="18" t="inlineStr">
        <is>
          <t>Total P&amp;L</t>
        </is>
      </c>
      <c r="E32" s="18" t="inlineStr">
        <is>
          <t>Expectancy</t>
        </is>
      </c>
    </row>
    <row r="33">
      <c r="A33" t="inlineStr">
        <is>
          <t>08:00</t>
        </is>
      </c>
      <c r="B33" t="n">
        <v>2</v>
      </c>
      <c r="C33" t="inlineStr">
        <is>
          <t>50%</t>
        </is>
      </c>
      <c r="D33" t="n">
        <v>-31</v>
      </c>
      <c r="E33" t="n">
        <v>-15.5</v>
      </c>
    </row>
    <row r="34">
      <c r="A34" t="inlineStr">
        <is>
          <t>10:00</t>
        </is>
      </c>
      <c r="B34" t="n">
        <v>5</v>
      </c>
      <c r="C34" t="inlineStr">
        <is>
          <t>80%</t>
        </is>
      </c>
      <c r="D34" t="n">
        <v>90</v>
      </c>
      <c r="E34" t="n">
        <v>18</v>
      </c>
    </row>
    <row r="35">
      <c r="A35" t="inlineStr">
        <is>
          <t>11:00</t>
        </is>
      </c>
      <c r="B35" t="n">
        <v>3</v>
      </c>
      <c r="C35" t="inlineStr">
        <is>
          <t>100%</t>
        </is>
      </c>
      <c r="D35" t="n">
        <v>202.5</v>
      </c>
      <c r="E35" t="n">
        <v>67.5</v>
      </c>
    </row>
    <row r="36">
      <c r="A36" t="inlineStr">
        <is>
          <t>13:00</t>
        </is>
      </c>
      <c r="B36" t="n">
        <v>3</v>
      </c>
      <c r="C36" t="inlineStr">
        <is>
          <t>100%</t>
        </is>
      </c>
      <c r="D36" t="n">
        <v>42.5</v>
      </c>
      <c r="E36" t="n">
        <v>14.17</v>
      </c>
    </row>
    <row r="37">
      <c r="A37" t="inlineStr">
        <is>
          <t>14:00</t>
        </is>
      </c>
      <c r="B37" t="n">
        <v>1</v>
      </c>
      <c r="C37" t="inlineStr">
        <is>
          <t>0%</t>
        </is>
      </c>
      <c r="D37" t="n">
        <v>-406</v>
      </c>
      <c r="E37" t="n">
        <v>-406</v>
      </c>
    </row>
    <row r="38">
      <c r="A38" t="inlineStr">
        <is>
          <t>15:00</t>
        </is>
      </c>
      <c r="B38" t="n">
        <v>4</v>
      </c>
      <c r="C38" t="inlineStr">
        <is>
          <t>50%</t>
        </is>
      </c>
      <c r="D38" t="n">
        <v>-36</v>
      </c>
      <c r="E38" t="n">
        <v>-9</v>
      </c>
    </row>
    <row r="39">
      <c r="A39" t="inlineStr">
        <is>
          <t>20:00</t>
        </is>
      </c>
      <c r="B39" t="n">
        <v>1</v>
      </c>
      <c r="C39" t="inlineStr">
        <is>
          <t>0%</t>
        </is>
      </c>
      <c r="D39" t="n">
        <v>-100</v>
      </c>
      <c r="E39" t="n">
        <v>-100</v>
      </c>
    </row>
    <row r="40">
      <c r="A40" t="inlineStr">
        <is>
          <t>21:00</t>
        </is>
      </c>
      <c r="B40" t="n">
        <v>2</v>
      </c>
      <c r="C40" t="inlineStr">
        <is>
          <t>0%</t>
        </is>
      </c>
      <c r="D40" t="n">
        <v>-175.94</v>
      </c>
      <c r="E40" t="n">
        <v>-87.97</v>
      </c>
    </row>
    <row r="41">
      <c r="A41" t="inlineStr">
        <is>
          <t>22:00</t>
        </is>
      </c>
      <c r="B41" t="n">
        <v>6</v>
      </c>
      <c r="C41" t="inlineStr">
        <is>
          <t>17%</t>
        </is>
      </c>
      <c r="D41" t="n">
        <v>-387</v>
      </c>
      <c r="E41" t="n">
        <v>-64.5</v>
      </c>
    </row>
    <row r="42">
      <c r="A42" t="inlineStr">
        <is>
          <t>23:00</t>
        </is>
      </c>
      <c r="B42" t="n">
        <v>6</v>
      </c>
      <c r="C42" t="inlineStr">
        <is>
          <t>83%</t>
        </is>
      </c>
      <c r="D42" t="n">
        <v>21</v>
      </c>
      <c r="E42" t="n">
        <v>3.5</v>
      </c>
    </row>
    <row r="44" ht="17.25" customHeight="1">
      <c r="A44" s="19" t="inlineStr">
        <is>
          <t>By Day of Week</t>
        </is>
      </c>
    </row>
    <row r="45">
      <c r="A45" s="18" t="inlineStr">
        <is>
          <t>Day</t>
        </is>
      </c>
      <c r="B45" s="18" t="inlineStr">
        <is>
          <t>Trades</t>
        </is>
      </c>
      <c r="C45" s="18" t="inlineStr">
        <is>
          <t>Win %</t>
        </is>
      </c>
      <c r="D45" s="18" t="inlineStr">
        <is>
          <t>Total P&amp;L</t>
        </is>
      </c>
      <c r="E45" s="18" t="inlineStr">
        <is>
          <t>Expectancy</t>
        </is>
      </c>
    </row>
    <row r="46">
      <c r="A46" t="inlineStr">
        <is>
          <t>Wed</t>
        </is>
      </c>
      <c r="B46" t="n">
        <v>26</v>
      </c>
      <c r="C46" t="inlineStr">
        <is>
          <t>65%</t>
        </is>
      </c>
      <c r="D46" t="n">
        <v>-87</v>
      </c>
      <c r="E46" t="n">
        <v>-3.35</v>
      </c>
    </row>
    <row r="47">
      <c r="A47" t="inlineStr">
        <is>
          <t>Thu</t>
        </is>
      </c>
      <c r="B47" t="n">
        <v>7</v>
      </c>
      <c r="C47" t="inlineStr">
        <is>
          <t>29%</t>
        </is>
      </c>
      <c r="D47" t="n">
        <v>-692.9400000000001</v>
      </c>
      <c r="E47" t="n">
        <v>-98.98999999999999</v>
      </c>
    </row>
    <row r="49" ht="17.25" customHeight="1">
      <c r="A49" s="19" t="inlineStr">
        <is>
          <t>Behavior Flags</t>
        </is>
      </c>
    </row>
    <row r="50">
      <c r="A50" t="inlineStr">
        <is>
          <t>Overtrading</t>
        </is>
      </c>
      <c r="B50" t="inlineStr">
        <is>
          <t>17 trades on 2026-09-09 (&gt; 6)</t>
        </is>
      </c>
    </row>
    <row r="51">
      <c r="A51" t="inlineStr">
        <is>
          <t>Overtrading</t>
        </is>
      </c>
      <c r="B51" t="inlineStr">
        <is>
          <t>7 trades on 2026-09-10 (&gt; 6)</t>
        </is>
      </c>
    </row>
    <row r="52">
      <c r="A52" t="inlineStr">
        <is>
          <t>Overtrading</t>
        </is>
      </c>
      <c r="B52" t="inlineStr">
        <is>
          <t>9 trades on 2026-09-23 (&gt; 6)</t>
        </is>
      </c>
    </row>
    <row r="53">
      <c r="A53" t="inlineStr">
        <is>
          <t>Possible revenge trade</t>
        </is>
      </c>
      <c r="B53" t="inlineStr">
        <is>
          <t>MGC Long at 09/09 15:07 — 7 min after a loss, size 1</t>
        </is>
      </c>
    </row>
    <row r="54">
      <c r="A54" t="inlineStr">
        <is>
          <t>Possible revenge trade</t>
        </is>
      </c>
      <c r="B54" t="inlineStr">
        <is>
          <t>MGC Long at 09/09 22:42 — 6 min after a loss, size 2</t>
        </is>
      </c>
    </row>
    <row r="55">
      <c r="A55" t="inlineStr">
        <is>
          <t>Possible revenge trade</t>
        </is>
      </c>
      <c r="B55" t="inlineStr">
        <is>
          <t>MGC Short at 09/09 22:46 — 4 min after a loss, size 2</t>
        </is>
      </c>
    </row>
    <row r="56">
      <c r="A56" t="inlineStr">
        <is>
          <t>Possible revenge trade</t>
        </is>
      </c>
      <c r="B56" t="inlineStr">
        <is>
          <t>MGC Short at 09/09 22:51 — 5 min after a loss, size 2</t>
        </is>
      </c>
    </row>
    <row r="57">
      <c r="A57" t="inlineStr">
        <is>
          <t>Possible revenge trade</t>
        </is>
      </c>
      <c r="B57" t="inlineStr">
        <is>
          <t>MGC Long at 09/09 22:53 — 2 min after a loss, size 2</t>
        </is>
      </c>
    </row>
    <row r="58">
      <c r="A58" t="inlineStr">
        <is>
          <t>Possible revenge trade</t>
        </is>
      </c>
      <c r="B58" t="inlineStr">
        <is>
          <t>MNQ Long at 09/09 23:31 — 1 min after a loss, size 2</t>
        </is>
      </c>
    </row>
    <row r="59">
      <c r="A59" t="inlineStr">
        <is>
          <t>Possible revenge trade</t>
        </is>
      </c>
      <c r="B59" t="inlineStr">
        <is>
          <t>MGC Short at 09/10 08:55 — 4 min after a loss, size 1</t>
        </is>
      </c>
    </row>
    <row r="60">
      <c r="A60" t="inlineStr">
        <is>
          <t>Possible revenge trade</t>
        </is>
      </c>
      <c r="B60" t="inlineStr">
        <is>
          <t>MNQ Long at 09/10 21:04 — 2 min after a loss, size 9</t>
        </is>
      </c>
    </row>
    <row r="61">
      <c r="A61" t="inlineStr">
        <is>
          <t>Possible revenge trade</t>
        </is>
      </c>
      <c r="B61" t="inlineStr">
        <is>
          <t>MGC Long at 09/23 10:32 — 11 min after a loss, size 3</t>
        </is>
      </c>
    </row>
    <row r="62">
      <c r="A62" t="inlineStr">
        <is>
          <t>Winner cut short</t>
        </is>
      </c>
      <c r="B62" t="inlineStr">
        <is>
          <t>MGC 09/09 15:07 took 0.02R of 2.00R target</t>
        </is>
      </c>
    </row>
    <row r="63">
      <c r="A63" t="inlineStr">
        <is>
          <t>Winner cut short</t>
        </is>
      </c>
      <c r="B63" t="inlineStr">
        <is>
          <t>MGC 09/10 08:55 took 0.44R of 1.64R target</t>
        </is>
      </c>
    </row>
    <row r="64">
      <c r="A64" t="inlineStr">
        <is>
          <t>Winner cut short</t>
        </is>
      </c>
      <c r="B64" t="inlineStr">
        <is>
          <t>MNQ 09/23 11:06 took 0.24R of 0.74R target</t>
        </is>
      </c>
    </row>
    <row r="65">
      <c r="A65" t="inlineStr">
        <is>
          <t>Inconsistent sizing</t>
        </is>
      </c>
      <c r="B65" t="inlineStr">
        <is>
          <t>Position size varies a lot (CV 0.81)</t>
        </is>
      </c>
    </row>
    <row r="66">
      <c r="A66" t="inlineStr">
        <is>
          <t>Negative-edge setup</t>
        </is>
      </c>
      <c r="B66" t="inlineStr">
        <is>
          <t>Break and Retest: 33 trades, 58% win, $-780 total</t>
        </is>
      </c>
    </row>
    <row r="67">
      <c r="A67" t="inlineStr">
        <is>
          <t>Negative-edge instrument</t>
        </is>
      </c>
      <c r="B67" t="inlineStr">
        <is>
          <t>MGC: 15 trades, 33% win, $-999 total</t>
        </is>
      </c>
    </row>
    <row r="68">
      <c r="A68" t="inlineStr">
        <is>
          <t>Negative-edge hour</t>
        </is>
      </c>
      <c r="B68" t="inlineStr">
        <is>
          <t>15:00: 4 trades, 50% win, $-36 total</t>
        </is>
      </c>
    </row>
    <row r="69">
      <c r="A69" t="inlineStr">
        <is>
          <t>Negative-edge hour</t>
        </is>
      </c>
      <c r="B69" t="inlineStr">
        <is>
          <t>22:00: 6 trades, 17% win, $-387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17.25" customHeight="1">
      <c r="A1" s="19" t="inlineStr">
        <is>
          <t>Claude AI Coaching</t>
        </is>
      </c>
    </row>
    <row r="3">
      <c r="A3" s="12" t="inlineStr">
        <is>
          <t>[AI skipped — no Claude backend available]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2026-08-17T16:33:06Z</dcterms:created>
  <dcterms:modified xsi:type="dcterms:W3CDTF">2026-09-23T19:55:04Z</dcterms:modified>
  <cp:lastModifiedBy>Basit, Abdul (DTMB-Contractor)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3a2fed65-62e7-46ea-af74-187e0c17143a_Enabled" fmtid="{D5CDD505-2E9C-101B-9397-08002B2CF9AE}" pid="2">
    <vt:lpwstr>true</vt:lpwstr>
  </property>
  <property name="MSIP_Label_3a2fed65-62e7-46ea-af74-187e0c17143a_SetDate" fmtid="{D5CDD505-2E9C-101B-9397-08002B2CF9AE}" pid="3">
    <vt:lpwstr>2026-09-23T19:52:22Z</vt:lpwstr>
  </property>
  <property name="MSIP_Label_3a2fed65-62e7-46ea-af74-187e0c17143a_Method" fmtid="{D5CDD505-2E9C-101B-9397-08002B2CF9AE}" pid="4">
    <vt:lpwstr>Privileged</vt:lpwstr>
  </property>
  <property name="MSIP_Label_3a2fed65-62e7-46ea-af74-187e0c17143a_Name" fmtid="{D5CDD505-2E9C-101B-9397-08002B2CF9AE}" pid="5">
    <vt:lpwstr>3a2fed65-62e7-46ea-af74-187e0c17143a</vt:lpwstr>
  </property>
  <property name="MSIP_Label_3a2fed65-62e7-46ea-af74-187e0c17143a_SiteId" fmtid="{D5CDD505-2E9C-101B-9397-08002B2CF9AE}" pid="6">
    <vt:lpwstr>d5fb7087-3777-42ad-966a-892ef47225d1</vt:lpwstr>
  </property>
  <property name="MSIP_Label_3a2fed65-62e7-46ea-af74-187e0c17143a_ActionId" fmtid="{D5CDD505-2E9C-101B-9397-08002B2CF9AE}" pid="7">
    <vt:lpwstr>64e8c346-6b4c-472e-aeba-838669fb937b</vt:lpwstr>
  </property>
  <property name="MSIP_Label_3a2fed65-62e7-46ea-af74-187e0c17143a_ContentBits" fmtid="{D5CDD505-2E9C-101B-9397-08002B2CF9AE}" pid="8">
    <vt:lpwstr>0</vt:lpwstr>
  </property>
  <property name="MSIP_Label_3a2fed65-62e7-46ea-af74-187e0c17143a_Tag" fmtid="{D5CDD505-2E9C-101B-9397-08002B2CF9AE}" pid="9">
    <vt:lpwstr>10, 0, 1, 1</vt:lpwstr>
  </property>
</Properties>
</file>