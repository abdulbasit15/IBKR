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Indicators" sheetId="7" state="visible" r:id="rId7"/>
    <sheet xmlns:r="http://schemas.openxmlformats.org/officeDocument/2006/relationships" name="Economic New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>
        <is>
          <t>Overtraded</t>
        </is>
      </c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>
        <is>
          <t>Cut winner early</t>
        </is>
      </c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>
        <v>91</v>
      </c>
      <c r="B86" s="22" t="n">
        <v>46265</v>
      </c>
      <c r="C86" s="10" t="n">
        <v>0.007673611111111111</v>
      </c>
      <c r="D86" s="5" t="inlineStr">
        <is>
          <t>MGC</t>
        </is>
      </c>
      <c r="E86" s="5" t="inlineStr">
        <is>
          <t>Long</t>
        </is>
      </c>
      <c r="F86" s="5" t="n">
        <v>4466.7</v>
      </c>
      <c r="G86" s="5" t="n">
        <v>4468.233333</v>
      </c>
      <c r="H86" s="5" t="n">
        <v>3</v>
      </c>
      <c r="I86" s="5" t="n"/>
      <c r="J86" s="5" t="n">
        <v>4469</v>
      </c>
      <c r="K86" s="8">
        <f>IF(AND(I86&lt;&gt;"",J86&lt;&gt;"",F86&lt;&gt;""), (J86-F86)/(F86-I86), "")</f>
        <v/>
      </c>
      <c r="L86" s="8">
        <f>IF(AND(F86&lt;&gt;"",G86&lt;&gt;"",I86&lt;&gt;""), (G86-F86)/(F86-I86), "")</f>
        <v/>
      </c>
      <c r="M86" s="5">
        <f>IF(N86&gt;0,"Win",IF(N86&lt;0,"Loss",""))</f>
        <v/>
      </c>
      <c r="N86" s="16">
        <f>IF(AND(F86&lt;&gt;"",G86&lt;&gt;"",H86&lt;&gt;"",D86&lt;&gt;""), IF(E86="Long", (G86-F86)*H86*VLOOKUP(D86,Multipliers!A:B,2,FALSE), (F86-G86)*H86*VLOOKUP(D86,Multipliers!A:B,2,FALSE)), "")</f>
        <v/>
      </c>
      <c r="O86" s="9">
        <f>IF(AND(N86&lt;&gt;"",F86&lt;&gt;"",H86&lt;&gt;"",D86&lt;&gt;""), N86/(F86*H86*VLOOKUP(D86,Multipliers!A:B,2,FALSE)), "")</f>
        <v/>
      </c>
      <c r="P86" s="5">
        <f>P85+N86</f>
        <v/>
      </c>
      <c r="Q86" s="5" t="inlineStr">
        <is>
          <t>Break and Retest</t>
        </is>
      </c>
      <c r="R86" s="5" t="inlineStr">
        <is>
          <t>Imported from Tradovate</t>
        </is>
      </c>
      <c r="S86" s="5" t="inlineStr">
        <is>
          <t>MGC</t>
        </is>
      </c>
      <c r="T86" s="5" t="n"/>
      <c r="U86" s="5" t="n"/>
      <c r="V86" s="5" t="inlineStr">
        <is>
          <t>Overtraded</t>
        </is>
      </c>
      <c r="W86" s="5" t="n"/>
      <c r="X86" s="5" t="n"/>
      <c r="Y86" s="5" t="n"/>
      <c r="Z86" s="5" t="n"/>
      <c r="AA86" s="5" t="n"/>
    </row>
    <row r="87" ht="15.75" customHeight="1">
      <c r="A87" s="5" t="n">
        <v>93</v>
      </c>
      <c r="B87" s="22" t="n">
        <v>46265</v>
      </c>
      <c r="C87" s="10" t="n">
        <v>0.4046875</v>
      </c>
      <c r="D87" s="5" t="inlineStr">
        <is>
          <t>MNQ</t>
        </is>
      </c>
      <c r="E87" s="5" t="inlineStr">
        <is>
          <t>Short</t>
        </is>
      </c>
      <c r="F87" s="5" t="n">
        <v>29429</v>
      </c>
      <c r="G87" s="5" t="n">
        <v>29395.5</v>
      </c>
      <c r="H87" s="5" t="n">
        <v>2</v>
      </c>
      <c r="I87" s="5" t="n">
        <v>29454</v>
      </c>
      <c r="J87" s="5" t="n">
        <v>29395.5</v>
      </c>
      <c r="K87" s="8">
        <f>IF(AND(I88&lt;&gt;"",J88&lt;&gt;"",F88&lt;&gt;""), (J88-F88)/(F88-I88), "")</f>
        <v/>
      </c>
      <c r="L87" s="8">
        <f>IF(AND(F88&lt;&gt;"",G88&lt;&gt;"",I88&lt;&gt;""), (G88-F88)/(F88-I88), "")</f>
        <v/>
      </c>
      <c r="M87" s="5">
        <f>IF(N88&gt;0,"Win",IF(N88&lt;0,"Loss",""))</f>
        <v/>
      </c>
      <c r="N87" s="16">
        <f>IF(AND(F88&lt;&gt;"",G88&lt;&gt;"",H88&lt;&gt;"",D88&lt;&gt;""), IF(E88="Long", (G88-F88)*H88*VLOOKUP(D88,Multipliers!A:B,2,FALSE), (F88-G88)*H88*VLOOKUP(D88,Multipliers!A:B,2,FALSE)), "")</f>
        <v/>
      </c>
      <c r="O87" s="9">
        <f>IF(AND(N88&lt;&gt;"",F88&lt;&gt;"",H88&lt;&gt;"",D88&lt;&gt;""), N88/(F88*H88*VLOOKUP(D88,Multipliers!A:B,2,FALSE)), "")</f>
        <v/>
      </c>
      <c r="P87" s="5">
        <f>P86+N87</f>
        <v/>
      </c>
      <c r="Q87" s="5" t="inlineStr">
        <is>
          <t>Break and Retest</t>
        </is>
      </c>
      <c r="R87" s="5" t="inlineStr">
        <is>
          <t>Imported from Tradovate</t>
        </is>
      </c>
      <c r="S87" s="11" t="inlineStr">
        <is>
          <t>MNQ</t>
        </is>
      </c>
      <c r="T87" s="11" t="n"/>
      <c r="U87" s="5" t="n"/>
      <c r="V87" s="5" t="inlineStr">
        <is>
          <t>Overtraded</t>
        </is>
      </c>
      <c r="W87" s="5" t="n"/>
      <c r="X87" s="5" t="n"/>
      <c r="Y87" s="5" t="n"/>
      <c r="Z87" s="5" t="n"/>
      <c r="AA87" s="5" t="n"/>
    </row>
    <row r="88" ht="15.75" customHeight="1">
      <c r="A88" s="5" t="n">
        <v>94</v>
      </c>
      <c r="B88" s="22" t="n">
        <v>46265</v>
      </c>
      <c r="C88" s="10" t="n">
        <v>0.4141898148148148</v>
      </c>
      <c r="D88" s="5" t="inlineStr">
        <is>
          <t>MNQ</t>
        </is>
      </c>
      <c r="E88" s="5" t="inlineStr">
        <is>
          <t>Long</t>
        </is>
      </c>
      <c r="F88" s="5" t="n">
        <v>29460.75</v>
      </c>
      <c r="G88" s="5" t="n">
        <v>29439.25</v>
      </c>
      <c r="H88" s="5" t="n">
        <v>3</v>
      </c>
      <c r="I88" s="5" t="n">
        <v>29439.25</v>
      </c>
      <c r="J88" s="5" t="n">
        <v>29468</v>
      </c>
      <c r="K88" s="8">
        <f>IF(AND(I89&lt;&gt;"",J89&lt;&gt;"",F89&lt;&gt;""), (J89-F89)/(F89-I89), "")</f>
        <v/>
      </c>
      <c r="L88" s="8">
        <f>IF(AND(F89&lt;&gt;"",G89&lt;&gt;"",I89&lt;&gt;""), (G89-F89)/(F89-I89), "")</f>
        <v/>
      </c>
      <c r="M88" s="5">
        <f>IF(N89&gt;0,"Win",IF(N89&lt;0,"Loss",""))</f>
        <v/>
      </c>
      <c r="N88" s="16">
        <f>IF(AND(F89&lt;&gt;"",G89&lt;&gt;"",H89&lt;&gt;"",D89&lt;&gt;""), IF(E89="Long", (G89-F89)*H89*VLOOKUP(D89,Multipliers!A:B,2,FALSE), (F89-G89)*H89*VLOOKUP(D89,Multipliers!A:B,2,FALSE)), "")</f>
        <v/>
      </c>
      <c r="O88" s="9">
        <f>IF(AND(N89&lt;&gt;"",F89&lt;&gt;"",H89&lt;&gt;"",D89&lt;&gt;""), N89/(F89*H89*VLOOKUP(D89,Multipliers!A:B,2,FALSE)), "")</f>
        <v/>
      </c>
      <c r="P88" s="5">
        <f>P87+N88</f>
        <v/>
      </c>
      <c r="Q88" s="5" t="inlineStr">
        <is>
          <t>Break and Retest</t>
        </is>
      </c>
      <c r="R88" s="5" t="inlineStr">
        <is>
          <t>Imported from Tradovate</t>
        </is>
      </c>
      <c r="S88" s="5" t="inlineStr">
        <is>
          <t>MNQ</t>
        </is>
      </c>
      <c r="T88" s="5" t="n"/>
      <c r="U88" s="5" t="n"/>
      <c r="V88" s="5" t="inlineStr">
        <is>
          <t>Overtraded</t>
        </is>
      </c>
      <c r="W88" s="5" t="n"/>
      <c r="X88" s="5" t="n"/>
      <c r="Y88" s="5" t="n"/>
      <c r="Z88" s="5" t="n"/>
      <c r="AA88" s="5" t="n"/>
    </row>
    <row r="89" ht="15.75" customHeight="1">
      <c r="A89" s="5" t="n">
        <v>96</v>
      </c>
      <c r="B89" s="22" t="n">
        <v>46265</v>
      </c>
      <c r="C89" s="10" t="n">
        <v>0.4248032407407407</v>
      </c>
      <c r="D89" s="5" t="inlineStr">
        <is>
          <t>MNQ</t>
        </is>
      </c>
      <c r="E89" s="5" t="inlineStr">
        <is>
          <t>Short</t>
        </is>
      </c>
      <c r="F89" s="5" t="n">
        <v>29395</v>
      </c>
      <c r="G89" s="5" t="n">
        <v>29415</v>
      </c>
      <c r="H89" s="5" t="n">
        <v>3</v>
      </c>
      <c r="I89" s="5" t="n">
        <v>29415</v>
      </c>
      <c r="J89" s="5" t="n">
        <v>29394</v>
      </c>
      <c r="K89" s="8">
        <f>IF(AND(I91&lt;&gt;"",J91&lt;&gt;"",F91&lt;&gt;""), (J91-F91)/(F91-I91), "")</f>
        <v/>
      </c>
      <c r="L89" s="8">
        <f>IF(AND(F91&lt;&gt;"",G91&lt;&gt;"",I91&lt;&gt;""), (G91-F91)/(F91-I91), "")</f>
        <v/>
      </c>
      <c r="M89" s="5">
        <f>IF(N91&gt;0,"Win",IF(N91&lt;0,"Loss",""))</f>
        <v/>
      </c>
      <c r="N89" s="16">
        <f>IF(AND(F91&lt;&gt;"",G91&lt;&gt;"",H91&lt;&gt;"",D91&lt;&gt;""), IF(E91="Long", (G91-F91)*H91*VLOOKUP(D91,Multipliers!A:B,2,FALSE), (F91-G91)*H91*VLOOKUP(D91,Multipliers!A:B,2,FALSE)), "")</f>
        <v/>
      </c>
      <c r="O89" s="9">
        <f>IF(AND(N91&lt;&gt;"",F91&lt;&gt;"",H91&lt;&gt;"",D91&lt;&gt;""), N91/(F91*H91*VLOOKUP(D91,Multipliers!A:B,2,FALSE)), "")</f>
        <v/>
      </c>
      <c r="P89" s="5">
        <f>P88+N89</f>
        <v/>
      </c>
      <c r="Q89" s="5" t="inlineStr">
        <is>
          <t>Break and Retest</t>
        </is>
      </c>
      <c r="R89" s="5" t="inlineStr">
        <is>
          <t>Imported from Tradovate</t>
        </is>
      </c>
      <c r="S89" s="5" t="inlineStr">
        <is>
          <t>MNQ</t>
        </is>
      </c>
      <c r="T89" s="5" t="n"/>
      <c r="U89" s="5" t="n"/>
      <c r="V89" s="5" t="inlineStr">
        <is>
          <t>Revenge trade, Overtraded</t>
        </is>
      </c>
      <c r="W89" s="5" t="n"/>
      <c r="X89" s="5" t="n"/>
      <c r="Y89" s="5" t="n"/>
      <c r="Z89" s="5" t="n"/>
      <c r="AA89" s="5" t="n"/>
    </row>
    <row r="90" ht="15.75" customHeight="1">
      <c r="A90" s="5" t="n">
        <v>97</v>
      </c>
      <c r="B90" s="22" t="n">
        <v>46265</v>
      </c>
      <c r="C90" s="10" t="n">
        <v>0.4452083333333333</v>
      </c>
      <c r="D90" s="5" t="inlineStr">
        <is>
          <t>MNQ</t>
        </is>
      </c>
      <c r="E90" s="5" t="inlineStr">
        <is>
          <t>Long</t>
        </is>
      </c>
      <c r="F90" s="5" t="n">
        <v>29410</v>
      </c>
      <c r="G90" s="5" t="n">
        <v>29435</v>
      </c>
      <c r="H90" s="5" t="n">
        <v>5</v>
      </c>
      <c r="I90" s="5" t="n">
        <v>29400</v>
      </c>
      <c r="J90" s="5" t="n">
        <v>29435</v>
      </c>
      <c r="K90" s="8">
        <f>IF(AND(I92&lt;&gt;"",J92&lt;&gt;"",F92&lt;&gt;""), (J92-F92)/(F92-I92), "")</f>
        <v/>
      </c>
      <c r="L90" s="8">
        <f>IF(AND(F92&lt;&gt;"",G92&lt;&gt;"",I92&lt;&gt;""), (G92-F92)/(F92-I92), "")</f>
        <v/>
      </c>
      <c r="M90" s="5">
        <f>IF(N92&gt;0,"Win",IF(N92&lt;0,"Loss",""))</f>
        <v/>
      </c>
      <c r="N90" s="16">
        <f>IF(AND(F92&lt;&gt;"",G92&lt;&gt;"",H92&lt;&gt;"",D92&lt;&gt;""), IF(E92="Long", (G92-F92)*H92*VLOOKUP(D92,Multipliers!A:B,2,FALSE), (F92-G92)*H92*VLOOKUP(D92,Multipliers!A:B,2,FALSE)), "")</f>
        <v/>
      </c>
      <c r="O90" s="9">
        <f>IF(AND(N92&lt;&gt;"",F92&lt;&gt;"",H92&lt;&gt;"",D92&lt;&gt;""), N92/(F92*H92*VLOOKUP(D92,Multipliers!A:B,2,FALSE)), "")</f>
        <v/>
      </c>
      <c r="P90" s="5">
        <f>P89+N90</f>
        <v/>
      </c>
      <c r="Q90" s="5" t="inlineStr">
        <is>
          <t>Break and Retest</t>
        </is>
      </c>
      <c r="R90" s="5" t="inlineStr">
        <is>
          <t>Imported from Tradovate</t>
        </is>
      </c>
      <c r="S90" s="5" t="inlineStr">
        <is>
          <t>MNQ</t>
        </is>
      </c>
      <c r="T90" s="5" t="n"/>
      <c r="U90" s="5" t="n"/>
      <c r="V90" s="5" t="inlineStr">
        <is>
          <t>Overtraded</t>
        </is>
      </c>
      <c r="W90" s="5" t="n"/>
      <c r="X90" s="5" t="n"/>
      <c r="Y90" s="5" t="n"/>
      <c r="Z90" s="5" t="n"/>
      <c r="AA90" s="5" t="n"/>
    </row>
    <row r="91" ht="15.75" customHeight="1">
      <c r="A91" s="5" t="n">
        <v>98</v>
      </c>
      <c r="B91" s="22" t="n">
        <v>46265</v>
      </c>
      <c r="C91" s="10" t="n">
        <v>0.4496643518518518</v>
      </c>
      <c r="D91" s="5" t="inlineStr">
        <is>
          <t>MNQ</t>
        </is>
      </c>
      <c r="E91" s="5" t="inlineStr">
        <is>
          <t>Long</t>
        </is>
      </c>
      <c r="F91" s="5" t="n">
        <v>29408.5</v>
      </c>
      <c r="G91" s="5" t="n">
        <v>29399.75</v>
      </c>
      <c r="H91" s="5" t="n">
        <v>5</v>
      </c>
      <c r="I91" s="5" t="n">
        <v>29392.75</v>
      </c>
      <c r="J91" s="5" t="n">
        <v>29443.25</v>
      </c>
      <c r="K91" s="8">
        <f>IF(AND(I93&lt;&gt;"",J93&lt;&gt;"",F93&lt;&gt;""), (J93-F93)/(F93-I93), "")</f>
        <v/>
      </c>
      <c r="L91" s="8">
        <f>IF(AND(F93&lt;&gt;"",G93&lt;&gt;"",I93&lt;&gt;""), (G93-F93)/(F93-I93), "")</f>
        <v/>
      </c>
      <c r="M91" s="5">
        <f>IF(N93&gt;0,"Win",IF(N93&lt;0,"Loss",""))</f>
        <v/>
      </c>
      <c r="N91" s="16">
        <f>IF(AND(F93&lt;&gt;"",G93&lt;&gt;"",H93&lt;&gt;"",D93&lt;&gt;""), IF(E93="Long", (G93-F93)*H93*VLOOKUP(D93,Multipliers!A:B,2,FALSE), (F93-G93)*H93*VLOOKUP(D93,Multipliers!A:B,2,FALSE)), "")</f>
        <v/>
      </c>
      <c r="O91" s="9">
        <f>IF(AND(N93&lt;&gt;"",F93&lt;&gt;"",H93&lt;&gt;"",D93&lt;&gt;""), N93/(F93*H93*VLOOKUP(D93,Multipliers!A:B,2,FALSE)), "")</f>
        <v/>
      </c>
      <c r="P91" s="5">
        <f>P90+N91</f>
        <v/>
      </c>
      <c r="Q91" s="5" t="inlineStr">
        <is>
          <t>Break and Retest</t>
        </is>
      </c>
      <c r="R91" s="5" t="inlineStr">
        <is>
          <t>Imported from Tradovate</t>
        </is>
      </c>
      <c r="S91" s="5" t="inlineStr">
        <is>
          <t>MNQ</t>
        </is>
      </c>
      <c r="T91" s="5" t="n"/>
      <c r="U91" s="5" t="n"/>
      <c r="V91" s="5" t="inlineStr">
        <is>
          <t>Overtraded</t>
        </is>
      </c>
      <c r="W91" s="5" t="n"/>
      <c r="X91" s="5" t="n"/>
      <c r="Y91" s="5" t="n"/>
      <c r="Z91" s="5" t="n"/>
      <c r="AA91" s="5" t="n"/>
    </row>
    <row r="92" ht="15.75" customHeight="1">
      <c r="A92" s="5" t="n">
        <v>99</v>
      </c>
      <c r="B92" s="22" t="n">
        <v>46265</v>
      </c>
      <c r="C92" s="10" t="n">
        <v>0.4505324074074074</v>
      </c>
      <c r="D92" s="5" t="inlineStr">
        <is>
          <t>MNQ</t>
        </is>
      </c>
      <c r="E92" s="5" t="inlineStr">
        <is>
          <t>Long</t>
        </is>
      </c>
      <c r="F92" s="5" t="n">
        <v>29401.5</v>
      </c>
      <c r="G92" s="5" t="n">
        <v>29392</v>
      </c>
      <c r="H92" s="5" t="n">
        <v>3</v>
      </c>
      <c r="I92" s="5" t="n">
        <v>29392.75</v>
      </c>
      <c r="J92" s="5" t="n">
        <v>29443.25</v>
      </c>
      <c r="K92" s="8">
        <f>IF(AND(I94&lt;&gt;"",J94&lt;&gt;"",F94&lt;&gt;""), (J94-F94)/(F94-I94), "")</f>
        <v/>
      </c>
      <c r="L92" s="8">
        <f>IF(AND(F94&lt;&gt;"",G94&lt;&gt;"",I94&lt;&gt;""), (G94-F94)/(F94-I94), "")</f>
        <v/>
      </c>
      <c r="M92" s="5">
        <f>IF(N94&gt;0,"Win",IF(N94&lt;0,"Loss",""))</f>
        <v/>
      </c>
      <c r="N92" s="16">
        <f>IF(AND(F94&lt;&gt;"",G94&lt;&gt;"",H94&lt;&gt;"",D94&lt;&gt;""), IF(E94="Long", (G94-F94)*H94*VLOOKUP(D94,Multipliers!A:B,2,FALSE), (F94-G94)*H94*VLOOKUP(D94,Multipliers!A:B,2,FALSE)), "")</f>
        <v/>
      </c>
      <c r="O92" s="9">
        <f>IF(AND(N94&lt;&gt;"",F94&lt;&gt;"",H94&lt;&gt;"",D94&lt;&gt;""), N94/(F94*H94*VLOOKUP(D94,Multipliers!A:B,2,FALSE)), "")</f>
        <v/>
      </c>
      <c r="P92" s="5">
        <f>P91+N92</f>
        <v/>
      </c>
      <c r="Q92" s="5" t="inlineStr">
        <is>
          <t>Break and Retest</t>
        </is>
      </c>
      <c r="R92" s="5" t="inlineStr">
        <is>
          <t>Imported from Tradovate</t>
        </is>
      </c>
      <c r="S92" s="5" t="inlineStr">
        <is>
          <t>MNQ</t>
        </is>
      </c>
      <c r="T92" s="5" t="n"/>
      <c r="U92" s="5" t="n"/>
      <c r="V92" s="5" t="inlineStr">
        <is>
          <t>Overtraded</t>
        </is>
      </c>
      <c r="W92" s="5" t="n"/>
      <c r="X92" s="5" t="n"/>
      <c r="Y92" s="5" t="n"/>
      <c r="Z92" s="5" t="n"/>
      <c r="AA92" s="5" t="n"/>
    </row>
    <row r="93" ht="15.75" customHeight="1">
      <c r="A93" s="5" t="n">
        <v>100</v>
      </c>
      <c r="B93" s="22" t="n">
        <v>46265</v>
      </c>
      <c r="C93" s="10" t="n">
        <v>0.4174305555555556</v>
      </c>
      <c r="D93" s="5" t="inlineStr">
        <is>
          <t>MGC</t>
        </is>
      </c>
      <c r="E93" s="5" t="inlineStr">
        <is>
          <t>Short</t>
        </is>
      </c>
      <c r="F93" s="5" t="n">
        <v>4472.7</v>
      </c>
      <c r="G93" s="5" t="n">
        <v>4475.3</v>
      </c>
      <c r="H93" s="5" t="n">
        <v>3</v>
      </c>
      <c r="I93" s="5" t="n">
        <v>4479.7</v>
      </c>
      <c r="J93" s="5" t="n"/>
      <c r="K93" s="8">
        <f>IF(AND(I95&lt;&gt;"",J95&lt;&gt;"",F95&lt;&gt;""), (J95-F95)/(F95-I95), "")</f>
        <v/>
      </c>
      <c r="L93" s="8">
        <f>IF(AND(F95&lt;&gt;"",G95&lt;&gt;"",I95&lt;&gt;""), (G95-F95)/(F95-I95), "")</f>
        <v/>
      </c>
      <c r="M93" s="5">
        <f>IF(N95&gt;0,"Win",IF(N95&lt;0,"Loss",""))</f>
        <v/>
      </c>
      <c r="N93" s="16">
        <f>IF(AND(F95&lt;&gt;"",G95&lt;&gt;"",H95&lt;&gt;"",D95&lt;&gt;""), IF(E95="Long", (G95-F95)*H95*VLOOKUP(D95,Multipliers!A:B,2,FALSE), (F95-G95)*H95*VLOOKUP(D95,Multipliers!A:B,2,FALSE)), "")</f>
        <v/>
      </c>
      <c r="O93" s="9">
        <f>IF(AND(N95&lt;&gt;"",F95&lt;&gt;"",H95&lt;&gt;"",D95&lt;&gt;""), N95/(F95*H95*VLOOKUP(D95,Multipliers!A:B,2,FALSE)), "")</f>
        <v/>
      </c>
      <c r="P93" s="5">
        <f>P92+N93</f>
        <v/>
      </c>
      <c r="Q93" s="5" t="inlineStr">
        <is>
          <t>Break and Retest</t>
        </is>
      </c>
      <c r="R93" s="5" t="inlineStr">
        <is>
          <t>Imported from Tradovate</t>
        </is>
      </c>
      <c r="S93" s="5" t="inlineStr">
        <is>
          <t>MGC</t>
        </is>
      </c>
      <c r="T93" s="5" t="n"/>
      <c r="U93" s="5" t="n"/>
      <c r="V93" s="5" t="inlineStr">
        <is>
          <t>Overtraded</t>
        </is>
      </c>
      <c r="W93" s="5" t="n"/>
      <c r="X93" s="5" t="n"/>
      <c r="Y93" s="5" t="n"/>
      <c r="Z93" s="5" t="n"/>
      <c r="AA93" s="5" t="n"/>
    </row>
    <row r="94" ht="15.75" customHeight="1">
      <c r="A94" s="5" t="n">
        <v>101</v>
      </c>
      <c r="B94" s="22" t="n">
        <v>46265</v>
      </c>
      <c r="C94" s="10" t="n">
        <v>0.4366087962962963</v>
      </c>
      <c r="D94" s="5" t="inlineStr">
        <is>
          <t>MGC</t>
        </is>
      </c>
      <c r="E94" s="5" t="inlineStr">
        <is>
          <t>Short</t>
        </is>
      </c>
      <c r="F94" s="5" t="n">
        <v>4472.8</v>
      </c>
      <c r="G94" s="5" t="n">
        <v>4477</v>
      </c>
      <c r="H94" s="5" t="n">
        <v>3</v>
      </c>
      <c r="I94" s="5" t="n">
        <v>4476.9</v>
      </c>
      <c r="J94" s="5" t="n">
        <v>4464.8</v>
      </c>
      <c r="K94" s="8">
        <f>IF(AND(I96&lt;&gt;"",J96&lt;&gt;"",F96&lt;&gt;""), (J96-F96)/(F96-I96), "")</f>
        <v/>
      </c>
      <c r="L94" s="8">
        <f>IF(AND(F96&lt;&gt;"",G96&lt;&gt;"",I96&lt;&gt;""), (G96-F96)/(F96-I96), "")</f>
        <v/>
      </c>
      <c r="M94" s="5">
        <f>IF(N96&gt;0,"Win",IF(N96&lt;0,"Loss",""))</f>
        <v/>
      </c>
      <c r="N94" s="16">
        <f>IF(AND(F96&lt;&gt;"",G96&lt;&gt;"",H96&lt;&gt;"",D96&lt;&gt;""), IF(E96="Long", (G96-F96)*H96*VLOOKUP(D96,Multipliers!A:B,2,FALSE), (F96-G96)*H96*VLOOKUP(D96,Multipliers!A:B,2,FALSE)), "")</f>
        <v/>
      </c>
      <c r="O94" s="9">
        <f>IF(AND(N96&lt;&gt;"",F96&lt;&gt;"",H96&lt;&gt;"",D96&lt;&gt;""), N96/(F96*H96*VLOOKUP(D96,Multipliers!A:B,2,FALSE)), "")</f>
        <v/>
      </c>
      <c r="P94" s="5">
        <f>P93+N94</f>
        <v/>
      </c>
      <c r="Q94" s="5" t="inlineStr">
        <is>
          <t>Break and Retest</t>
        </is>
      </c>
      <c r="R94" s="5" t="inlineStr">
        <is>
          <t>Imported from Tradovate</t>
        </is>
      </c>
      <c r="S94" s="5" t="inlineStr">
        <is>
          <t>MGC</t>
        </is>
      </c>
      <c r="T94" s="5" t="n"/>
      <c r="U94" s="5" t="n"/>
      <c r="V94" s="5" t="inlineStr">
        <is>
          <t>Overtraded</t>
        </is>
      </c>
      <c r="W94" s="5" t="n"/>
      <c r="X94" s="5" t="n"/>
      <c r="Y94" s="5" t="n"/>
      <c r="Z94" s="5" t="n"/>
      <c r="AA94" s="5" t="n"/>
    </row>
    <row r="95" ht="15.75" customHeight="1">
      <c r="A95" s="5" t="n">
        <v>102</v>
      </c>
      <c r="B95" s="22" t="n">
        <v>46265</v>
      </c>
      <c r="C95" s="10" t="n">
        <v>0.4551273148148148</v>
      </c>
      <c r="D95" s="5" t="inlineStr">
        <is>
          <t>MGC</t>
        </is>
      </c>
      <c r="E95" s="5" t="inlineStr">
        <is>
          <t>Short</t>
        </is>
      </c>
      <c r="F95" s="5" t="n">
        <v>4483.6</v>
      </c>
      <c r="G95" s="5" t="n">
        <v>4478.2</v>
      </c>
      <c r="H95" s="5" t="n">
        <v>2</v>
      </c>
      <c r="I95" s="5" t="n">
        <v>4487.8</v>
      </c>
      <c r="J95" s="5" t="n">
        <v>4478.2</v>
      </c>
      <c r="K95" s="8">
        <f>IF(AND(I97&lt;&gt;"",J97&lt;&gt;"",F97&lt;&gt;""), (J97-F97)/(F97-I97), "")</f>
        <v/>
      </c>
      <c r="L95" s="8">
        <f>IF(AND(F97&lt;&gt;"",G97&lt;&gt;"",I97&lt;&gt;""), (G97-F97)/(F97-I97), "")</f>
        <v/>
      </c>
      <c r="M95" s="5">
        <f>IF(N97&gt;0,"Win",IF(N97&lt;0,"Loss",""))</f>
        <v/>
      </c>
      <c r="N95" s="16">
        <f>IF(AND(F97&lt;&gt;"",G97&lt;&gt;"",H97&lt;&gt;"",D97&lt;&gt;""), IF(E97="Long", (G97-F97)*H97*VLOOKUP(D97,Multipliers!A:B,2,FALSE), (F97-G97)*H97*VLOOKUP(D97,Multipliers!A:B,2,FALSE)), "")</f>
        <v/>
      </c>
      <c r="O95" s="9">
        <f>IF(AND(N97&lt;&gt;"",F97&lt;&gt;"",H97&lt;&gt;"",D97&lt;&gt;""), N97/(F97*H97*VLOOKUP(D97,Multipliers!A:B,2,FALSE)), "")</f>
        <v/>
      </c>
      <c r="P95" s="5">
        <f>P94+N95</f>
        <v/>
      </c>
      <c r="Q95" s="5" t="inlineStr">
        <is>
          <t>Break and Retest</t>
        </is>
      </c>
      <c r="R95" s="5" t="inlineStr">
        <is>
          <t>Imported from Tradovate</t>
        </is>
      </c>
      <c r="S95" s="5" t="inlineStr">
        <is>
          <t>MGC</t>
        </is>
      </c>
      <c r="T95" s="5" t="n"/>
      <c r="U95" s="5" t="n"/>
      <c r="V95" s="5" t="inlineStr">
        <is>
          <t>Overtraded</t>
        </is>
      </c>
      <c r="W95" s="5" t="n"/>
      <c r="X95" s="5" t="n"/>
      <c r="Y95" s="5" t="n"/>
      <c r="Z95" s="5" t="n"/>
      <c r="AA95" s="5" t="n"/>
    </row>
    <row r="96" ht="15.75" customHeight="1">
      <c r="A96" s="5" t="n">
        <v>103</v>
      </c>
      <c r="B96" s="22" t="n">
        <v>46265</v>
      </c>
      <c r="C96" s="10" t="n">
        <v>0.02815972222222222</v>
      </c>
      <c r="D96" s="5" t="inlineStr">
        <is>
          <t>MGC</t>
        </is>
      </c>
      <c r="E96" s="5" t="inlineStr">
        <is>
          <t>Short</t>
        </is>
      </c>
      <c r="F96" s="5" t="n">
        <v>4468.233333</v>
      </c>
      <c r="G96" s="5" t="n">
        <v>4473.6</v>
      </c>
      <c r="H96" s="5" t="n">
        <v>3</v>
      </c>
      <c r="I96" s="5" t="n">
        <v>4473.5</v>
      </c>
      <c r="J96" s="5" t="n">
        <v>4467.8</v>
      </c>
      <c r="K96" s="8">
        <f>IF(AND(I96&lt;&gt;"",J96&lt;&gt;"",F96&lt;&gt;""), (J96-F96)/(F96-I96), "")</f>
        <v/>
      </c>
      <c r="L96" s="8">
        <f>IF(AND(F96&lt;&gt;"",G96&lt;&gt;"",I96&lt;&gt;""), (G96-F96)/(F96-I96), "")</f>
        <v/>
      </c>
      <c r="M96" s="5">
        <f>IF(N96&gt;0,"Win",IF(N96&lt;0,"Loss",""))</f>
        <v/>
      </c>
      <c r="N96" s="16">
        <f>IF(AND(F96&lt;&gt;"",G96&lt;&gt;"",H96&lt;&gt;"",D96&lt;&gt;""), IF(E96="Long", (G96-F96)*H96*VLOOKUP(D96,Multipliers!A:B,2,FALSE), (F96-G96)*H96*VLOOKUP(D96,Multipliers!A:B,2,FALSE)), "")</f>
        <v/>
      </c>
      <c r="O96" s="9">
        <f>IF(AND(N96&lt;&gt;"",F96&lt;&gt;"",H96&lt;&gt;"",D96&lt;&gt;""), N96/(F96*H96*VLOOKUP(D96,Multipliers!A:B,2,FALSE)), "")</f>
        <v/>
      </c>
      <c r="P96" s="5">
        <f>P95+N96</f>
        <v/>
      </c>
      <c r="Q96" s="5" t="inlineStr">
        <is>
          <t>Break and Retest</t>
        </is>
      </c>
      <c r="R96" s="5" t="inlineStr">
        <is>
          <t>Imported from Tradovate</t>
        </is>
      </c>
      <c r="S96" s="5" t="inlineStr">
        <is>
          <t>MGC</t>
        </is>
      </c>
      <c r="T96" s="5" t="n"/>
      <c r="U96" s="5" t="n"/>
      <c r="V96" s="5" t="inlineStr">
        <is>
          <t>Overtraded</t>
        </is>
      </c>
      <c r="W96" s="5" t="n"/>
      <c r="X96" s="5" t="n"/>
      <c r="Y96" s="5" t="n"/>
      <c r="Z96" s="5" t="n"/>
      <c r="AA96" s="5" t="n"/>
    </row>
    <row r="97" ht="15.75" customHeight="1">
      <c r="A97" s="5" t="n">
        <v>104</v>
      </c>
      <c r="B97" s="22" t="n">
        <v>46265</v>
      </c>
      <c r="C97" s="10" t="n">
        <v>0.9342361111111112</v>
      </c>
      <c r="D97" s="5" t="inlineStr">
        <is>
          <t>MGC</t>
        </is>
      </c>
      <c r="E97" s="5" t="inlineStr">
        <is>
          <t>Long</t>
        </is>
      </c>
      <c r="F97" s="5" t="n">
        <v>4491.8</v>
      </c>
      <c r="G97" s="5" t="n">
        <v>4490.2</v>
      </c>
      <c r="H97" s="5" t="n">
        <v>1</v>
      </c>
      <c r="I97" s="5" t="n">
        <v>4490.4</v>
      </c>
      <c r="J97" s="5" t="n">
        <v>4506.4</v>
      </c>
      <c r="K97" s="8">
        <f>IF(AND(I97&lt;&gt;"",J97&lt;&gt;"",F97&lt;&gt;""), (J97-F97)/(F97-I97), "")</f>
        <v/>
      </c>
      <c r="L97" s="8">
        <f>IF(AND(F97&lt;&gt;"",G97&lt;&gt;"",I97&lt;&gt;""), (G97-F97)/(F97-I97), "")</f>
        <v/>
      </c>
      <c r="M97" s="5">
        <f>IF(N97&gt;0,"Win",IF(N97&lt;0,"Loss",""))</f>
        <v/>
      </c>
      <c r="N97" s="16">
        <f>IF(AND(F97&lt;&gt;"",G97&lt;&gt;"",H97&lt;&gt;"",D97&lt;&gt;""), IF(E97="Long", (G97-F97)*H97*VLOOKUP(D97,Multipliers!A:B,2,FALSE), (F97-G97)*H97*VLOOKUP(D97,Multipliers!A:B,2,FALSE)), "")</f>
        <v/>
      </c>
      <c r="O97" s="9">
        <f>IF(AND(N97&lt;&gt;"",F97&lt;&gt;"",H97&lt;&gt;"",D97&lt;&gt;""), N97/(F97*H97*VLOOKUP(D97,Multipliers!A:B,2,FALSE)), "")</f>
        <v/>
      </c>
      <c r="P97" s="5">
        <f>P96+N97</f>
        <v/>
      </c>
      <c r="Q97" s="5" t="inlineStr">
        <is>
          <t>Break and Retest</t>
        </is>
      </c>
      <c r="R97" s="5" t="inlineStr">
        <is>
          <t>Imported from Tradovate</t>
        </is>
      </c>
      <c r="S97" s="5" t="inlineStr">
        <is>
          <t>MGC</t>
        </is>
      </c>
      <c r="T97" s="5" t="n"/>
      <c r="U97" s="5" t="n"/>
      <c r="V97" s="5" t="inlineStr">
        <is>
          <t>Overtraded</t>
        </is>
      </c>
      <c r="W97" s="5" t="n"/>
      <c r="X97" s="5" t="n"/>
      <c r="Y97" s="5" t="n"/>
      <c r="Z97" s="5" t="n"/>
      <c r="AA97" s="5" t="n"/>
    </row>
    <row r="98" ht="15.75" customHeight="1">
      <c r="A98" s="5" t="n">
        <v>105</v>
      </c>
      <c r="B98" s="22" t="n">
        <v>46265</v>
      </c>
      <c r="C98" s="10" t="n">
        <v>0.9349537037037037</v>
      </c>
      <c r="D98" s="5" t="inlineStr">
        <is>
          <t>MGC</t>
        </is>
      </c>
      <c r="E98" s="5" t="inlineStr">
        <is>
          <t>Long</t>
        </is>
      </c>
      <c r="F98" s="5" t="n">
        <v>4490.5</v>
      </c>
      <c r="G98" s="5" t="n">
        <v>4484.5</v>
      </c>
      <c r="H98" s="5" t="n">
        <v>1</v>
      </c>
      <c r="I98" s="5" t="n">
        <v>4484.5</v>
      </c>
      <c r="J98" s="5" t="n">
        <v>4506.4</v>
      </c>
      <c r="K98" s="8">
        <f>IF(AND(I98&lt;&gt;"",J98&lt;&gt;"",F98&lt;&gt;""), (J98-F98)/(F98-I98), "")</f>
        <v/>
      </c>
      <c r="L98" s="8">
        <f>IF(AND(F98&lt;&gt;"",G98&lt;&gt;"",I98&lt;&gt;""), (G98-F98)/(F98-I98), "")</f>
        <v/>
      </c>
      <c r="M98" s="5">
        <f>IF(N98&gt;0,"Win",IF(N98&lt;0,"Loss",""))</f>
        <v/>
      </c>
      <c r="N98" s="16">
        <f>IF(AND(F98&lt;&gt;"",G98&lt;&gt;"",H98&lt;&gt;"",D98&lt;&gt;""), IF(E98="Long", (G98-F98)*H98*VLOOKUP(D98,Multipliers!A:B,2,FALSE), (F98-G98)*H98*VLOOKUP(D98,Multipliers!A:B,2,FALSE)), "")</f>
        <v/>
      </c>
      <c r="O98" s="9">
        <f>IF(AND(N98&lt;&gt;"",F98&lt;&gt;"",H98&lt;&gt;"",D98&lt;&gt;""), N98/(F98*H98*VLOOKUP(D98,Multipliers!A:B,2,FALSE)), "")</f>
        <v/>
      </c>
      <c r="P98" s="5">
        <f>P97+N98</f>
        <v/>
      </c>
      <c r="Q98" s="5" t="inlineStr">
        <is>
          <t>Break and Retest</t>
        </is>
      </c>
      <c r="R98" s="5" t="inlineStr">
        <is>
          <t>Imported from Tradovate</t>
        </is>
      </c>
      <c r="S98" s="5" t="inlineStr">
        <is>
          <t>MGC</t>
        </is>
      </c>
      <c r="T98" s="5" t="n"/>
      <c r="U98" s="5" t="n"/>
      <c r="V98" s="5" t="inlineStr">
        <is>
          <t>Revenge trade, Overtraded</t>
        </is>
      </c>
      <c r="W98" s="5" t="n"/>
      <c r="X98" s="5" t="n"/>
      <c r="Y98" s="5" t="n"/>
      <c r="Z98" s="5" t="n"/>
      <c r="AA98" s="5" t="n"/>
    </row>
    <row r="99" ht="15.75" customHeight="1">
      <c r="A99" s="5" t="n">
        <v>106</v>
      </c>
      <c r="B99" s="22" t="n">
        <v>46265</v>
      </c>
      <c r="C99" s="10" t="n">
        <v>0.9497569444444445</v>
      </c>
      <c r="D99" s="5" t="inlineStr">
        <is>
          <t>MGC</t>
        </is>
      </c>
      <c r="E99" s="5" t="inlineStr">
        <is>
          <t>Short</t>
        </is>
      </c>
      <c r="F99" s="5" t="n">
        <v>4481</v>
      </c>
      <c r="G99" s="5" t="n">
        <v>4487</v>
      </c>
      <c r="H99" s="5" t="n">
        <v>3</v>
      </c>
      <c r="I99" s="5" t="n">
        <v>4487</v>
      </c>
      <c r="J99" s="5" t="n">
        <v>4469</v>
      </c>
      <c r="K99" s="8">
        <f>IF(AND(I99&lt;&gt;"",J99&lt;&gt;"",F99&lt;&gt;""), (J99-F99)/(F99-I99), "")</f>
        <v/>
      </c>
      <c r="L99" s="8">
        <f>IF(AND(F99&lt;&gt;"",G99&lt;&gt;"",I99&lt;&gt;""), (G99-F99)/(F99-I99), "")</f>
        <v/>
      </c>
      <c r="M99" s="5">
        <f>IF(N99&gt;0,"Win",IF(N99&lt;0,"Loss",""))</f>
        <v/>
      </c>
      <c r="N99" s="16">
        <f>IF(AND(F99&lt;&gt;"",G99&lt;&gt;"",H99&lt;&gt;"",D99&lt;&gt;""), IF(E99="Long", (G99-F99)*H99*VLOOKUP(D99,Multipliers!A:B,2,FALSE), (F99-G99)*H99*VLOOKUP(D99,Multipliers!A:B,2,FALSE)), "")</f>
        <v/>
      </c>
      <c r="O99" s="9">
        <f>IF(AND(N99&lt;&gt;"",F99&lt;&gt;"",H99&lt;&gt;"",D99&lt;&gt;""), N99/(F99*H99*VLOOKUP(D99,Multipliers!A:B,2,FALSE)), "")</f>
        <v/>
      </c>
      <c r="P99" s="5">
        <f>P98+N99</f>
        <v/>
      </c>
      <c r="Q99" s="5" t="inlineStr">
        <is>
          <t>Break and Retest</t>
        </is>
      </c>
      <c r="R99" s="5" t="inlineStr">
        <is>
          <t>Imported from Tradovate</t>
        </is>
      </c>
      <c r="S99" s="5" t="inlineStr">
        <is>
          <t>MGC</t>
        </is>
      </c>
      <c r="T99" s="5" t="n"/>
      <c r="U99" s="5" t="n"/>
      <c r="V99" s="5" t="inlineStr">
        <is>
          <t>Overtraded</t>
        </is>
      </c>
      <c r="W99" s="5" t="n"/>
      <c r="X99" s="5" t="n"/>
      <c r="Y99" s="5" t="n"/>
      <c r="Z99" s="5" t="n"/>
      <c r="AA99" s="5" t="n"/>
    </row>
    <row r="100" ht="15.75" customHeight="1">
      <c r="A100" s="5" t="n">
        <v>107</v>
      </c>
      <c r="B100" s="22" t="n">
        <v>46265</v>
      </c>
      <c r="C100" s="10" t="n">
        <v>0.9588310185185185</v>
      </c>
      <c r="D100" s="5" t="inlineStr">
        <is>
          <t>MGC</t>
        </is>
      </c>
      <c r="E100" s="5" t="inlineStr">
        <is>
          <t>Short</t>
        </is>
      </c>
      <c r="F100" s="5" t="n">
        <v>4488.4</v>
      </c>
      <c r="G100" s="5" t="n">
        <v>4484.566667</v>
      </c>
      <c r="H100" s="5" t="n">
        <v>6</v>
      </c>
      <c r="I100" s="5" t="n">
        <v>4495.2</v>
      </c>
      <c r="J100" s="5" t="n">
        <v>4483</v>
      </c>
      <c r="K100" s="8">
        <f>IF(AND(I100&lt;&gt;"",J100&lt;&gt;"",F100&lt;&gt;""), (J100-F100)/(F100-I100), "")</f>
        <v/>
      </c>
      <c r="L100" s="8">
        <f>IF(AND(F100&lt;&gt;"",G100&lt;&gt;"",I100&lt;&gt;""), (G100-F100)/(F100-I100), "")</f>
        <v/>
      </c>
      <c r="M100" s="5">
        <f>IF(N100&gt;0,"Win",IF(N100&lt;0,"Loss",""))</f>
        <v/>
      </c>
      <c r="N100" s="16">
        <f>IF(AND(F100&lt;&gt;"",G100&lt;&gt;"",H100&lt;&gt;"",D100&lt;&gt;""), IF(E100="Long", (G100-F100)*H100*VLOOKUP(D100,Multipliers!A:B,2,FALSE), (F100-G100)*H100*VLOOKUP(D100,Multipliers!A:B,2,FALSE)), "")</f>
        <v/>
      </c>
      <c r="O100" s="9">
        <f>IF(AND(N100&lt;&gt;"",F100&lt;&gt;"",H100&lt;&gt;"",D100&lt;&gt;""), N100/(F100*H100*VLOOKUP(D100,Multipliers!A:B,2,FALSE)), "")</f>
        <v/>
      </c>
      <c r="P100" s="5">
        <f>P99+N100</f>
        <v/>
      </c>
      <c r="Q100" s="5" t="inlineStr">
        <is>
          <t>Break and Retest</t>
        </is>
      </c>
      <c r="R100" s="5" t="inlineStr">
        <is>
          <t>Imported from Tradovate</t>
        </is>
      </c>
      <c r="S100" s="5" t="inlineStr">
        <is>
          <t>MGC</t>
        </is>
      </c>
      <c r="T100" s="5" t="n"/>
      <c r="U100" s="5" t="n"/>
      <c r="V100" s="5" t="inlineStr">
        <is>
          <t>Revenge trade, Overtraded</t>
        </is>
      </c>
      <c r="W100" s="5" t="n"/>
      <c r="X100" s="5" t="n"/>
      <c r="Y100" s="5" t="n"/>
      <c r="Z100" s="5" t="n"/>
      <c r="AA100" s="5" t="n"/>
    </row>
    <row r="101" ht="15.75" customHeight="1">
      <c r="A101" s="5" t="n">
        <v>108</v>
      </c>
      <c r="B101" s="22" t="n">
        <v>46265</v>
      </c>
      <c r="C101" s="10" t="n">
        <v>0.9992939814814815</v>
      </c>
      <c r="D101" s="5" t="inlineStr">
        <is>
          <t>MGC</t>
        </is>
      </c>
      <c r="E101" s="5" t="inlineStr">
        <is>
          <t>Short</t>
        </is>
      </c>
      <c r="F101" s="5" t="n">
        <v>4486.7</v>
      </c>
      <c r="G101" s="5" t="n">
        <v>4484.2</v>
      </c>
      <c r="H101" s="5" t="n">
        <v>2</v>
      </c>
      <c r="I101" s="5" t="n">
        <v>4489.6</v>
      </c>
      <c r="J101" s="5" t="n">
        <v>4483.5</v>
      </c>
      <c r="K101" s="8">
        <f>IF(AND(I101&lt;&gt;"",J101&lt;&gt;"",F101&lt;&gt;""), (J101-F101)/(F101-I101), "")</f>
        <v/>
      </c>
      <c r="L101" s="8">
        <f>IF(AND(F101&lt;&gt;"",G101&lt;&gt;"",I101&lt;&gt;""), (G101-F101)/(F101-I101), "")</f>
        <v/>
      </c>
      <c r="M101" s="5">
        <f>IF(N101&gt;0,"Win",IF(N101&lt;0,"Loss",""))</f>
        <v/>
      </c>
      <c r="N101" s="16">
        <f>IF(AND(F101&lt;&gt;"",G101&lt;&gt;"",H101&lt;&gt;"",D101&lt;&gt;""), IF(E101="Long", (G101-F101)*H101*VLOOKUP(D101,Multipliers!A:B,2,FALSE), (F101-G101)*H101*VLOOKUP(D101,Multipliers!A:B,2,FALSE)), "")</f>
        <v/>
      </c>
      <c r="O101" s="9">
        <f>IF(AND(N101&lt;&gt;"",F101&lt;&gt;"",H101&lt;&gt;"",D101&lt;&gt;""), N101/(F101*H101*VLOOKUP(D101,Multipliers!A:B,2,FALSE)), "")</f>
        <v/>
      </c>
      <c r="P101" s="5">
        <f>P100+N101</f>
        <v/>
      </c>
      <c r="Q101" s="5" t="inlineStr">
        <is>
          <t>Break and Retest</t>
        </is>
      </c>
      <c r="R101" s="5" t="inlineStr">
        <is>
          <t>Imported from Tradovate</t>
        </is>
      </c>
      <c r="S101" s="5" t="inlineStr">
        <is>
          <t>MGC</t>
        </is>
      </c>
      <c r="T101" s="5" t="n"/>
      <c r="U101" s="5" t="n"/>
      <c r="V101" s="5" t="inlineStr">
        <is>
          <t>Overtraded</t>
        </is>
      </c>
      <c r="W101" s="5" t="n"/>
      <c r="X101" s="5" t="n"/>
      <c r="Y101" s="5" t="n"/>
      <c r="Z101" s="5" t="n"/>
      <c r="AA101" s="5" t="n"/>
    </row>
    <row r="102" ht="15.75" customHeight="1">
      <c r="A102" s="5" t="n">
        <v>109</v>
      </c>
      <c r="B102" s="22" t="n">
        <v>46266</v>
      </c>
      <c r="C102" s="10" t="n">
        <v>0.4359375</v>
      </c>
      <c r="D102" s="5" t="inlineStr">
        <is>
          <t>MGC</t>
        </is>
      </c>
      <c r="E102" s="5" t="inlineStr">
        <is>
          <t>Short</t>
        </is>
      </c>
      <c r="F102" s="5" t="n">
        <v>4417.466667</v>
      </c>
      <c r="G102" s="5" t="n">
        <v>4416.433333</v>
      </c>
      <c r="H102" s="5" t="n">
        <v>3</v>
      </c>
      <c r="I102" s="5" t="n">
        <v>4427.6</v>
      </c>
      <c r="J102" s="5" t="n">
        <v>4416.1</v>
      </c>
      <c r="K102" s="8">
        <f>IF(AND(I102&lt;&gt;"",J102&lt;&gt;"",F102&lt;&gt;""), (J102-F102)/(F102-I102), "")</f>
        <v/>
      </c>
      <c r="L102" s="8">
        <f>IF(AND(F102&lt;&gt;"",G102&lt;&gt;"",I102&lt;&gt;""), (G102-F102)/(F102-I102), "")</f>
        <v/>
      </c>
      <c r="M102" s="5">
        <f>IF(N102&gt;0,"Win",IF(N102&lt;0,"Loss",""))</f>
        <v/>
      </c>
      <c r="N102" s="16">
        <f>IF(AND(F102&lt;&gt;"",G102&lt;&gt;"",H102&lt;&gt;"",D102&lt;&gt;""), IF(E102="Long", (G102-F102)*H102*VLOOKUP(D102,Multipliers!A:B,2,FALSE), (F102-G102)*H102*VLOOKUP(D102,Multipliers!A:B,2,FALSE)), "")</f>
        <v/>
      </c>
      <c r="O102" s="9">
        <f>IF(AND(N102&lt;&gt;"",F102&lt;&gt;"",H102&lt;&gt;"",D102&lt;&gt;""), N102/(F102*H102*VLOOKUP(D102,Multipliers!A:B,2,FALSE)), "")</f>
        <v/>
      </c>
      <c r="P102" s="5">
        <f>P101+N102</f>
        <v/>
      </c>
      <c r="Q102" s="5" t="inlineStr">
        <is>
          <t>Break and Retest</t>
        </is>
      </c>
      <c r="R102" s="5" t="inlineStr">
        <is>
          <t>Imported from Tradovate</t>
        </is>
      </c>
      <c r="S102" s="5" t="inlineStr">
        <is>
          <t>MGC</t>
        </is>
      </c>
      <c r="T102" s="5" t="n"/>
      <c r="U102" s="5" t="n"/>
      <c r="V102" s="5" t="inlineStr">
        <is>
          <t>Overtraded</t>
        </is>
      </c>
      <c r="W102" s="5" t="n"/>
      <c r="X102" s="5" t="n"/>
      <c r="Y102" s="5" t="n"/>
      <c r="Z102" s="5" t="n"/>
      <c r="AA102" s="5" t="n"/>
    </row>
    <row r="103" ht="15.75" customHeight="1">
      <c r="A103" s="5" t="n">
        <v>110</v>
      </c>
      <c r="B103" s="22" t="n">
        <v>46266</v>
      </c>
      <c r="C103" s="10" t="n">
        <v>0.4439236111111111</v>
      </c>
      <c r="D103" s="5" t="inlineStr">
        <is>
          <t>MNQ</t>
        </is>
      </c>
      <c r="E103" s="5" t="inlineStr">
        <is>
          <t>Long</t>
        </is>
      </c>
      <c r="F103" s="5" t="n">
        <v>29207.3</v>
      </c>
      <c r="G103" s="5" t="n">
        <v>29255.5</v>
      </c>
      <c r="H103" s="5" t="n">
        <v>5</v>
      </c>
      <c r="I103" s="5" t="n">
        <v>29206</v>
      </c>
      <c r="J103" s="5" t="n">
        <v>29255.5</v>
      </c>
      <c r="K103" s="8">
        <f>IF(AND(I103&lt;&gt;"",J103&lt;&gt;"",F103&lt;&gt;""), (J103-F103)/(F103-I103), "")</f>
        <v/>
      </c>
      <c r="L103" s="8">
        <f>IF(AND(F103&lt;&gt;"",G103&lt;&gt;"",I103&lt;&gt;""), (G103-F103)/(F103-I103), "")</f>
        <v/>
      </c>
      <c r="M103" s="5">
        <f>IF(N103&gt;0,"Win",IF(N103&lt;0,"Loss",""))</f>
        <v/>
      </c>
      <c r="N103" s="16">
        <f>IF(AND(F103&lt;&gt;"",G103&lt;&gt;"",H103&lt;&gt;"",D103&lt;&gt;""), IF(E103="Long", (G103-F103)*H103*VLOOKUP(D103,Multipliers!A:B,2,FALSE), (F103-G103)*H103*VLOOKUP(D103,Multipliers!A:B,2,FALSE)), "")</f>
        <v/>
      </c>
      <c r="O103" s="9">
        <f>IF(AND(N103&lt;&gt;"",F103&lt;&gt;"",H103&lt;&gt;"",D103&lt;&gt;""), N103/(F103*H103*VLOOKUP(D103,Multipliers!A:B,2,FALSE)), "")</f>
        <v/>
      </c>
      <c r="P103" s="5">
        <f>P102+N103</f>
        <v/>
      </c>
      <c r="Q103" s="5" t="inlineStr">
        <is>
          <t>Break and Retest</t>
        </is>
      </c>
      <c r="R103" s="5" t="inlineStr">
        <is>
          <t>Imported from Tradovate</t>
        </is>
      </c>
      <c r="S103" s="5" t="inlineStr">
        <is>
          <t>MNQ</t>
        </is>
      </c>
      <c r="T103" s="5" t="n"/>
      <c r="U103" s="5" t="n"/>
      <c r="V103" s="5" t="inlineStr">
        <is>
          <t>Revenge trade, Overtraded</t>
        </is>
      </c>
      <c r="W103" s="5" t="n"/>
      <c r="X103" s="5" t="n"/>
      <c r="Y103" s="5" t="n"/>
      <c r="Z103" s="5" t="n"/>
      <c r="AA103" s="5" t="n"/>
    </row>
    <row r="104" ht="15.75" customHeight="1">
      <c r="A104" s="5" t="n">
        <v>111</v>
      </c>
      <c r="B104" s="22" t="n">
        <v>46266</v>
      </c>
      <c r="C104" s="10" t="n">
        <v>0.001550925925925926</v>
      </c>
      <c r="D104" s="5" t="inlineStr">
        <is>
          <t>MGC</t>
        </is>
      </c>
      <c r="E104" s="5" t="inlineStr">
        <is>
          <t>Short</t>
        </is>
      </c>
      <c r="F104" s="5" t="n">
        <v>4486.4</v>
      </c>
      <c r="G104" s="5" t="n">
        <v>4484.9</v>
      </c>
      <c r="H104" s="5" t="n">
        <v>1</v>
      </c>
      <c r="I104" s="5" t="n">
        <v>4489.6</v>
      </c>
      <c r="J104" s="5" t="n">
        <v>4483.5</v>
      </c>
      <c r="K104" s="8">
        <f>IF(AND(I104&lt;&gt;"",J104&lt;&gt;"",F104&lt;&gt;""), (J104-F104)/(F104-I104), "")</f>
        <v/>
      </c>
      <c r="L104" s="8">
        <f>IF(AND(F104&lt;&gt;"",G104&lt;&gt;"",I104&lt;&gt;""), (G104-F104)/(F104-I104), "")</f>
        <v/>
      </c>
      <c r="M104" s="5">
        <f>IF(N104&gt;0,"Win",IF(N104&lt;0,"Loss",""))</f>
        <v/>
      </c>
      <c r="N104" s="16">
        <f>IF(AND(F104&lt;&gt;"",G104&lt;&gt;"",H104&lt;&gt;"",D104&lt;&gt;""), IF(E104="Long", (G104-F104)*H104*VLOOKUP(D104,Multipliers!A:B,2,FALSE), (F104-G104)*H104*VLOOKUP(D104,Multipliers!A:B,2,FALSE)), "")</f>
        <v/>
      </c>
      <c r="O104" s="9">
        <f>IF(AND(N104&lt;&gt;"",F104&lt;&gt;"",H104&lt;&gt;"",D104&lt;&gt;""), N104/(F104*H104*VLOOKUP(D104,Multipliers!A:B,2,FALSE)), "")</f>
        <v/>
      </c>
      <c r="P104" s="5">
        <f>P103+N104</f>
        <v/>
      </c>
      <c r="Q104" s="5" t="inlineStr">
        <is>
          <t>Break and Retest</t>
        </is>
      </c>
      <c r="R104" s="5" t="inlineStr">
        <is>
          <t>Imported from Tradovate</t>
        </is>
      </c>
      <c r="S104" s="5" t="inlineStr">
        <is>
          <t>MGC</t>
        </is>
      </c>
      <c r="T104" s="5" t="n"/>
      <c r="U104" s="5" t="n"/>
      <c r="V104" s="5" t="inlineStr">
        <is>
          <t>Overtraded</t>
        </is>
      </c>
      <c r="W104" s="5" t="n"/>
      <c r="X104" s="5" t="n"/>
      <c r="Y104" s="5" t="n"/>
      <c r="Z104" s="5" t="n"/>
      <c r="AA104" s="5" t="n"/>
    </row>
    <row r="105" ht="15.75" customHeight="1">
      <c r="A105" s="5" t="n">
        <v>112</v>
      </c>
      <c r="B105" s="22" t="n">
        <v>46266</v>
      </c>
      <c r="C105" s="10" t="n">
        <v>0.4781944444444444</v>
      </c>
      <c r="D105" s="5" t="inlineStr">
        <is>
          <t>MNQ</t>
        </is>
      </c>
      <c r="E105" s="5" t="inlineStr">
        <is>
          <t>Long</t>
        </is>
      </c>
      <c r="F105" s="5" t="n">
        <v>29207.75</v>
      </c>
      <c r="G105" s="5" t="n">
        <v>29232.75</v>
      </c>
      <c r="H105" s="5" t="n">
        <v>1</v>
      </c>
      <c r="I105" s="5" t="n">
        <v>29202.5</v>
      </c>
      <c r="J105" s="5" t="n">
        <v>29245.25</v>
      </c>
      <c r="K105" s="8">
        <f>IF(AND(I105&lt;&gt;"",J105&lt;&gt;"",F105&lt;&gt;""), (J105-F105)/(F105-I105), "")</f>
        <v/>
      </c>
      <c r="L105" s="8">
        <f>IF(AND(F105&lt;&gt;"",G105&lt;&gt;"",I105&lt;&gt;""), (G105-F105)/(F105-I105), "")</f>
        <v/>
      </c>
      <c r="M105" s="5">
        <f>IF(N105&gt;0,"Win",IF(N105&lt;0,"Loss",""))</f>
        <v/>
      </c>
      <c r="N105" s="16">
        <f>IF(AND(F105&lt;&gt;"",G105&lt;&gt;"",H105&lt;&gt;"",D105&lt;&gt;""), IF(E105="Long", (G105-F105)*H105*VLOOKUP(D105,Multipliers!A:B,2,FALSE), (F105-G105)*H105*VLOOKUP(D105,Multipliers!A:B,2,FALSE)), "")</f>
        <v/>
      </c>
      <c r="O105" s="9">
        <f>IF(AND(N105&lt;&gt;"",F105&lt;&gt;"",H105&lt;&gt;"",D105&lt;&gt;""), N105/(F105*H105*VLOOKUP(D105,Multipliers!A:B,2,FALSE)), "")</f>
        <v/>
      </c>
      <c r="P105" s="5">
        <f>P104+N105</f>
        <v/>
      </c>
      <c r="Q105" s="5" t="inlineStr">
        <is>
          <t>Break and Retest</t>
        </is>
      </c>
      <c r="R105" s="5" t="inlineStr">
        <is>
          <t>Imported from Tradovate</t>
        </is>
      </c>
      <c r="S105" s="5" t="inlineStr">
        <is>
          <t>MNQ</t>
        </is>
      </c>
      <c r="T105" s="5" t="n"/>
      <c r="U105" s="5" t="n"/>
      <c r="V105" s="5" t="inlineStr">
        <is>
          <t>Overtraded</t>
        </is>
      </c>
      <c r="W105" s="5" t="n"/>
      <c r="X105" s="5" t="n"/>
      <c r="Y105" s="5" t="n"/>
      <c r="Z105" s="5" t="n"/>
      <c r="AA105" s="5" t="n"/>
    </row>
    <row r="106" ht="15.75" customHeight="1">
      <c r="A106" s="5" t="n">
        <v>113</v>
      </c>
      <c r="B106" s="22" t="n">
        <v>46266</v>
      </c>
      <c r="C106" s="10" t="n">
        <v>0.5175694444444444</v>
      </c>
      <c r="D106" s="5" t="inlineStr">
        <is>
          <t>MNQ</t>
        </is>
      </c>
      <c r="E106" s="5" t="inlineStr">
        <is>
          <t>Long</t>
        </is>
      </c>
      <c r="F106" s="5" t="n">
        <v>29201</v>
      </c>
      <c r="G106" s="5" t="n">
        <v>29181.25</v>
      </c>
      <c r="H106" s="5" t="n">
        <v>2</v>
      </c>
      <c r="I106" s="5" t="n">
        <v>29181.75</v>
      </c>
      <c r="J106" s="5" t="n">
        <v>29201.75</v>
      </c>
      <c r="K106" s="8">
        <f>IF(AND(I106&lt;&gt;"",J106&lt;&gt;"",F106&lt;&gt;""), (J106-F106)/(F106-I106), "")</f>
        <v/>
      </c>
      <c r="L106" s="8">
        <f>IF(AND(F106&lt;&gt;"",G106&lt;&gt;"",I106&lt;&gt;""), (G106-F106)/(F106-I106), "")</f>
        <v/>
      </c>
      <c r="M106" s="5">
        <f>IF(N106&gt;0,"Win",IF(N106&lt;0,"Loss",""))</f>
        <v/>
      </c>
      <c r="N106" s="16">
        <f>IF(AND(F106&lt;&gt;"",G106&lt;&gt;"",H106&lt;&gt;"",D106&lt;&gt;""), IF(E106="Long", (G106-F106)*H106*VLOOKUP(D106,Multipliers!A:B,2,FALSE), (F106-G106)*H106*VLOOKUP(D106,Multipliers!A:B,2,FALSE)), "")</f>
        <v/>
      </c>
      <c r="O106" s="9">
        <f>IF(AND(N106&lt;&gt;"",F106&lt;&gt;"",H106&lt;&gt;"",D106&lt;&gt;""), N106/(F106*H106*VLOOKUP(D106,Multipliers!A:B,2,FALSE)), "")</f>
        <v/>
      </c>
      <c r="P106" s="5">
        <f>P105+N106</f>
        <v/>
      </c>
      <c r="Q106" s="5" t="inlineStr">
        <is>
          <t>Break and Retest</t>
        </is>
      </c>
      <c r="R106" s="5" t="inlineStr">
        <is>
          <t>Imported from Tradovate</t>
        </is>
      </c>
      <c r="S106" s="5" t="inlineStr">
        <is>
          <t>MNQ</t>
        </is>
      </c>
      <c r="T106" s="5" t="n"/>
      <c r="U106" s="5" t="n"/>
      <c r="V106" s="5" t="inlineStr">
        <is>
          <t>Overtraded</t>
        </is>
      </c>
      <c r="W106" s="5" t="n"/>
      <c r="X106" s="5" t="n"/>
      <c r="Y106" s="5" t="n"/>
      <c r="Z106" s="5" t="n"/>
      <c r="AA106" s="5" t="n"/>
    </row>
    <row r="107" ht="15.75" customHeight="1">
      <c r="A107" s="5" t="n">
        <v>114</v>
      </c>
      <c r="B107" s="22" t="n">
        <v>46260</v>
      </c>
      <c r="C107" s="10" t="n">
        <v>0.9356944444444445</v>
      </c>
      <c r="D107" s="5" t="inlineStr">
        <is>
          <t>MNQ</t>
        </is>
      </c>
      <c r="E107" s="5" t="inlineStr">
        <is>
          <t>Short</t>
        </is>
      </c>
      <c r="F107" s="5" t="n">
        <v>29535</v>
      </c>
      <c r="G107" s="5" t="n">
        <v>29546.5</v>
      </c>
      <c r="H107" s="5" t="n">
        <v>2</v>
      </c>
      <c r="I107" s="5" t="n">
        <v>29545</v>
      </c>
      <c r="J107" s="5" t="n">
        <v>29514.75</v>
      </c>
      <c r="K107" s="8">
        <f>IF(AND(I107&lt;&gt;"",J107&lt;&gt;"",F107&lt;&gt;""), (J107-F107)/(F107-I107), "")</f>
        <v/>
      </c>
      <c r="L107" s="8">
        <f>IF(AND(F107&lt;&gt;"",G107&lt;&gt;"",I107&lt;&gt;""), (G107-F107)/(F107-I107), "")</f>
        <v/>
      </c>
      <c r="M107" s="5">
        <f>IF(N107&gt;0,"Win",IF(N107&lt;0,"Loss",""))</f>
        <v/>
      </c>
      <c r="N107" s="16">
        <f>IF(AND(F107&lt;&gt;"",G107&lt;&gt;"",H107&lt;&gt;"",D107&lt;&gt;""), IF(E107="Long", (G107-F107)*H107*VLOOKUP(D107,Multipliers!A:B,2,FALSE), (F107-G107)*H107*VLOOKUP(D107,Multipliers!A:B,2,FALSE)), "")</f>
        <v/>
      </c>
      <c r="O107" s="9">
        <f>IF(AND(N107&lt;&gt;"",F107&lt;&gt;"",H107&lt;&gt;"",D107&lt;&gt;""), N107/(F107*H107*VLOOKUP(D107,Multipliers!A:B,2,FALSE)), "")</f>
        <v/>
      </c>
      <c r="P107" s="5">
        <f>P106+N107</f>
        <v/>
      </c>
      <c r="Q107" s="5" t="inlineStr">
        <is>
          <t>Break and Retest</t>
        </is>
      </c>
      <c r="R107" s="5" t="inlineStr">
        <is>
          <t>Imported from Tradovate</t>
        </is>
      </c>
      <c r="S107" s="5" t="inlineStr">
        <is>
          <t>MNQ</t>
        </is>
      </c>
      <c r="T107" s="5" t="n"/>
      <c r="U107" s="5" t="n"/>
      <c r="V107" s="5" t="inlineStr">
        <is>
          <t>Overtraded</t>
        </is>
      </c>
      <c r="W107" s="5" t="n"/>
      <c r="X107" s="5" t="n"/>
      <c r="Y107" s="5" t="n"/>
      <c r="Z107" s="5" t="n"/>
      <c r="AA107" s="5" t="n"/>
    </row>
    <row r="108" ht="15.75" customHeight="1">
      <c r="A108" s="5" t="n">
        <v>115</v>
      </c>
      <c r="B108" s="22" t="n">
        <v>46261</v>
      </c>
      <c r="C108" s="10" t="n">
        <v>0.8349537037037037</v>
      </c>
      <c r="D108" s="5" t="inlineStr">
        <is>
          <t>MGC</t>
        </is>
      </c>
      <c r="E108" s="5" t="inlineStr">
        <is>
          <t>Short</t>
        </is>
      </c>
      <c r="F108" s="5" t="n">
        <v>4652.9</v>
      </c>
      <c r="G108" s="5" t="n">
        <v>4652.2</v>
      </c>
      <c r="H108" s="5" t="n">
        <v>3</v>
      </c>
      <c r="I108" s="5" t="n">
        <v>4659</v>
      </c>
      <c r="J108" s="5" t="n">
        <v>4638</v>
      </c>
      <c r="K108" s="8">
        <f>IF(AND(I108&lt;&gt;"",J108&lt;&gt;"",F108&lt;&gt;""), (J108-F108)/(F108-I108), "")</f>
        <v/>
      </c>
      <c r="L108" s="8">
        <f>IF(AND(F108&lt;&gt;"",G108&lt;&gt;"",I108&lt;&gt;""), (G108-F108)/(F108-I108), "")</f>
        <v/>
      </c>
      <c r="M108" s="5">
        <f>IF(N108&gt;0,"Win",IF(N108&lt;0,"Loss",""))</f>
        <v/>
      </c>
      <c r="N108" s="16">
        <f>IF(AND(F108&lt;&gt;"",G108&lt;&gt;"",H108&lt;&gt;"",D108&lt;&gt;""), IF(E108="Long", (G108-F108)*H108*VLOOKUP(D108,Multipliers!A:B,2,FALSE), (F108-G108)*H108*VLOOKUP(D108,Multipliers!A:B,2,FALSE)), "")</f>
        <v/>
      </c>
      <c r="O108" s="9">
        <f>IF(AND(N108&lt;&gt;"",F108&lt;&gt;"",H108&lt;&gt;"",D108&lt;&gt;""), N108/(F108*H108*VLOOKUP(D108,Multipliers!A:B,2,FALSE)), "")</f>
        <v/>
      </c>
      <c r="P108" s="5">
        <f>P107+N108</f>
        <v/>
      </c>
      <c r="Q108" s="5" t="inlineStr">
        <is>
          <t>Break and Retest</t>
        </is>
      </c>
      <c r="R108" s="5" t="inlineStr">
        <is>
          <t>Imported from Tradovate</t>
        </is>
      </c>
      <c r="S108" s="5" t="inlineStr">
        <is>
          <t>MGC</t>
        </is>
      </c>
      <c r="T108" s="5" t="n"/>
      <c r="U108" s="5" t="n"/>
      <c r="V108" s="5" t="inlineStr">
        <is>
          <t>Overtraded</t>
        </is>
      </c>
      <c r="W108" s="5" t="n"/>
      <c r="X108" s="5" t="n"/>
      <c r="Y108" s="5" t="n"/>
      <c r="Z108" s="5" t="n"/>
      <c r="AA108" s="5" t="n"/>
    </row>
    <row r="109" ht="15.75" customHeight="1">
      <c r="A109" s="5" t="n">
        <v>116</v>
      </c>
      <c r="B109" s="22" t="n">
        <v>46261</v>
      </c>
      <c r="C109" s="10" t="n">
        <v>0.8878356481481482</v>
      </c>
      <c r="D109" s="5" t="inlineStr">
        <is>
          <t>MGC</t>
        </is>
      </c>
      <c r="E109" s="5" t="inlineStr">
        <is>
          <t>Short</t>
        </is>
      </c>
      <c r="F109" s="5" t="n">
        <v>4647.9</v>
      </c>
      <c r="G109" s="5" t="n">
        <v>4645.9</v>
      </c>
      <c r="H109" s="5" t="n">
        <v>3</v>
      </c>
      <c r="I109" s="5" t="n">
        <v>4652.7</v>
      </c>
      <c r="J109" s="5" t="n">
        <v>4645.9</v>
      </c>
      <c r="K109" s="8">
        <f>IF(AND(I109&lt;&gt;"",J109&lt;&gt;"",F109&lt;&gt;""), (J109-F109)/(F109-I109), "")</f>
        <v/>
      </c>
      <c r="L109" s="8">
        <f>IF(AND(F109&lt;&gt;"",G109&lt;&gt;"",I109&lt;&gt;""), (G109-F109)/(F109-I109), "")</f>
        <v/>
      </c>
      <c r="M109" s="5">
        <f>IF(N109&gt;0,"Win",IF(N109&lt;0,"Loss",""))</f>
        <v/>
      </c>
      <c r="N109" s="16">
        <f>IF(AND(F109&lt;&gt;"",G109&lt;&gt;"",H109&lt;&gt;"",D109&lt;&gt;""), IF(E109="Long", (G109-F109)*H109*VLOOKUP(D109,Multipliers!A:B,2,FALSE), (F109-G109)*H109*VLOOKUP(D109,Multipliers!A:B,2,FALSE)), "")</f>
        <v/>
      </c>
      <c r="O109" s="9">
        <f>IF(AND(N109&lt;&gt;"",F109&lt;&gt;"",H109&lt;&gt;"",D109&lt;&gt;""), N109/(F109*H109*VLOOKUP(D109,Multipliers!A:B,2,FALSE)), "")</f>
        <v/>
      </c>
      <c r="P109" s="5">
        <f>P108+N109</f>
        <v/>
      </c>
      <c r="Q109" s="5" t="inlineStr">
        <is>
          <t>Break and Retest</t>
        </is>
      </c>
      <c r="R109" s="5" t="inlineStr">
        <is>
          <t>Imported from Tradovate</t>
        </is>
      </c>
      <c r="S109" s="5" t="inlineStr">
        <is>
          <t>MGC</t>
        </is>
      </c>
      <c r="T109" s="5" t="n"/>
      <c r="U109" s="5" t="n"/>
      <c r="V109" s="5" t="inlineStr">
        <is>
          <t>Overtraded</t>
        </is>
      </c>
      <c r="W109" s="5" t="n"/>
      <c r="X109" s="5" t="n"/>
      <c r="Y109" s="5" t="n"/>
      <c r="Z109" s="5" t="n"/>
      <c r="AA109" s="5" t="n"/>
    </row>
    <row r="110" ht="15.75" customHeight="1">
      <c r="A110" s="5" t="n">
        <v>117</v>
      </c>
      <c r="B110" s="22" t="n">
        <v>46266</v>
      </c>
      <c r="C110" s="10" t="n">
        <v>0.6161342592592592</v>
      </c>
      <c r="D110" s="5" t="inlineStr">
        <is>
          <t>MNQ</t>
        </is>
      </c>
      <c r="E110" s="5" t="inlineStr">
        <is>
          <t>Long</t>
        </is>
      </c>
      <c r="F110" s="5" t="n">
        <v>29041.875</v>
      </c>
      <c r="G110" s="5" t="n">
        <v>29080.375</v>
      </c>
      <c r="H110" s="5" t="n">
        <v>4</v>
      </c>
      <c r="I110" s="5" t="n">
        <v>29026.25</v>
      </c>
      <c r="J110" s="5" t="n">
        <v>29098</v>
      </c>
      <c r="K110" s="8">
        <f>IF(AND(I110&lt;&gt;"",J110&lt;&gt;"",F110&lt;&gt;""), (J110-F110)/(F110-I110), "")</f>
        <v/>
      </c>
      <c r="L110" s="8">
        <f>IF(AND(F110&lt;&gt;"",G110&lt;&gt;"",I110&lt;&gt;""), (G110-F110)/(F110-I110), "")</f>
        <v/>
      </c>
      <c r="M110" s="5">
        <f>IF(N110&gt;0,"Win",IF(N110&lt;0,"Loss",""))</f>
        <v/>
      </c>
      <c r="N110" s="16">
        <f>IF(AND(F110&lt;&gt;"",G110&lt;&gt;"",H110&lt;&gt;"",D110&lt;&gt;""), IF(E110="Long", (G110-F110)*H110*VLOOKUP(D110,Multipliers!A:B,2,FALSE), (F110-G110)*H110*VLOOKUP(D110,Multipliers!A:B,2,FALSE)), "")</f>
        <v/>
      </c>
      <c r="O110" s="9">
        <f>IF(AND(N110&lt;&gt;"",F110&lt;&gt;"",H110&lt;&gt;"",D110&lt;&gt;""), N110/(F110*H110*VLOOKUP(D110,Multipliers!A:B,2,FALSE)), "")</f>
        <v/>
      </c>
      <c r="P110" s="5">
        <f>P109+N110</f>
        <v/>
      </c>
      <c r="Q110" s="5" t="inlineStr">
        <is>
          <t>Break and Retest</t>
        </is>
      </c>
      <c r="R110" s="5" t="inlineStr">
        <is>
          <t>Imported from Tradovate</t>
        </is>
      </c>
      <c r="S110" s="5" t="inlineStr">
        <is>
          <t>MNQ</t>
        </is>
      </c>
      <c r="T110" s="5" t="n"/>
      <c r="U110" s="5" t="n"/>
      <c r="V110" s="5" t="inlineStr">
        <is>
          <t>Overtraded</t>
        </is>
      </c>
      <c r="W110" s="5" t="n"/>
      <c r="X110" s="5" t="n"/>
      <c r="Y110" s="5" t="n"/>
      <c r="Z110" s="5" t="n"/>
      <c r="AA110" s="5" t="n"/>
    </row>
    <row r="111" ht="15.75" customHeight="1">
      <c r="A111" s="5" t="n">
        <v>118</v>
      </c>
      <c r="B111" s="22" t="n">
        <v>46266</v>
      </c>
      <c r="C111" s="10" t="n">
        <v>0.6293981481481481</v>
      </c>
      <c r="D111" s="5" t="inlineStr">
        <is>
          <t>MNQ</t>
        </is>
      </c>
      <c r="E111" s="5" t="inlineStr">
        <is>
          <t>Short</t>
        </is>
      </c>
      <c r="F111" s="5" t="n">
        <v>29097.5</v>
      </c>
      <c r="G111" s="5" t="n">
        <v>29096.75</v>
      </c>
      <c r="H111" s="5" t="n">
        <v>2</v>
      </c>
      <c r="I111" s="5" t="n"/>
      <c r="J111" s="5" t="n">
        <v>29056.25</v>
      </c>
      <c r="K111" s="8">
        <f>IF(AND(I111&lt;&gt;"",J111&lt;&gt;"",F111&lt;&gt;""), (J111-F111)/(F111-I111), "")</f>
        <v/>
      </c>
      <c r="L111" s="8">
        <f>IF(AND(F111&lt;&gt;"",G111&lt;&gt;"",I111&lt;&gt;""), (G111-F111)/(F111-I111), "")</f>
        <v/>
      </c>
      <c r="M111" s="5">
        <f>IF(N111&gt;0,"Win",IF(N111&lt;0,"Loss",""))</f>
        <v/>
      </c>
      <c r="N111" s="16">
        <f>IF(AND(F111&lt;&gt;"",G111&lt;&gt;"",H111&lt;&gt;"",D111&lt;&gt;""), IF(E111="Long", (G111-F111)*H111*VLOOKUP(D111,Multipliers!A:B,2,FALSE), (F111-G111)*H111*VLOOKUP(D111,Multipliers!A:B,2,FALSE)), "")</f>
        <v/>
      </c>
      <c r="O111" s="9">
        <f>IF(AND(N111&lt;&gt;"",F111&lt;&gt;"",H111&lt;&gt;"",D111&lt;&gt;""), N111/(F111*H111*VLOOKUP(D111,Multipliers!A:B,2,FALSE)), "")</f>
        <v/>
      </c>
      <c r="P111" s="5">
        <f>P110+N111</f>
        <v/>
      </c>
      <c r="Q111" s="5" t="inlineStr">
        <is>
          <t>Break and Retest</t>
        </is>
      </c>
      <c r="R111" s="5" t="inlineStr">
        <is>
          <t>Imported from Tradovate</t>
        </is>
      </c>
      <c r="S111" s="5" t="inlineStr">
        <is>
          <t>MNQ</t>
        </is>
      </c>
      <c r="T111" s="5" t="n"/>
      <c r="U111" s="5" t="n"/>
      <c r="V111" s="5" t="inlineStr">
        <is>
          <t>Overtraded</t>
        </is>
      </c>
      <c r="W111" s="5" t="n"/>
      <c r="X111" s="5" t="n"/>
      <c r="Y111" s="5" t="n"/>
      <c r="Z111" s="5" t="n"/>
      <c r="AA111" s="5" t="n"/>
    </row>
    <row r="112" ht="15.75" customHeight="1">
      <c r="A112" s="5" t="n">
        <v>119</v>
      </c>
      <c r="B112" s="22" t="n">
        <v>46266</v>
      </c>
      <c r="C112" s="10" t="n">
        <v>0.6296412037037037</v>
      </c>
      <c r="D112" s="5" t="inlineStr">
        <is>
          <t>MNQ</t>
        </is>
      </c>
      <c r="E112" s="5" t="inlineStr">
        <is>
          <t>Short</t>
        </is>
      </c>
      <c r="F112" s="5" t="n">
        <v>29099.5</v>
      </c>
      <c r="G112" s="5" t="n">
        <v>29121.5</v>
      </c>
      <c r="H112" s="5" t="n">
        <v>2</v>
      </c>
      <c r="I112" s="5" t="n">
        <v>29121.5</v>
      </c>
      <c r="J112" s="5" t="n">
        <v>29056.25</v>
      </c>
      <c r="K112" s="8">
        <f>IF(AND(I112&lt;&gt;"",J112&lt;&gt;"",F112&lt;&gt;""), (J112-F112)/(F112-I112), "")</f>
        <v/>
      </c>
      <c r="L112" s="8">
        <f>IF(AND(F112&lt;&gt;"",G112&lt;&gt;"",I112&lt;&gt;""), (G112-F112)/(F112-I112), "")</f>
        <v/>
      </c>
      <c r="M112" s="5">
        <f>IF(N112&gt;0,"Win",IF(N112&lt;0,"Loss",""))</f>
        <v/>
      </c>
      <c r="N112" s="16">
        <f>IF(AND(F112&lt;&gt;"",G112&lt;&gt;"",H112&lt;&gt;"",D112&lt;&gt;""), IF(E112="Long", (G112-F112)*H112*VLOOKUP(D112,Multipliers!A:B,2,FALSE), (F112-G112)*H112*VLOOKUP(D112,Multipliers!A:B,2,FALSE)), "")</f>
        <v/>
      </c>
      <c r="O112" s="9">
        <f>IF(AND(N112&lt;&gt;"",F112&lt;&gt;"",H112&lt;&gt;"",D112&lt;&gt;""), N112/(F112*H112*VLOOKUP(D112,Multipliers!A:B,2,FALSE)), "")</f>
        <v/>
      </c>
      <c r="P112" s="5">
        <f>P111+N112</f>
        <v/>
      </c>
      <c r="Q112" s="5" t="inlineStr">
        <is>
          <t>Break and Retest</t>
        </is>
      </c>
      <c r="R112" s="5" t="inlineStr">
        <is>
          <t>Imported from Tradovate</t>
        </is>
      </c>
      <c r="S112" s="5" t="inlineStr">
        <is>
          <t>MNQ</t>
        </is>
      </c>
      <c r="T112" s="5" t="n"/>
      <c r="U112" s="5" t="n"/>
      <c r="V112" s="5" t="inlineStr">
        <is>
          <t>Overtraded</t>
        </is>
      </c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>
        <f>IF(AND(N124&lt;&gt;"",F124&lt;&gt;"",H124&lt;&gt;"",D124&lt;&gt;""), N124/(F124*H124*VLOOKUP(D124,Multipliers!A:B,2,FALSE)), "")</f>
        <v/>
      </c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>
        <f>IF(AND(N125&lt;&gt;"",F125&lt;&gt;"",H125&lt;&gt;"",D125&lt;&gt;""), N125/(F125*H125*VLOOKUP(D125,Multipliers!A:B,2,FALSE)), "")</f>
        <v/>
      </c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IF(AND(N126&lt;&gt;"",F126&lt;&gt;"",H126&lt;&gt;"",D126&lt;&gt;""), N126/(F126*H126*VLOOKUP(D126,Multipliers!A:B,2,FALSE)),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IF(AND(N127&lt;&gt;"",F127&lt;&gt;"",H127&lt;&gt;"",D127&lt;&gt;""), N127/(F127*H127*VLOOKUP(D127,Multipliers!A:B,2,FALSE)),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IF(AND(N128&lt;&gt;"",F128&lt;&gt;"",H128&lt;&gt;"",D128&lt;&gt;""), N128/(F128*H128*VLOOKUP(D128,Multipliers!A:B,2,FALSE)),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2026-08-31 13:16</t>
        </is>
      </c>
    </row>
    <row r="3">
      <c r="A3" t="inlineStr">
        <is>
          <t>Date range</t>
        </is>
      </c>
      <c r="B3" t="inlineStr">
        <is>
          <t>2026-08-11 → 2026-08-31</t>
        </is>
      </c>
    </row>
    <row r="4">
      <c r="A4" t="inlineStr">
        <is>
          <t>Trades</t>
        </is>
      </c>
      <c r="B4" t="n">
        <v>93</v>
      </c>
    </row>
    <row r="5">
      <c r="A5" t="inlineStr">
        <is>
          <t>Win rate</t>
        </is>
      </c>
      <c r="B5" t="inlineStr">
        <is>
          <t>54.8%</t>
        </is>
      </c>
    </row>
    <row r="6">
      <c r="A6" t="inlineStr">
        <is>
          <t>Total P&amp;L</t>
        </is>
      </c>
      <c r="B6" t="n">
        <v>2383</v>
      </c>
    </row>
    <row r="7">
      <c r="A7" t="inlineStr">
        <is>
          <t>Profit factor</t>
        </is>
      </c>
      <c r="B7" t="n">
        <v>1.3</v>
      </c>
    </row>
    <row r="8">
      <c r="A8" t="inlineStr">
        <is>
          <t>Expectancy / trade</t>
        </is>
      </c>
      <c r="B8" t="n">
        <v>25.62</v>
      </c>
    </row>
    <row r="9">
      <c r="A9" t="inlineStr">
        <is>
          <t>Avg win</t>
        </is>
      </c>
      <c r="B9" t="n">
        <v>204.53</v>
      </c>
    </row>
    <row r="10">
      <c r="A10" t="inlineStr">
        <is>
          <t>Avg loss</t>
        </is>
      </c>
      <c r="B10" t="n">
        <v>-191.62</v>
      </c>
    </row>
    <row r="11">
      <c r="A11" t="inlineStr">
        <is>
          <t>Avg RR targeted</t>
        </is>
      </c>
      <c r="B11" t="n">
        <v>1.35</v>
      </c>
    </row>
    <row r="12">
      <c r="A12" t="inlineStr">
        <is>
          <t>Avg RR realized</t>
        </is>
      </c>
      <c r="B12" t="n">
        <v>0.04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88</v>
      </c>
      <c r="C19" t="inlineStr">
        <is>
          <t>53%</t>
        </is>
      </c>
      <c r="D19" t="n">
        <v>1924</v>
      </c>
      <c r="E19" t="n">
        <v>21.86</v>
      </c>
    </row>
    <row r="20">
      <c r="A20" t="inlineStr">
        <is>
          <t>ZTH Indicator</t>
        </is>
      </c>
      <c r="B20" t="n">
        <v>2</v>
      </c>
      <c r="C20" t="inlineStr">
        <is>
          <t>100%</t>
        </is>
      </c>
      <c r="D20" t="n">
        <v>351</v>
      </c>
      <c r="E20" t="n">
        <v>175.5</v>
      </c>
    </row>
    <row r="21">
      <c r="A21" t="inlineStr">
        <is>
          <t>Gap up</t>
        </is>
      </c>
      <c r="B21" t="n">
        <v>1</v>
      </c>
      <c r="C21" t="inlineStr">
        <is>
          <t>100%</t>
        </is>
      </c>
      <c r="D21" t="n">
        <v>199</v>
      </c>
      <c r="E21" t="n">
        <v>199</v>
      </c>
    </row>
    <row r="22">
      <c r="A22" t="inlineStr">
        <is>
          <t>Rejection</t>
        </is>
      </c>
      <c r="B22" t="n">
        <v>1</v>
      </c>
      <c r="C22" t="inlineStr">
        <is>
          <t>100%</t>
        </is>
      </c>
      <c r="D22" t="n">
        <v>134</v>
      </c>
      <c r="E22" t="n">
        <v>134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51</v>
      </c>
      <c r="C27" t="inlineStr">
        <is>
          <t>57%</t>
        </is>
      </c>
      <c r="D27" t="n">
        <v>2021</v>
      </c>
      <c r="E27" t="n">
        <v>39.63</v>
      </c>
    </row>
    <row r="28">
      <c r="A28" t="inlineStr">
        <is>
          <t>MNQ</t>
        </is>
      </c>
      <c r="B28" t="n">
        <v>42</v>
      </c>
      <c r="C28" t="inlineStr">
        <is>
          <t>52%</t>
        </is>
      </c>
      <c r="D28" t="n">
        <v>362</v>
      </c>
      <c r="E28" t="n">
        <v>8.619999999999999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52</v>
      </c>
      <c r="C32" t="inlineStr">
        <is>
          <t>50%</t>
        </is>
      </c>
      <c r="D32" t="n">
        <v>2269.5</v>
      </c>
      <c r="E32" t="n">
        <v>43.64</v>
      </c>
    </row>
    <row r="33">
      <c r="A33" t="inlineStr">
        <is>
          <t>Short</t>
        </is>
      </c>
      <c r="B33" t="n">
        <v>41</v>
      </c>
      <c r="C33" t="inlineStr">
        <is>
          <t>61%</t>
        </is>
      </c>
      <c r="D33" t="n">
        <v>113.5</v>
      </c>
      <c r="E33" t="n">
        <v>2.77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4</v>
      </c>
      <c r="C37" t="inlineStr">
        <is>
          <t>75%</t>
        </is>
      </c>
      <c r="D37" t="n">
        <v>82</v>
      </c>
      <c r="E37" t="n">
        <v>20.5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17</v>
      </c>
      <c r="C39" t="inlineStr">
        <is>
          <t>71%</t>
        </is>
      </c>
      <c r="D39" t="n">
        <v>1907.5</v>
      </c>
      <c r="E39" t="n">
        <v>112.21</v>
      </c>
    </row>
    <row r="40">
      <c r="A40" t="inlineStr">
        <is>
          <t>10:00</t>
        </is>
      </c>
      <c r="B40" t="n">
        <v>21</v>
      </c>
      <c r="C40" t="inlineStr">
        <is>
          <t>43%</t>
        </is>
      </c>
      <c r="D40" t="n">
        <v>206</v>
      </c>
      <c r="E40" t="n">
        <v>9.81</v>
      </c>
    </row>
    <row r="41">
      <c r="A41" t="inlineStr">
        <is>
          <t>11:00</t>
        </is>
      </c>
      <c r="B41" t="n">
        <v>10</v>
      </c>
      <c r="C41" t="inlineStr">
        <is>
          <t>40%</t>
        </is>
      </c>
      <c r="D41" t="n">
        <v>-139</v>
      </c>
      <c r="E41" t="n">
        <v>-13.9</v>
      </c>
    </row>
    <row r="42">
      <c r="A42" t="inlineStr">
        <is>
          <t>12:00</t>
        </is>
      </c>
      <c r="B42" t="n">
        <v>6</v>
      </c>
      <c r="C42" t="inlineStr">
        <is>
          <t>83%</t>
        </is>
      </c>
      <c r="D42" t="n">
        <v>-2</v>
      </c>
      <c r="E42" t="n">
        <v>-0.33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2</v>
      </c>
      <c r="C44" t="inlineStr">
        <is>
          <t>0%</t>
        </is>
      </c>
      <c r="D44" t="n">
        <v>-402</v>
      </c>
      <c r="E44" t="n">
        <v>-201</v>
      </c>
    </row>
    <row r="45">
      <c r="A45" t="inlineStr">
        <is>
          <t>15:00</t>
        </is>
      </c>
      <c r="B45" t="n">
        <v>1</v>
      </c>
      <c r="C45" t="inlineStr">
        <is>
          <t>0%</t>
        </is>
      </c>
      <c r="D45" t="n">
        <v>-120</v>
      </c>
      <c r="E45" t="n">
        <v>-120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4</v>
      </c>
      <c r="C48" t="inlineStr">
        <is>
          <t>50%</t>
        </is>
      </c>
      <c r="D48" t="n">
        <v>457</v>
      </c>
      <c r="E48" t="n">
        <v>114.25</v>
      </c>
    </row>
    <row r="49">
      <c r="A49" t="inlineStr">
        <is>
          <t>21:00</t>
        </is>
      </c>
      <c r="B49" t="n">
        <v>6</v>
      </c>
      <c r="C49" t="inlineStr">
        <is>
          <t>83%</t>
        </is>
      </c>
      <c r="D49" t="n">
        <v>545</v>
      </c>
      <c r="E49" t="n">
        <v>90.83</v>
      </c>
    </row>
    <row r="50">
      <c r="A50" t="inlineStr">
        <is>
          <t>22:00</t>
        </is>
      </c>
      <c r="B50" t="n">
        <v>5</v>
      </c>
      <c r="C50" t="inlineStr">
        <is>
          <t>40%</t>
        </is>
      </c>
      <c r="D50" t="n">
        <v>1886</v>
      </c>
      <c r="E50" t="n">
        <v>377.2</v>
      </c>
    </row>
    <row r="51">
      <c r="A51" t="inlineStr">
        <is>
          <t>23:00</t>
        </is>
      </c>
      <c r="B51" t="n">
        <v>6</v>
      </c>
      <c r="C51" t="inlineStr">
        <is>
          <t>50%</t>
        </is>
      </c>
      <c r="D51" t="n">
        <v>-479</v>
      </c>
      <c r="E51" t="n">
        <v>-79.83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9</v>
      </c>
      <c r="C55" t="inlineStr">
        <is>
          <t>56%</t>
        </is>
      </c>
      <c r="D55" t="n">
        <v>1387</v>
      </c>
      <c r="E55" t="n">
        <v>154.11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9</v>
      </c>
      <c r="C57" t="inlineStr">
        <is>
          <t>67%</t>
        </is>
      </c>
      <c r="D57" t="n">
        <v>755</v>
      </c>
      <c r="E57" t="n">
        <v>83.89</v>
      </c>
    </row>
    <row r="58">
      <c r="A58" t="inlineStr">
        <is>
          <t>Wed</t>
        </is>
      </c>
      <c r="B58" t="n">
        <v>25</v>
      </c>
      <c r="C58" t="inlineStr">
        <is>
          <t>60%</t>
        </is>
      </c>
      <c r="D58" t="n">
        <v>-8.5</v>
      </c>
      <c r="E58" t="n">
        <v>-0.34</v>
      </c>
    </row>
    <row r="59">
      <c r="A59" t="inlineStr">
        <is>
          <t>Mon</t>
        </is>
      </c>
      <c r="B59" t="n">
        <v>17</v>
      </c>
      <c r="C59" t="inlineStr">
        <is>
          <t>41%</t>
        </is>
      </c>
      <c r="D59" t="n">
        <v>-256</v>
      </c>
      <c r="E59" t="n">
        <v>-15.06</v>
      </c>
    </row>
    <row r="60">
      <c r="A60" t="inlineStr">
        <is>
          <t>Tue</t>
        </is>
      </c>
      <c r="B60" t="n">
        <v>21</v>
      </c>
      <c r="C60" t="inlineStr">
        <is>
          <t>48%</t>
        </is>
      </c>
      <c r="D60" t="n">
        <v>-425</v>
      </c>
      <c r="E60" t="n">
        <v>-20.24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12 trades on 2026-08-26 (&gt; 6)</t>
        </is>
      </c>
    </row>
    <row r="66">
      <c r="A66" t="inlineStr">
        <is>
          <t>Overtrading</t>
        </is>
      </c>
      <c r="B66" t="inlineStr">
        <is>
          <t>10 trades on 2026-08-31 (&gt; 6)</t>
        </is>
      </c>
    </row>
    <row r="67">
      <c r="A67" t="inlineStr">
        <is>
          <t>Possible revenge trade</t>
        </is>
      </c>
      <c r="B67" t="inlineStr">
        <is>
          <t>MGC Short at 08/11 19:34 — 4 min after a loss, size 10</t>
        </is>
      </c>
    </row>
    <row r="68">
      <c r="A68" t="inlineStr">
        <is>
          <t>Possible revenge trade</t>
        </is>
      </c>
      <c r="B68" t="inlineStr">
        <is>
          <t>MGC Long at 08/11 23:25 — 14 min after a loss, size 10</t>
        </is>
      </c>
    </row>
    <row r="69">
      <c r="A69" t="inlineStr">
        <is>
          <t>Possible revenge trade</t>
        </is>
      </c>
      <c r="B69" t="inlineStr">
        <is>
          <t>MGC Short at 08/11 23:36 — 11 min after a loss, size 20</t>
        </is>
      </c>
    </row>
    <row r="70">
      <c r="A70" t="inlineStr">
        <is>
          <t>Possible revenge trade</t>
        </is>
      </c>
      <c r="B70" t="inlineStr">
        <is>
          <t>MGC Short at 08/13 22:59 — 9 min after a loss, size 3</t>
        </is>
      </c>
    </row>
    <row r="71">
      <c r="A71" t="inlineStr">
        <is>
          <t>Possible revenge trade</t>
        </is>
      </c>
      <c r="B71" t="inlineStr">
        <is>
          <t>MGC Long at 08/18 10:08 — 8 min after a loss, size 3</t>
        </is>
      </c>
    </row>
    <row r="72">
      <c r="A72" t="inlineStr">
        <is>
          <t>Possible revenge trade</t>
        </is>
      </c>
      <c r="B72" t="inlineStr">
        <is>
          <t>MNQ Short at 08/18 10:21 — 5 min after a loss, size 3</t>
        </is>
      </c>
    </row>
    <row r="73">
      <c r="A73" t="inlineStr">
        <is>
          <t>Possible revenge trade</t>
        </is>
      </c>
      <c r="B73" t="inlineStr">
        <is>
          <t>MGC Long at 08/23 19:46 — 11 min after a loss, size 1</t>
        </is>
      </c>
    </row>
    <row r="74">
      <c r="A74" t="inlineStr">
        <is>
          <t>Possible revenge trade</t>
        </is>
      </c>
      <c r="B74" t="inlineStr">
        <is>
          <t>MGC Long at 08/23 20:28 — 5 min after a loss, size 2</t>
        </is>
      </c>
    </row>
    <row r="75">
      <c r="A75" t="inlineStr">
        <is>
          <t>Possible revenge trade</t>
        </is>
      </c>
      <c r="B75" t="inlineStr">
        <is>
          <t>MNQ Short at 08/24 11:13 — 15 min after a loss, size 5</t>
        </is>
      </c>
    </row>
    <row r="76">
      <c r="A76" t="inlineStr">
        <is>
          <t>Possible revenge trade</t>
        </is>
      </c>
      <c r="B76" t="inlineStr">
        <is>
          <t>MGC Short at 08/26 11:55 — 9 min after a loss, size 5</t>
        </is>
      </c>
    </row>
    <row r="77">
      <c r="A77" t="inlineStr">
        <is>
          <t>Possible revenge trade</t>
        </is>
      </c>
      <c r="B77" t="inlineStr">
        <is>
          <t>MNQ Long at 08/26 21:16 — 11 min after a loss, size 12</t>
        </is>
      </c>
    </row>
    <row r="78">
      <c r="A78" t="inlineStr">
        <is>
          <t>Possible revenge trade</t>
        </is>
      </c>
      <c r="B78" t="inlineStr">
        <is>
          <t>MGC Long at 08/31 10:10 — 14 min after a loss, size 3</t>
        </is>
      </c>
    </row>
    <row r="79">
      <c r="A79" t="inlineStr">
        <is>
          <t>Possible revenge trade</t>
        </is>
      </c>
      <c r="B79" t="inlineStr">
        <is>
          <t>MNQ Short at 08/31 10:11 — 1 min after a loss, size 3</t>
        </is>
      </c>
    </row>
    <row r="80">
      <c r="A80" t="inlineStr">
        <is>
          <t>Stop overrun</t>
        </is>
      </c>
      <c r="B80" t="inlineStr">
        <is>
          <t>MNQ 08/12 11:57 realized RR -1.19 (worse than -1R)</t>
        </is>
      </c>
    </row>
    <row r="81">
      <c r="A81" t="inlineStr">
        <is>
          <t>Stop overrun</t>
        </is>
      </c>
      <c r="B81" t="inlineStr">
        <is>
          <t>MNQ 08/18 10:21 realized RR -1.19 (worse than -1R)</t>
        </is>
      </c>
    </row>
    <row r="82">
      <c r="A82" t="inlineStr">
        <is>
          <t>Winner cut short</t>
        </is>
      </c>
      <c r="B82" t="inlineStr">
        <is>
          <t>MGC 08/11 19:27 took 0.18R of 0.42R target</t>
        </is>
      </c>
    </row>
    <row r="83">
      <c r="A83" t="inlineStr">
        <is>
          <t>Winner cut short</t>
        </is>
      </c>
      <c r="B83" t="inlineStr">
        <is>
          <t>MNQ 08/25 10:32 took 0.49R of 2.16R target</t>
        </is>
      </c>
    </row>
    <row r="84">
      <c r="A84" t="inlineStr">
        <is>
          <t>Inconsistent sizing</t>
        </is>
      </c>
      <c r="B84" t="inlineStr">
        <is>
          <t>Position size varies a lot (CV 1.08)</t>
        </is>
      </c>
    </row>
    <row r="85">
      <c r="A85" t="inlineStr">
        <is>
          <t>Negative-edge hour</t>
        </is>
      </c>
      <c r="B85" t="inlineStr">
        <is>
          <t>12:00: 6 trades, 83% win, $-2 total</t>
        </is>
      </c>
    </row>
    <row r="86">
      <c r="A86" t="inlineStr">
        <is>
          <t>Negative-edge hour</t>
        </is>
      </c>
      <c r="B86" t="inlineStr">
        <is>
          <t>11:00: 10 trades, 40% win, $-139 total</t>
        </is>
      </c>
    </row>
    <row r="87">
      <c r="A87" t="inlineStr">
        <is>
          <t>Negative-edge hour</t>
        </is>
      </c>
      <c r="B87" t="inlineStr">
        <is>
          <t>23:00: 6 trades, 50% win, $-479 total</t>
        </is>
      </c>
    </row>
    <row r="88">
      <c r="A88" t="inlineStr">
        <is>
          <t>Negative-edge hour</t>
        </is>
      </c>
      <c r="B88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Here's the honest read on your August data — the top-line number ($2,383 net, PF 1.3) is masking a much better trader hiding inside a much worse one. Two data cuts below explain almost the entire story.</t>
        </is>
      </c>
    </row>
    <row r="4">
      <c r="A4" s="14" t="inlineStr"/>
    </row>
    <row r="5">
      <c r="A5" s="14" t="inlineStr">
        <is>
          <t>## The core finding: your edge is real but you're diluting it 2:1</t>
        </is>
      </c>
    </row>
    <row r="6">
      <c r="A6" s="14" t="inlineStr"/>
    </row>
    <row r="7">
      <c r="A7" s="14" t="inlineStr">
        <is>
          <t>Your indicator tags happen to partition all 93 trades cleanly into "quality" buckets, and the split is stark:</t>
        </is>
      </c>
    </row>
    <row r="8">
      <c r="A8" s="14" t="inlineStr"/>
    </row>
    <row r="9">
      <c r="A9" s="14" t="inlineStr">
        <is>
          <t>| Quality signal | Good side | Bad side |</t>
        </is>
      </c>
    </row>
    <row r="10">
      <c r="A10" s="14" t="inlineStr">
        <is>
          <t>|---|---|---|</t>
        </is>
      </c>
    </row>
    <row r="11">
      <c r="A11" s="14" t="inlineStr">
        <is>
          <t>| Pullback grade | Good/A+: 34 trades → **+$5,010** | Weak/No setup: 59 trades → **-$2,627** |</t>
        </is>
      </c>
    </row>
    <row r="12">
      <c r="A12" s="14" t="inlineStr">
        <is>
          <t>| 1H trend alignment | With trend: 55 trades → **+$3,787** | Against/unclear: 38 trades → **-$1,404** |</t>
        </is>
      </c>
    </row>
    <row r="13">
      <c r="A13" s="14" t="inlineStr">
        <is>
          <t>| At a key level | Yes: 63 trades → **+$4,561** | No: 30 trades → **-$2,178** |</t>
        </is>
      </c>
    </row>
    <row r="14">
      <c r="A14" s="14" t="inlineStr">
        <is>
          <t>| ADX (trend strength) | ≥20: 59 trades → **+$3,803** | &lt;20 (chop): 34 trades → **-$1,420** |</t>
        </is>
      </c>
    </row>
    <row r="15">
      <c r="A15" s="14" t="inlineStr">
        <is>
          <t>| Trigger-bar volume | High (≥1.2x): 34 trades → **+$2,514** | Weak: 59 trades → **-$131** |</t>
        </is>
      </c>
    </row>
    <row r="16">
      <c r="A16" s="14" t="inlineStr"/>
    </row>
    <row r="17">
      <c r="A17" s="14" t="inlineStr">
        <is>
          <t>These aren't 5 different stories — they're the same story told 5 ways: **when you take an A-grade Break and Retest (at a key level, with the 1-hour trend, in a trending ADX regime, on real volume), you have a strong, repeatable edge.** When you take a low-grade version of the same setup — weak pullback, chop, against/unclear trend — you bleed. 59 of your 93 trades (63%) fell into the low-quality bucket this month. If you'd simply passed on those, you'd be sitting closer to **$5,000** net instead of $2,383, with meaningfully less drawdown and screen time. This is the single highest-leverage fix available to you — not a new setup, just stricter filtering of the one you already have.</t>
        </is>
      </c>
    </row>
    <row r="18">
      <c r="A18" s="14" t="inlineStr"/>
    </row>
    <row r="19">
      <c r="A19" s="14" t="inlineStr">
        <is>
          <t>## Time of day confirms it</t>
        </is>
      </c>
    </row>
    <row r="20">
      <c r="A20" s="14" t="inlineStr">
        <is>
          <t>09:00 is your best hour by far (17 trades, 70.6% win, +$112 expectancy) — that's probably your primary session where setups are cleanest. Compare to 19:00 (-$1,471 over 7 trades), 23:00 (-$479), and 11:00 (-$139) — three "negative-edge hour" flags totaling **-$2,090**, almost enough by itself to explain the gap between your actual PnL and your potential PnL above. Late-session (19:00–23:00) trades are disproportionately where your revenge-trade flags cluster too (Aug 11, Aug 23). Worth asking: are you trading these hours because a real setup showed up, or because you're still at the screen after a loss and don't want to end the day red?</t>
        </is>
      </c>
    </row>
    <row r="21">
      <c r="A21" s="14" t="inlineStr"/>
    </row>
    <row r="22">
      <c r="A22" s="14" t="inlineStr">
        <is>
          <t>## The overtrading → revenge → oversized chain</t>
        </is>
      </c>
    </row>
    <row r="23">
      <c r="A23" s="14" t="inlineStr">
        <is>
          <t>Four days flagged for overtrading (Aug 11: 11 trades, Aug 12: 9, Aug 26: 12, Aug 31: 10 — today), and most of your 17 "possible revenge trade" flags sit inside those same days. The dangerous part isn't that revenge trades lost money this month — the "Revenge trade" tag actually shows +$2,091 (n=14) and "Oversized" shows +$1,745 (n=15, 73% win). **That's not a green light, it's survivorship.** Look at the actual sizes: MGC Short 08/11 23:36 at size 20, MNQ Long 08/26 21:16 at size 12 — these are 4-6x your typical 3-lot. Your largest loss (-$1,310) and max drawdown (-$1,750) live in this same behavioral neighborhood. You got away with sizing up under tilt this month; the position-size CV of 1.08 (flagged as "inconsistent sizing") says this isn't a controlled, conviction-based scale-up, it's a variance amplifier that will eventually bite on a day the market doesn't cooperate.</t>
        </is>
      </c>
    </row>
    <row r="24">
      <c r="A24" s="14" t="inlineStr"/>
    </row>
    <row r="25">
      <c r="A25" s="14" t="inlineStr">
        <is>
          <t>Today (Aug 31) is a live example: MGC 08/31 was a near-doji day (body = 2% of range — basically no trend), yet you still ran 10 trades, and the recent log shows a loss at 10:10 (revenge flagged), immediately followed by another loss at 10:11 one minute later (also revenge flagged) — chaining into a second impulsive trade before the first one's emotional charge even faded.</t>
        </is>
      </c>
    </row>
    <row r="26">
      <c r="A26" s="14" t="inlineStr"/>
    </row>
    <row r="27">
      <c r="A27" s="14" t="inlineStr">
        <is>
          <t>## Other things worth your attention</t>
        </is>
      </c>
    </row>
    <row r="28">
      <c r="A28" s="14" t="inlineStr">
        <is>
          <t>- **RR gap is the loudest number in the summary**: you target 1.35R on average but realize 0.04R. Even accounting for losers, that's an extreme shortfall — you're either cutting winners way early (confirmed by 2 explicit "winner cut short" flags, one where you took 0.18R of a 0.42R target, another where you left 1.67R on the table) or your stop/target execution doesn't match what you planned. This is worth fixing before anything else — it's suppressing your PF directly.</t>
        </is>
      </c>
    </row>
    <row r="29">
      <c r="A29" s="14" t="inlineStr">
        <is>
          <t>- **Longs ($43.64 expectancy) crush shorts ($2.77)** despite shorts having the *higher* win rate (61% vs 50%). That means your average short loser is oversized relative to your average short winner — a risk/reward problem specific to the short side, possibly tied to the MGC revenge-short cluster.</t>
        </is>
      </c>
    </row>
    <row r="30">
      <c r="A30" s="14" t="inlineStr">
        <is>
          <t>- **MGC ($39.63 expectancy) &gt;&gt; MNQ ($8.62)**. MNQ is close to a coin-flip for you money-wise right now; worth checking if MNQ trades skew toward the low-quality bucket above.</t>
        </is>
      </c>
    </row>
    <row r="31">
      <c r="A31" s="14" t="inlineStr">
        <is>
          <t>- One counterintuitive result: "Supertrends NOT aligned" outperformed "aligned" (+$2,665 vs -$282, n=63 vs 30). Don't read this as "fade alignment" — it's far more likely confounded with your other quality filters (alignment may be a lagging signal that only completes after the good part of the move is gone). Not actionable on its own; just don't let it talk you into inverting the signal.</t>
        </is>
      </c>
    </row>
    <row r="32">
      <c r="A32" s="14" t="inlineStr"/>
    </row>
    <row r="33">
      <c r="A33" s="14" t="inlineStr">
        <is>
          <t>## Three concrete rules for next week</t>
        </is>
      </c>
    </row>
    <row r="34">
      <c r="A34" s="14" t="inlineStr">
        <is>
          <t>1. **Only take trades that are "Good" or "A+" pullback grade, at a key level, with the 1H trend, and ADX ≥ 20.** If a setup is missing 2+ of these, skip it — that population is a net loser regardless of setup name.</t>
        </is>
      </c>
    </row>
    <row r="35">
      <c r="A35" s="14" t="inlineStr">
        <is>
          <t>2. **Hard cap: no new trade within 15 minutes of a loss, and no size increase for the rest of the session after any loss.** This directly targets the revenge/overtrading cluster before it produces the next -$1,310 day.</t>
        </is>
      </c>
    </row>
    <row r="36">
      <c r="A36" s="14" t="inlineStr">
        <is>
          <t>3. **Flag 19:00–23:00 as a reduced-size or no-trade window** unless it's an A+ setup — you have three separate hour-buckets in this window bleeding money, likely from mental fatigue or after-a-loss trading rather than genuinely bad setups at those hours.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-4577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-4577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-4716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-4716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1.52</v>
      </c>
      <c r="S6" t="n">
        <v>-4008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1.32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-2726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75.09999999999999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4441.14</v>
      </c>
      <c r="P8" t="inlineStr">
        <is>
          <t>above</t>
        </is>
      </c>
      <c r="Q8" t="n">
        <v>4444.25</v>
      </c>
      <c r="R8" t="n">
        <v>2.29</v>
      </c>
      <c r="S8" t="n">
        <v>-1849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71.3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1.95</v>
      </c>
      <c r="S9" t="n">
        <v>-1808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1.18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68.90000000000001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4442.42</v>
      </c>
      <c r="P10" t="inlineStr">
        <is>
          <t>above</t>
        </is>
      </c>
      <c r="Q10" t="n">
        <v>4444.2</v>
      </c>
      <c r="R10" t="n">
        <v>2.07</v>
      </c>
      <c r="S10" t="n">
        <v>-1900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61.4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-2055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-2358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74.5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29698.51</v>
      </c>
      <c r="P13" t="inlineStr">
        <is>
          <t>above</t>
        </is>
      </c>
      <c r="Q13" t="n">
        <v>29634.79</v>
      </c>
      <c r="R13" t="n">
        <v>0.8100000000000001</v>
      </c>
      <c r="S13" t="n">
        <v>-20867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48.6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4457.92</v>
      </c>
      <c r="P14" t="inlineStr">
        <is>
          <t>above</t>
        </is>
      </c>
      <c r="Q14" t="n">
        <v>4466.39</v>
      </c>
      <c r="R14" t="n">
        <v>1.28</v>
      </c>
      <c r="S14" t="n">
        <v>4436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9.68</v>
      </c>
      <c r="O16" t="n">
        <v>4478.64</v>
      </c>
      <c r="P16" t="inlineStr">
        <is>
          <t>above</t>
        </is>
      </c>
      <c r="Q16" t="n">
        <v>4474.18</v>
      </c>
      <c r="R16" t="n">
        <v>1.15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29904.66</v>
      </c>
      <c r="P17" t="inlineStr">
        <is>
          <t>below</t>
        </is>
      </c>
      <c r="Q17" t="n">
        <v>29878.13</v>
      </c>
      <c r="R17" t="n">
        <v>0.78</v>
      </c>
      <c r="S17" t="n">
        <v>-16307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-16824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29898.1</v>
      </c>
      <c r="P19" t="inlineStr">
        <is>
          <t>below</t>
        </is>
      </c>
      <c r="Q19" t="n">
        <v>29908.09</v>
      </c>
      <c r="R19" t="n">
        <v>0.87</v>
      </c>
      <c r="S19" t="n">
        <v>-16568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strong bearish close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-20113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5.08</v>
      </c>
      <c r="O21" t="n">
        <v>4478.14</v>
      </c>
      <c r="P21" t="inlineStr">
        <is>
          <t>below</t>
        </is>
      </c>
      <c r="Q21" t="n">
        <v>4479.5</v>
      </c>
      <c r="R21" t="n">
        <v>0.73</v>
      </c>
      <c r="S21" t="n">
        <v>-1793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4465.03</v>
      </c>
      <c r="P22" t="inlineStr">
        <is>
          <t>below</t>
        </is>
      </c>
      <c r="Q22" t="n">
        <v>4479.13</v>
      </c>
      <c r="R22" t="n">
        <v>0.63</v>
      </c>
      <c r="S22" t="n">
        <v>-1051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83.7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29997.1</v>
      </c>
      <c r="P23" t="inlineStr">
        <is>
          <t>above</t>
        </is>
      </c>
      <c r="Q23" t="n">
        <v>29902.34</v>
      </c>
      <c r="R23" t="n">
        <v>1.08</v>
      </c>
      <c r="S23" t="n">
        <v>33183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strong bullish close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1609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39.9</v>
      </c>
      <c r="K25" t="inlineStr">
        <is>
          <t>bear</t>
        </is>
      </c>
      <c r="L25" t="inlineStr">
        <is>
          <t>+</t>
        </is>
      </c>
      <c r="M25" t="n">
        <v>52.4</v>
      </c>
      <c r="N25" t="n">
        <v>6.07</v>
      </c>
      <c r="O25" t="n">
        <v>4413.23</v>
      </c>
      <c r="P25" t="inlineStr">
        <is>
          <t>below</t>
        </is>
      </c>
      <c r="Q25" t="n">
        <v>4431.23</v>
      </c>
      <c r="R25" t="n">
        <v>0.5600000000000001</v>
      </c>
      <c r="S25" t="n">
        <v>-5147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39.8</v>
      </c>
      <c r="K26" t="inlineStr">
        <is>
          <t>bear</t>
        </is>
      </c>
      <c r="L26" t="inlineStr">
        <is>
          <t>+</t>
        </is>
      </c>
      <c r="M26" t="n">
        <v>52.5</v>
      </c>
      <c r="N26" t="n">
        <v>5.9</v>
      </c>
      <c r="O26" t="n">
        <v>4413.1</v>
      </c>
      <c r="P26" t="inlineStr">
        <is>
          <t>below</t>
        </is>
      </c>
      <c r="Q26" t="n">
        <v>4431.23</v>
      </c>
      <c r="R26" t="n">
        <v>1</v>
      </c>
      <c r="S26" t="n">
        <v>-4987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958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44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30231.83</v>
      </c>
      <c r="P28" t="inlineStr">
        <is>
          <t>below</t>
        </is>
      </c>
      <c r="Q28" t="n">
        <v>30229.28</v>
      </c>
      <c r="R28" t="n">
        <v>0.6899999999999999</v>
      </c>
      <c r="S28" t="n">
        <v>-683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36.9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30166.81</v>
      </c>
      <c r="P29" t="inlineStr">
        <is>
          <t>below</t>
        </is>
      </c>
      <c r="Q29" t="n">
        <v>30239.55</v>
      </c>
      <c r="R29" t="n">
        <v>1.02</v>
      </c>
      <c r="S29" t="n">
        <v>-24672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30155.19</v>
      </c>
      <c r="P30" t="inlineStr">
        <is>
          <t>below</t>
        </is>
      </c>
      <c r="Q30" t="n">
        <v>30239.55</v>
      </c>
      <c r="R30" t="n">
        <v>0.74</v>
      </c>
      <c r="S30" t="n">
        <v>-26282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30154.32</v>
      </c>
      <c r="P31" t="inlineStr">
        <is>
          <t>below</t>
        </is>
      </c>
      <c r="Q31" t="n">
        <v>30239.55</v>
      </c>
      <c r="R31" t="n">
        <v>0.74</v>
      </c>
      <c r="S31" t="n">
        <v>-24705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30153.37</v>
      </c>
      <c r="P32" t="inlineStr">
        <is>
          <t>below</t>
        </is>
      </c>
      <c r="Q32" t="n">
        <v>30239.55</v>
      </c>
      <c r="R32" t="n">
        <v>0.77</v>
      </c>
      <c r="S32" t="n">
        <v>-25488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50.8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32.49</v>
      </c>
      <c r="O33" t="n">
        <v>30212.46</v>
      </c>
      <c r="P33" t="inlineStr">
        <is>
          <t>above</t>
        </is>
      </c>
      <c r="Q33" t="n">
        <v>30201.93</v>
      </c>
      <c r="R33" t="n">
        <v>0.67</v>
      </c>
      <c r="S33" t="n">
        <v>-9581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65.09999999999999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4456.81</v>
      </c>
      <c r="P34" t="inlineStr">
        <is>
          <t>above</t>
        </is>
      </c>
      <c r="Q34" t="n">
        <v>4457.35</v>
      </c>
      <c r="R34" t="n">
        <v>0.64</v>
      </c>
      <c r="S34" t="n">
        <v>604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52.5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0.9399999999999999</v>
      </c>
      <c r="S35" t="n">
        <v>-3153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4452.11</v>
      </c>
      <c r="P36" t="inlineStr">
        <is>
          <t>above</t>
        </is>
      </c>
      <c r="Q36" t="n">
        <v>4442.54</v>
      </c>
      <c r="R36" t="n">
        <v>1.51</v>
      </c>
      <c r="S36" t="n">
        <v>5102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53.1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4452.43</v>
      </c>
      <c r="P37" t="inlineStr">
        <is>
          <t>above</t>
        </is>
      </c>
      <c r="Q37" t="n">
        <v>4442.54</v>
      </c>
      <c r="R37" t="n">
        <v>0.87</v>
      </c>
      <c r="S37" t="n">
        <v>4347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38.4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29665.85</v>
      </c>
      <c r="P38" t="inlineStr">
        <is>
          <t>below</t>
        </is>
      </c>
      <c r="Q38" t="n">
        <v>29691.77</v>
      </c>
      <c r="R38" t="n">
        <v>1.23</v>
      </c>
      <c r="S38" t="n">
        <v>-16933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1.45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29663.29</v>
      </c>
      <c r="P39" t="inlineStr">
        <is>
          <t>below</t>
        </is>
      </c>
      <c r="Q39" t="n">
        <v>29691.77</v>
      </c>
      <c r="R39" t="n">
        <v>1.36</v>
      </c>
      <c r="S39" t="n">
        <v>-13177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4449.98</v>
      </c>
      <c r="P40" t="inlineStr">
        <is>
          <t>below</t>
        </is>
      </c>
      <c r="Q40" t="n">
        <v>4442.54</v>
      </c>
      <c r="R40" t="n">
        <v>0.97</v>
      </c>
      <c r="S40" t="n">
        <v>2190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45.8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44.57</v>
      </c>
      <c r="O41" t="n">
        <v>29645.51</v>
      </c>
      <c r="P41" t="inlineStr">
        <is>
          <t>below</t>
        </is>
      </c>
      <c r="Q41" t="n">
        <v>29694.91</v>
      </c>
      <c r="R41" t="n">
        <v>1.38</v>
      </c>
      <c r="S41" t="n">
        <v>-16404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51.8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29547.55</v>
      </c>
      <c r="P42" t="inlineStr">
        <is>
          <t>above</t>
        </is>
      </c>
      <c r="Q42" t="n">
        <v>29591.36</v>
      </c>
      <c r="R42" t="n">
        <v>0.74</v>
      </c>
      <c r="S42" t="n">
        <v>-18359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5.76</v>
      </c>
      <c r="O43" t="n">
        <v>4537.69</v>
      </c>
      <c r="P43" t="inlineStr">
        <is>
          <t>above</t>
        </is>
      </c>
      <c r="Q43" t="n">
        <v>4542.69</v>
      </c>
      <c r="R43" t="n">
        <v>10.86</v>
      </c>
      <c r="S43" t="n">
        <v>7653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29.18</v>
      </c>
      <c r="O44" t="n">
        <v>29547.32</v>
      </c>
      <c r="P44" t="inlineStr">
        <is>
          <t>below</t>
        </is>
      </c>
      <c r="Q44" t="n">
        <v>29545.49</v>
      </c>
      <c r="R44" t="n">
        <v>0.93</v>
      </c>
      <c r="S44" t="n">
        <v>-30447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59.9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</v>
      </c>
      <c r="P45" t="inlineStr">
        <is>
          <t>above</t>
        </is>
      </c>
      <c r="Q45" t="n">
        <v>4535.01</v>
      </c>
      <c r="R45" t="n">
        <v>0.89</v>
      </c>
      <c r="S45" t="n">
        <v>3813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54.46</v>
      </c>
      <c r="O46" t="n">
        <v>29386.98</v>
      </c>
      <c r="P46" t="inlineStr">
        <is>
          <t>below</t>
        </is>
      </c>
      <c r="Q46" t="n">
        <v>29355.18</v>
      </c>
      <c r="R46" t="n">
        <v>1.06</v>
      </c>
      <c r="S46" t="n">
        <v>16581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47.2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4641.06</v>
      </c>
      <c r="P47" t="inlineStr">
        <is>
          <t>below</t>
        </is>
      </c>
      <c r="Q47" t="n">
        <v>4638.84</v>
      </c>
      <c r="R47" t="n">
        <v>1.4</v>
      </c>
      <c r="S47" t="n">
        <v>327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51.2</v>
      </c>
      <c r="K48" t="inlineStr">
        <is>
          <t>bull</t>
        </is>
      </c>
      <c r="L48" t="inlineStr">
        <is>
          <t>+</t>
        </is>
      </c>
      <c r="M48" t="n">
        <v>17.6</v>
      </c>
      <c r="N48" t="n">
        <v>4.28</v>
      </c>
      <c r="O48" t="n">
        <v>4670.17</v>
      </c>
      <c r="P48" t="inlineStr">
        <is>
          <t>below</t>
        </is>
      </c>
      <c r="Q48" t="n">
        <v>4673.3</v>
      </c>
      <c r="R48" t="n">
        <v>2.21</v>
      </c>
      <c r="S48" t="n">
        <v>-33</v>
      </c>
      <c r="T48" t="n">
        <v>203</v>
      </c>
      <c r="U48" t="inlineStr">
        <is>
          <t>broke the leg (reversal risk)</t>
        </is>
      </c>
      <c r="V48" t="inlineStr">
        <is>
          <t>Weak</t>
        </is>
      </c>
      <c r="W48" t="n">
        <v>1</v>
      </c>
      <c r="X48" t="inlineStr">
        <is>
          <t>Round</t>
        </is>
      </c>
      <c r="Y48" t="inlineStr">
        <is>
          <t>strong bearish close</t>
        </is>
      </c>
      <c r="Z48" t="n">
        <v>1.48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4669.92</v>
      </c>
      <c r="P49" t="inlineStr">
        <is>
          <t>below</t>
        </is>
      </c>
      <c r="Q49" t="n">
        <v>4673.3</v>
      </c>
      <c r="R49" t="n">
        <v>1.73</v>
      </c>
      <c r="S49" t="n">
        <v>-64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1.34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45.3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4678.58</v>
      </c>
      <c r="P50" t="inlineStr">
        <is>
          <t>below</t>
        </is>
      </c>
      <c r="Q50" t="n">
        <v>4690.8</v>
      </c>
      <c r="R50" t="n">
        <v>3.05</v>
      </c>
      <c r="S50" t="n">
        <v>-120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</v>
      </c>
      <c r="O51" t="n">
        <v>4676.5</v>
      </c>
      <c r="P51" t="inlineStr">
        <is>
          <t>below</t>
        </is>
      </c>
      <c r="Q51" t="n">
        <v>4660.57</v>
      </c>
      <c r="R51" t="n">
        <v>3.53</v>
      </c>
      <c r="S51" t="n">
        <v>-11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57.9</v>
      </c>
      <c r="K52" t="inlineStr">
        <is>
          <t>bull</t>
        </is>
      </c>
      <c r="L52" t="inlineStr">
        <is>
          <t>-</t>
        </is>
      </c>
      <c r="M52" t="n">
        <v>20.5</v>
      </c>
      <c r="N52" t="n">
        <v>8.43</v>
      </c>
      <c r="O52" t="n">
        <v>4683.05</v>
      </c>
      <c r="P52" t="inlineStr">
        <is>
          <t>below</t>
        </is>
      </c>
      <c r="Q52" t="n">
        <v>4689.77</v>
      </c>
      <c r="R52" t="n">
        <v>1.84</v>
      </c>
      <c r="S52" t="n">
        <v>1598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12.9</v>
      </c>
      <c r="N53" t="n">
        <v>6.23</v>
      </c>
      <c r="O53" t="n">
        <v>4684.84</v>
      </c>
      <c r="P53" t="inlineStr">
        <is>
          <t>above</t>
        </is>
      </c>
      <c r="Q53" t="n">
        <v>4689.77</v>
      </c>
      <c r="R53" t="n">
        <v>0.91</v>
      </c>
      <c r="S53" t="n">
        <v>1115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53.1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strong bearish close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48.6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29047.95</v>
      </c>
      <c r="P55" t="inlineStr">
        <is>
          <t>above</t>
        </is>
      </c>
      <c r="Q55" t="n">
        <v>29002.3</v>
      </c>
      <c r="R55" t="n">
        <v>0.83</v>
      </c>
      <c r="S55" t="n">
        <v>-22834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0.82</v>
      </c>
      <c r="S56" t="n">
        <v>-28614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33.3</v>
      </c>
      <c r="K57" t="inlineStr">
        <is>
          <t>bear</t>
        </is>
      </c>
      <c r="L57" t="inlineStr">
        <is>
          <t>-</t>
        </is>
      </c>
      <c r="M57" t="n">
        <v>29.2</v>
      </c>
      <c r="N57" t="n">
        <v>8.199999999999999</v>
      </c>
      <c r="O57" t="n">
        <v>4667.74</v>
      </c>
      <c r="P57" t="inlineStr">
        <is>
          <t>below</t>
        </is>
      </c>
      <c r="Q57" t="n">
        <v>4671.26</v>
      </c>
      <c r="R57" t="n">
        <v>1.06</v>
      </c>
      <c r="S57" t="n">
        <v>-1293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1.36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34.8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29315.54</v>
      </c>
      <c r="P58" t="inlineStr">
        <is>
          <t>below</t>
        </is>
      </c>
      <c r="Q58" t="n">
        <v>29329.98</v>
      </c>
      <c r="R58" t="n">
        <v>1.16</v>
      </c>
      <c r="S58" t="n">
        <v>-11968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32.1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46.08</v>
      </c>
      <c r="O59" t="n">
        <v>29300.39</v>
      </c>
      <c r="P59" t="inlineStr">
        <is>
          <t>below</t>
        </is>
      </c>
      <c r="Q59" t="n">
        <v>29342.1</v>
      </c>
      <c r="R59" t="n">
        <v>1.76</v>
      </c>
      <c r="S59" t="n">
        <v>-14734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4687.72</v>
      </c>
      <c r="P60" t="inlineStr">
        <is>
          <t>above</t>
        </is>
      </c>
      <c r="Q60" t="n">
        <v>4677.28</v>
      </c>
      <c r="R60" t="n">
        <v>1</v>
      </c>
      <c r="S60" t="n">
        <v>4805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38.6</v>
      </c>
      <c r="K61" t="inlineStr">
        <is>
          <t>bear</t>
        </is>
      </c>
      <c r="L61" t="inlineStr">
        <is>
          <t>-</t>
        </is>
      </c>
      <c r="M61" t="n">
        <v>24.1</v>
      </c>
      <c r="N61" t="n">
        <v>5.11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4844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56.3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1026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4677.36</v>
      </c>
      <c r="P63" t="inlineStr">
        <is>
          <t>above</t>
        </is>
      </c>
      <c r="Q63" t="n">
        <v>4683.11</v>
      </c>
      <c r="R63" t="n">
        <v>0.62</v>
      </c>
      <c r="S63" t="n">
        <v>1320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50.7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4664.43</v>
      </c>
      <c r="P64" t="inlineStr">
        <is>
          <t>below</t>
        </is>
      </c>
      <c r="Q64" t="n">
        <v>4653.95</v>
      </c>
      <c r="R64" t="n">
        <v>1.4</v>
      </c>
      <c r="S64" t="n">
        <v>1914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4664.04</v>
      </c>
      <c r="P65" t="inlineStr">
        <is>
          <t>below</t>
        </is>
      </c>
      <c r="Q65" t="n">
        <v>4653.95</v>
      </c>
      <c r="R65" t="n">
        <v>1.15</v>
      </c>
      <c r="S65" t="n">
        <v>286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4660.62</v>
      </c>
      <c r="P66" t="inlineStr">
        <is>
          <t>below</t>
        </is>
      </c>
      <c r="Q66" t="n">
        <v>4653.95</v>
      </c>
      <c r="R66" t="n">
        <v>0.71</v>
      </c>
      <c r="S66" t="n">
        <v>1659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21.31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18909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23.83</v>
      </c>
      <c r="O68" t="n">
        <v>29284.88</v>
      </c>
      <c r="P68" t="inlineStr">
        <is>
          <t>above</t>
        </is>
      </c>
      <c r="Q68" t="n">
        <v>29225.22</v>
      </c>
      <c r="R68" t="n">
        <v>1.07</v>
      </c>
      <c r="S68" t="n">
        <v>18478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39.8</v>
      </c>
      <c r="K69" t="inlineStr">
        <is>
          <t>bear</t>
        </is>
      </c>
      <c r="L69" t="inlineStr">
        <is>
          <t>-</t>
        </is>
      </c>
      <c r="M69" t="n">
        <v>39.3</v>
      </c>
      <c r="N69" t="n">
        <v>28.2</v>
      </c>
      <c r="O69" t="n">
        <v>29295.68</v>
      </c>
      <c r="P69" t="inlineStr">
        <is>
          <t>above</t>
        </is>
      </c>
      <c r="Q69" t="n">
        <v>29225.22</v>
      </c>
      <c r="R69" t="n">
        <v>1.59</v>
      </c>
      <c r="S69" t="n">
        <v>14973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1.01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41.9</v>
      </c>
      <c r="K70" t="inlineStr">
        <is>
          <t>bear</t>
        </is>
      </c>
      <c r="L70" t="inlineStr">
        <is>
          <t>-</t>
        </is>
      </c>
      <c r="M70" t="n">
        <v>37.8</v>
      </c>
      <c r="N70" t="n">
        <v>29.85</v>
      </c>
      <c r="O70" t="n">
        <v>29296.65</v>
      </c>
      <c r="P70" t="inlineStr">
        <is>
          <t>above</t>
        </is>
      </c>
      <c r="Q70" t="n">
        <v>29225.22</v>
      </c>
      <c r="R70" t="n">
        <v>1.27</v>
      </c>
      <c r="S70" t="n">
        <v>14908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strong bullish close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34.6</v>
      </c>
      <c r="N71" t="n">
        <v>28.36</v>
      </c>
      <c r="O71" t="n">
        <v>29297.43</v>
      </c>
      <c r="P71" t="inlineStr">
        <is>
          <t>above</t>
        </is>
      </c>
      <c r="Q71" t="n">
        <v>29225.22</v>
      </c>
      <c r="R71" t="n">
        <v>1.16</v>
      </c>
      <c r="S71" t="n">
        <v>15841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52.6</v>
      </c>
      <c r="K72" t="inlineStr">
        <is>
          <t>bear</t>
        </is>
      </c>
      <c r="L72" t="inlineStr">
        <is>
          <t>+</t>
        </is>
      </c>
      <c r="M72" t="n">
        <v>30.3</v>
      </c>
      <c r="N72" t="n">
        <v>27.69</v>
      </c>
      <c r="O72" t="n">
        <v>29298.41</v>
      </c>
      <c r="P72" t="inlineStr">
        <is>
          <t>above</t>
        </is>
      </c>
      <c r="Q72" t="n">
        <v>29225.22</v>
      </c>
      <c r="R72" t="n">
        <v>1.29</v>
      </c>
      <c r="S72" t="n">
        <v>16672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0.61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51.9</v>
      </c>
      <c r="K73" t="inlineStr">
        <is>
          <t>bull</t>
        </is>
      </c>
      <c r="L73" t="inlineStr">
        <is>
          <t>+</t>
        </is>
      </c>
      <c r="M73" t="n">
        <v>17.3</v>
      </c>
      <c r="N73" t="n">
        <v>25.06</v>
      </c>
      <c r="O73" t="n">
        <v>29301.92</v>
      </c>
      <c r="P73" t="inlineStr">
        <is>
          <t>above</t>
        </is>
      </c>
      <c r="Q73" t="n">
        <v>29225.22</v>
      </c>
      <c r="R73" t="n">
        <v>0.49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2026-08-26</t>
        </is>
      </c>
      <c r="B74" t="inlineStr">
        <is>
          <t>22:27</t>
        </is>
      </c>
      <c r="C74" t="inlineStr">
        <is>
          <t>MNQ</t>
        </is>
      </c>
      <c r="D74" t="inlineStr">
        <is>
          <t>Short</t>
        </is>
      </c>
      <c r="E74" t="n">
        <v>-46</v>
      </c>
      <c r="F74" t="inlineStr">
        <is>
          <t>up</t>
        </is>
      </c>
      <c r="G74" t="inlineStr">
        <is>
          <t>up</t>
        </is>
      </c>
      <c r="H74" t="inlineStr">
        <is>
          <t>down</t>
        </is>
      </c>
      <c r="I74" t="inlineStr">
        <is>
          <t>up</t>
        </is>
      </c>
      <c r="J74" t="n">
        <v>53.2</v>
      </c>
      <c r="K74" t="inlineStr">
        <is>
          <t>bull</t>
        </is>
      </c>
      <c r="L74" t="inlineStr">
        <is>
          <t>+</t>
        </is>
      </c>
      <c r="M74" t="n">
        <v>16.6</v>
      </c>
      <c r="N74" t="n">
        <v>24.52</v>
      </c>
      <c r="O74" t="n">
        <v>29302.09</v>
      </c>
      <c r="P74" t="inlineStr">
        <is>
          <t>above</t>
        </is>
      </c>
      <c r="Q74" t="n">
        <v>29225.22</v>
      </c>
      <c r="R74" t="n">
        <v>0.72</v>
      </c>
      <c r="S74" t="n">
        <v>18006</v>
      </c>
      <c r="T74" t="n">
        <v>46</v>
      </c>
      <c r="U74" t="inlineStr">
        <is>
          <t>golden</t>
        </is>
      </c>
      <c r="V74" t="inlineStr">
        <is>
          <t>Weak</t>
        </is>
      </c>
      <c r="W74" t="n">
        <v>1</v>
      </c>
      <c r="X74" t="inlineStr">
        <is>
          <t>No</t>
        </is>
      </c>
      <c r="Y74" t="inlineStr">
        <is>
          <t>bullish engulfing</t>
        </is>
      </c>
      <c r="Z74" t="n">
        <v>0.31</v>
      </c>
      <c r="AA74" t="inlineStr">
        <is>
          <t>No</t>
        </is>
      </c>
      <c r="AB74" t="inlineStr">
        <is>
          <t>No</t>
        </is>
      </c>
    </row>
    <row r="75">
      <c r="A75" t="inlineStr">
        <is>
          <t>2026-08-27</t>
        </is>
      </c>
      <c r="B75" t="inlineStr">
        <is>
          <t>09:43</t>
        </is>
      </c>
      <c r="C75" t="inlineStr">
        <is>
          <t>MGC</t>
        </is>
      </c>
      <c r="D75" t="inlineStr">
        <is>
          <t>Short</t>
        </is>
      </c>
      <c r="E75" t="n">
        <v>360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37.1</v>
      </c>
      <c r="K75" t="inlineStr">
        <is>
          <t>bear</t>
        </is>
      </c>
      <c r="L75" t="inlineStr">
        <is>
          <t>-</t>
        </is>
      </c>
      <c r="M75" t="n">
        <v>24.1</v>
      </c>
      <c r="N75" t="n">
        <v>6.47</v>
      </c>
      <c r="O75" t="n">
        <v>4632.83</v>
      </c>
      <c r="P75" t="inlineStr">
        <is>
          <t>above</t>
        </is>
      </c>
      <c r="Q75" t="n">
        <v>4630.68</v>
      </c>
      <c r="R75" t="n">
        <v>0.92</v>
      </c>
      <c r="S75" t="n">
        <v>-2545</v>
      </c>
      <c r="T75" t="n">
        <v>40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Z75" t="n">
        <v>1.7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2026-08-27</t>
        </is>
      </c>
      <c r="B76" t="inlineStr">
        <is>
          <t>10:17</t>
        </is>
      </c>
      <c r="C76" t="inlineStr">
        <is>
          <t>MGC</t>
        </is>
      </c>
      <c r="D76" t="inlineStr">
        <is>
          <t>Short</t>
        </is>
      </c>
      <c r="E76" t="n">
        <v>54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45.9</v>
      </c>
      <c r="K76" t="inlineStr">
        <is>
          <t>bear</t>
        </is>
      </c>
      <c r="L76" t="inlineStr">
        <is>
          <t>-</t>
        </is>
      </c>
      <c r="M76" t="n">
        <v>29.6</v>
      </c>
      <c r="N76" t="n">
        <v>7.42</v>
      </c>
      <c r="O76" t="n">
        <v>4629.41</v>
      </c>
      <c r="P76" t="inlineStr">
        <is>
          <t>above</t>
        </is>
      </c>
      <c r="Q76" t="n">
        <v>4630.62</v>
      </c>
      <c r="R76" t="n">
        <v>0.78</v>
      </c>
      <c r="S76" t="n">
        <v>-1296</v>
      </c>
      <c r="T76" t="n">
        <v>50</v>
      </c>
      <c r="U76" t="inlineStr">
        <is>
          <t>golden</t>
        </is>
      </c>
      <c r="V76" t="inlineStr">
        <is>
          <t>Good</t>
        </is>
      </c>
      <c r="W76" t="n">
        <v>2</v>
      </c>
      <c r="X76" t="inlineStr">
        <is>
          <t>No</t>
        </is>
      </c>
      <c r="Y76" t="inlineStr">
        <is>
          <t>bullish engulfing</t>
        </is>
      </c>
      <c r="Z76" t="n">
        <v>0.72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2026-08-27</t>
        </is>
      </c>
      <c r="B77" t="inlineStr">
        <is>
          <t>20:02</t>
        </is>
      </c>
      <c r="C77" t="inlineStr">
        <is>
          <t>MGC</t>
        </is>
      </c>
      <c r="D77" t="inlineStr">
        <is>
          <t>Short</t>
        </is>
      </c>
      <c r="E77" t="n">
        <v>21</v>
      </c>
      <c r="F77" t="inlineStr">
        <is>
          <t>down</t>
        </is>
      </c>
      <c r="G77" t="inlineStr">
        <is>
          <t>down</t>
        </is>
      </c>
      <c r="H77" t="inlineStr">
        <is>
          <t>up</t>
        </is>
      </c>
      <c r="I77" t="inlineStr">
        <is>
          <t>down</t>
        </is>
      </c>
      <c r="J77" t="n">
        <v>36</v>
      </c>
      <c r="K77" t="inlineStr">
        <is>
          <t>bear</t>
        </is>
      </c>
      <c r="L77" t="inlineStr">
        <is>
          <t>-</t>
        </is>
      </c>
      <c r="M77" t="n">
        <v>22.6</v>
      </c>
      <c r="N77" t="n">
        <v>3.04</v>
      </c>
      <c r="O77" t="n">
        <v>4648.88</v>
      </c>
      <c r="P77" t="inlineStr">
        <is>
          <t>above</t>
        </is>
      </c>
      <c r="Q77" t="n">
        <v>4660.41</v>
      </c>
      <c r="R77" t="n">
        <v>1.02</v>
      </c>
      <c r="S77" t="n">
        <v>2382</v>
      </c>
      <c r="T77" t="n">
        <v>25</v>
      </c>
      <c r="U77" t="inlineStr">
        <is>
          <t>shallow</t>
        </is>
      </c>
      <c r="V77" t="inlineStr">
        <is>
          <t>Good</t>
        </is>
      </c>
      <c r="W77" t="n">
        <v>2</v>
      </c>
      <c r="X77" t="inlineStr">
        <is>
          <t>No</t>
        </is>
      </c>
      <c r="Z77" t="n">
        <v>2.84</v>
      </c>
      <c r="AA77" t="inlineStr">
        <is>
          <t>No</t>
        </is>
      </c>
      <c r="AB77" t="inlineStr">
        <is>
          <t>Yes</t>
        </is>
      </c>
    </row>
    <row r="78">
      <c r="A78" t="inlineStr">
        <is>
          <t>2026-08-27</t>
        </is>
      </c>
      <c r="B78" t="inlineStr">
        <is>
          <t>21:18</t>
        </is>
      </c>
      <c r="C78" t="inlineStr">
        <is>
          <t>MGC</t>
        </is>
      </c>
      <c r="D78" t="inlineStr">
        <is>
          <t>Short</t>
        </is>
      </c>
      <c r="E78" t="n">
        <v>60</v>
      </c>
      <c r="F78" t="inlineStr">
        <is>
          <t>down</t>
        </is>
      </c>
      <c r="G78" t="inlineStr">
        <is>
          <t>down</t>
        </is>
      </c>
      <c r="H78" t="inlineStr">
        <is>
          <t>down</t>
        </is>
      </c>
      <c r="I78" t="inlineStr">
        <is>
          <t>up</t>
        </is>
      </c>
      <c r="J78" t="n">
        <v>49.5</v>
      </c>
      <c r="K78" t="inlineStr">
        <is>
          <t>bear</t>
        </is>
      </c>
      <c r="L78" t="inlineStr">
        <is>
          <t>+</t>
        </is>
      </c>
      <c r="M78" t="n">
        <v>23.6</v>
      </c>
      <c r="N78" t="n">
        <v>4.77</v>
      </c>
      <c r="O78" t="n">
        <v>4648.71</v>
      </c>
      <c r="P78" t="inlineStr">
        <is>
          <t>below</t>
        </is>
      </c>
      <c r="Q78" t="n">
        <v>4660.41</v>
      </c>
      <c r="R78" t="n">
        <v>0.64</v>
      </c>
      <c r="S78" t="n">
        <v>3064</v>
      </c>
      <c r="T78" t="n">
        <v>34</v>
      </c>
      <c r="U78" t="inlineStr">
        <is>
          <t>shallow</t>
        </is>
      </c>
      <c r="V78" t="inlineStr">
        <is>
          <t>Good</t>
        </is>
      </c>
      <c r="W78" t="n">
        <v>2</v>
      </c>
      <c r="X78" t="inlineStr">
        <is>
          <t>ORH/Round</t>
        </is>
      </c>
      <c r="Z78" t="n">
        <v>1.28</v>
      </c>
      <c r="AA78" t="inlineStr">
        <is>
          <t>No</t>
        </is>
      </c>
      <c r="AB78" t="inlineStr">
        <is>
          <t>Yes</t>
        </is>
      </c>
    </row>
    <row r="79">
      <c r="A79" t="inlineStr">
        <is>
          <t>2026-08-28</t>
        </is>
      </c>
      <c r="B79" t="inlineStr">
        <is>
          <t>10:09</t>
        </is>
      </c>
      <c r="C79" t="inlineStr">
        <is>
          <t>MGC</t>
        </is>
      </c>
      <c r="D79" t="inlineStr">
        <is>
          <t>Short</t>
        </is>
      </c>
      <c r="E79" t="n">
        <v>426</v>
      </c>
      <c r="F79" t="inlineStr">
        <is>
          <t>down</t>
        </is>
      </c>
      <c r="G79" t="inlineStr">
        <is>
          <t>down</t>
        </is>
      </c>
      <c r="H79" t="inlineStr">
        <is>
          <t>down</t>
        </is>
      </c>
      <c r="I79" t="inlineStr">
        <is>
          <t>down</t>
        </is>
      </c>
      <c r="J79" t="n">
        <v>27.3</v>
      </c>
      <c r="K79" t="inlineStr">
        <is>
          <t>bear</t>
        </is>
      </c>
      <c r="L79" t="inlineStr">
        <is>
          <t>-</t>
        </is>
      </c>
      <c r="M79" t="n">
        <v>22.4</v>
      </c>
      <c r="N79" t="n">
        <v>12.36</v>
      </c>
      <c r="O79" t="n">
        <v>4643.29</v>
      </c>
      <c r="P79" t="inlineStr">
        <is>
          <t>below</t>
        </is>
      </c>
      <c r="Q79" t="n">
        <v>4656.24</v>
      </c>
      <c r="R79" t="n">
        <v>9.6</v>
      </c>
      <c r="S79" t="n">
        <v>-4760</v>
      </c>
      <c r="T79" t="n">
        <v>33</v>
      </c>
      <c r="U79" t="inlineStr">
        <is>
          <t>shallow</t>
        </is>
      </c>
      <c r="V79" t="inlineStr">
        <is>
          <t>Good</t>
        </is>
      </c>
      <c r="W79" t="n">
        <v>2</v>
      </c>
      <c r="X79" t="inlineStr">
        <is>
          <t>Round</t>
        </is>
      </c>
      <c r="Y79" t="inlineStr">
        <is>
          <t>bullish pin/hammer</t>
        </is>
      </c>
      <c r="Z79" t="n">
        <v>7.85</v>
      </c>
      <c r="AA79" t="inlineStr">
        <is>
          <t>Yes</t>
        </is>
      </c>
      <c r="AB79" t="inlineStr">
        <is>
          <t>Yes</t>
        </is>
      </c>
    </row>
    <row r="80">
      <c r="A80" t="inlineStr">
        <is>
          <t>2026-08-28</t>
        </is>
      </c>
      <c r="B80" t="inlineStr">
        <is>
          <t>10:25</t>
        </is>
      </c>
      <c r="C80" t="inlineStr">
        <is>
          <t>MNQ</t>
        </is>
      </c>
      <c r="D80" t="inlineStr">
        <is>
          <t>Short</t>
        </is>
      </c>
      <c r="E80" t="n">
        <v>134</v>
      </c>
      <c r="F80" t="inlineStr">
        <is>
          <t>up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54</v>
      </c>
      <c r="K80" t="inlineStr">
        <is>
          <t>bear</t>
        </is>
      </c>
      <c r="L80" t="inlineStr">
        <is>
          <t>-</t>
        </is>
      </c>
      <c r="M80" t="n">
        <v>15</v>
      </c>
      <c r="N80" t="n">
        <v>48.7</v>
      </c>
      <c r="O80" t="n">
        <v>29621.33</v>
      </c>
      <c r="P80" t="inlineStr">
        <is>
          <t>above</t>
        </is>
      </c>
      <c r="Q80" t="n">
        <v>29597.96</v>
      </c>
      <c r="R80" t="n">
        <v>1.34</v>
      </c>
      <c r="S80" t="n">
        <v>-1150</v>
      </c>
      <c r="T80" t="n">
        <v>68</v>
      </c>
      <c r="U80" t="inlineStr">
        <is>
          <t>deep</t>
        </is>
      </c>
      <c r="V80" t="inlineStr">
        <is>
          <t>Weak</t>
        </is>
      </c>
      <c r="W80" t="n">
        <v>1</v>
      </c>
      <c r="X80" t="inlineStr">
        <is>
          <t>Round</t>
        </is>
      </c>
      <c r="Y80" t="inlineStr">
        <is>
          <t>bullish pin/hammer</t>
        </is>
      </c>
      <c r="Z80" t="n">
        <v>1.44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2026-08-28</t>
        </is>
      </c>
      <c r="B81" t="inlineStr">
        <is>
          <t>10:40</t>
        </is>
      </c>
      <c r="C81" t="inlineStr">
        <is>
          <t>MNQ</t>
        </is>
      </c>
      <c r="D81" t="inlineStr">
        <is>
          <t>Short</t>
        </is>
      </c>
      <c r="E81" t="n">
        <v>-102</v>
      </c>
      <c r="F81" t="inlineStr">
        <is>
          <t>up</t>
        </is>
      </c>
      <c r="G81" t="inlineStr">
        <is>
          <t>up</t>
        </is>
      </c>
      <c r="H81" t="inlineStr">
        <is>
          <t>down</t>
        </is>
      </c>
      <c r="I81" t="inlineStr">
        <is>
          <t>up</t>
        </is>
      </c>
      <c r="J81" t="n">
        <v>64.5</v>
      </c>
      <c r="K81" t="inlineStr">
        <is>
          <t>bull</t>
        </is>
      </c>
      <c r="L81" t="inlineStr">
        <is>
          <t>+</t>
        </is>
      </c>
      <c r="M81" t="n">
        <v>16.3</v>
      </c>
      <c r="N81" t="n">
        <v>50.22</v>
      </c>
      <c r="O81" t="n">
        <v>29632.06</v>
      </c>
      <c r="P81" t="inlineStr">
        <is>
          <t>above</t>
        </is>
      </c>
      <c r="Q81" t="n">
        <v>29597.61</v>
      </c>
      <c r="R81" t="n">
        <v>1.62</v>
      </c>
      <c r="S81" t="n">
        <v>8113</v>
      </c>
      <c r="V81" t="inlineStr">
        <is>
          <t>No setup</t>
        </is>
      </c>
      <c r="W81" t="n">
        <v>0</v>
      </c>
      <c r="X81" t="inlineStr">
        <is>
          <t>PDH/ONH/ORH/Round</t>
        </is>
      </c>
      <c r="Y81" t="inlineStr">
        <is>
          <t>strong bullish close</t>
        </is>
      </c>
      <c r="Z81" t="n">
        <v>1.08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2026-08-28</t>
        </is>
      </c>
      <c r="B82" t="inlineStr">
        <is>
          <t>11:12</t>
        </is>
      </c>
      <c r="C82" t="inlineStr">
        <is>
          <t>MNQ</t>
        </is>
      </c>
      <c r="D82" t="inlineStr">
        <is>
          <t>Short</t>
        </is>
      </c>
      <c r="E82" t="n">
        <v>-13.5</v>
      </c>
      <c r="F82" t="inlineStr">
        <is>
          <t>up</t>
        </is>
      </c>
      <c r="G82" t="inlineStr">
        <is>
          <t>up</t>
        </is>
      </c>
      <c r="H82" t="inlineStr">
        <is>
          <t>up</t>
        </is>
      </c>
      <c r="I82" t="inlineStr">
        <is>
          <t>up</t>
        </is>
      </c>
      <c r="J82" t="n">
        <v>60.4</v>
      </c>
      <c r="K82" t="inlineStr">
        <is>
          <t>bull</t>
        </is>
      </c>
      <c r="L82" t="inlineStr">
        <is>
          <t>+</t>
        </is>
      </c>
      <c r="M82" t="n">
        <v>22.7</v>
      </c>
      <c r="N82" t="n">
        <v>45.18</v>
      </c>
      <c r="O82" t="n">
        <v>29661.43</v>
      </c>
      <c r="P82" t="inlineStr">
        <is>
          <t>above</t>
        </is>
      </c>
      <c r="Q82" t="n">
        <v>29677.41</v>
      </c>
      <c r="R82" t="n">
        <v>1.4</v>
      </c>
      <c r="S82" t="n">
        <v>18971</v>
      </c>
      <c r="T82" t="n">
        <v>16</v>
      </c>
      <c r="U82" t="inlineStr">
        <is>
          <t>shallow</t>
        </is>
      </c>
      <c r="V82" t="inlineStr">
        <is>
          <t>No setup</t>
        </is>
      </c>
      <c r="W82" t="n">
        <v>0</v>
      </c>
      <c r="X82" t="inlineStr">
        <is>
          <t>Round</t>
        </is>
      </c>
      <c r="Z82" t="n">
        <v>0.62</v>
      </c>
      <c r="AA82" t="inlineStr">
        <is>
          <t>No</t>
        </is>
      </c>
      <c r="AB82" t="inlineStr">
        <is>
          <t>No</t>
        </is>
      </c>
    </row>
    <row r="83">
      <c r="A83" t="inlineStr">
        <is>
          <t>2026-08-28</t>
        </is>
      </c>
      <c r="B83" t="inlineStr">
        <is>
          <t>12:53</t>
        </is>
      </c>
      <c r="C83" t="inlineStr">
        <is>
          <t>MNQ</t>
        </is>
      </c>
      <c r="D83" t="inlineStr">
        <is>
          <t>Long</t>
        </is>
      </c>
      <c r="E83" t="n">
        <v>-162</v>
      </c>
      <c r="F83" t="inlineStr">
        <is>
          <t>flat</t>
        </is>
      </c>
      <c r="G83" t="inlineStr">
        <is>
          <t>up</t>
        </is>
      </c>
      <c r="H83" t="inlineStr">
        <is>
          <t>down</t>
        </is>
      </c>
      <c r="I83" t="inlineStr">
        <is>
          <t>down</t>
        </is>
      </c>
      <c r="J83" t="n">
        <v>39.7</v>
      </c>
      <c r="K83" t="inlineStr">
        <is>
          <t>bear</t>
        </is>
      </c>
      <c r="L83" t="inlineStr">
        <is>
          <t>-</t>
        </is>
      </c>
      <c r="M83" t="n">
        <v>31.6</v>
      </c>
      <c r="N83" t="n">
        <v>49.23</v>
      </c>
      <c r="O83" t="n">
        <v>29635.25</v>
      </c>
      <c r="P83" t="inlineStr">
        <is>
          <t>below</t>
        </is>
      </c>
      <c r="Q83" t="n">
        <v>29651.01</v>
      </c>
      <c r="R83" t="n">
        <v>1.57</v>
      </c>
      <c r="S83" t="n">
        <v>-23005</v>
      </c>
      <c r="T83" t="n">
        <v>14</v>
      </c>
      <c r="U83" t="inlineStr">
        <is>
          <t>extended (no pullback)</t>
        </is>
      </c>
      <c r="V83" t="inlineStr">
        <is>
          <t>No setup</t>
        </is>
      </c>
      <c r="W83" t="n">
        <v>0</v>
      </c>
      <c r="X83" t="inlineStr">
        <is>
          <t>Round</t>
        </is>
      </c>
      <c r="Y83" t="inlineStr">
        <is>
          <t>strong bearish close</t>
        </is>
      </c>
      <c r="Z83" t="n">
        <v>0.67</v>
      </c>
      <c r="AA83" t="inlineStr">
        <is>
          <t>No</t>
        </is>
      </c>
      <c r="AB83" t="inlineStr">
        <is>
          <t>No</t>
        </is>
      </c>
    </row>
    <row r="84">
      <c r="A84" t="inlineStr">
        <is>
          <t>2026-08-30</t>
        </is>
      </c>
      <c r="B84" t="inlineStr">
        <is>
          <t>18:03</t>
        </is>
      </c>
      <c r="C84" t="inlineStr">
        <is>
          <t>MGC</t>
        </is>
      </c>
      <c r="D84" t="inlineStr">
        <is>
          <t>Long</t>
        </is>
      </c>
      <c r="E84" t="n">
        <v>199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up</t>
        </is>
      </c>
      <c r="J84" t="n">
        <v>66.09999999999999</v>
      </c>
      <c r="K84" t="inlineStr">
        <is>
          <t>bull</t>
        </is>
      </c>
      <c r="L84" t="inlineStr">
        <is>
          <t>+</t>
        </is>
      </c>
      <c r="M84" t="n">
        <v>41.8</v>
      </c>
      <c r="N84" t="n">
        <v>6.92</v>
      </c>
      <c r="T84" t="n">
        <v>87</v>
      </c>
      <c r="U84" t="inlineStr">
        <is>
          <t>broke the leg (reversal risk)</t>
        </is>
      </c>
      <c r="V84" t="inlineStr">
        <is>
          <t>Weak</t>
        </is>
      </c>
      <c r="W84" t="n">
        <v>1</v>
      </c>
      <c r="X84" t="inlineStr">
        <is>
          <t>Round</t>
        </is>
      </c>
      <c r="Y84" t="inlineStr">
        <is>
          <t>strong bullish close</t>
        </is>
      </c>
      <c r="Z84" t="n">
        <v>0.75</v>
      </c>
      <c r="AA84" t="inlineStr">
        <is>
          <t>No</t>
        </is>
      </c>
      <c r="AB84" t="inlineStr">
        <is>
          <t>No</t>
        </is>
      </c>
    </row>
    <row r="85">
      <c r="A85" t="inlineStr">
        <is>
          <t>2026-08-30</t>
        </is>
      </c>
      <c r="B85" t="inlineStr">
        <is>
          <t>18:28</t>
        </is>
      </c>
      <c r="C85" t="inlineStr">
        <is>
          <t>MGC</t>
        </is>
      </c>
      <c r="D85" t="inlineStr">
        <is>
          <t>Short</t>
        </is>
      </c>
      <c r="E85" t="n">
        <v>25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up</t>
        </is>
      </c>
      <c r="J85" t="n">
        <v>48.3</v>
      </c>
      <c r="K85" t="inlineStr">
        <is>
          <t>bull</t>
        </is>
      </c>
      <c r="L85" t="inlineStr">
        <is>
          <t>+</t>
        </is>
      </c>
      <c r="M85" t="n">
        <v>37.9</v>
      </c>
      <c r="N85" t="n">
        <v>7.97</v>
      </c>
      <c r="O85" t="n">
        <v>4510.46</v>
      </c>
      <c r="P85" t="inlineStr">
        <is>
          <t>below</t>
        </is>
      </c>
      <c r="Q85" t="n">
        <v>4511.4</v>
      </c>
      <c r="R85" t="n">
        <v>5.83</v>
      </c>
      <c r="S85" t="n">
        <v>-230</v>
      </c>
      <c r="T85" t="n">
        <v>32</v>
      </c>
      <c r="U85" t="inlineStr">
        <is>
          <t>shallow</t>
        </is>
      </c>
      <c r="V85" t="inlineStr">
        <is>
          <t>Good</t>
        </is>
      </c>
      <c r="W85" t="n">
        <v>2</v>
      </c>
      <c r="X85" t="inlineStr">
        <is>
          <t>Round</t>
        </is>
      </c>
      <c r="Y85" t="inlineStr">
        <is>
          <t>bearish engulfing</t>
        </is>
      </c>
      <c r="Z85" t="n">
        <v>2.31</v>
      </c>
      <c r="AA85" t="inlineStr">
        <is>
          <t>No</t>
        </is>
      </c>
      <c r="AB85" t="inlineStr">
        <is>
          <t>Yes</t>
        </is>
      </c>
    </row>
    <row r="86">
      <c r="A86" t="inlineStr">
        <is>
          <t>2026-08-30</t>
        </is>
      </c>
      <c r="B86" t="inlineStr">
        <is>
          <t>21:25</t>
        </is>
      </c>
      <c r="C86" t="inlineStr">
        <is>
          <t>MGC</t>
        </is>
      </c>
      <c r="D86" t="inlineStr">
        <is>
          <t>Short</t>
        </is>
      </c>
      <c r="E86" t="n">
        <v>42</v>
      </c>
      <c r="F86" t="inlineStr">
        <is>
          <t>down</t>
        </is>
      </c>
      <c r="G86" t="inlineStr">
        <is>
          <t>down</t>
        </is>
      </c>
      <c r="H86" t="inlineStr">
        <is>
          <t>down</t>
        </is>
      </c>
      <c r="I86" t="inlineStr">
        <is>
          <t>down</t>
        </is>
      </c>
      <c r="J86" t="n">
        <v>41.9</v>
      </c>
      <c r="K86" t="inlineStr">
        <is>
          <t>bear</t>
        </is>
      </c>
      <c r="L86" t="inlineStr">
        <is>
          <t>-</t>
        </is>
      </c>
      <c r="M86" t="n">
        <v>18.1</v>
      </c>
      <c r="N86" t="n">
        <v>9.27</v>
      </c>
      <c r="O86" t="n">
        <v>4504.89</v>
      </c>
      <c r="P86" t="inlineStr">
        <is>
          <t>below</t>
        </is>
      </c>
      <c r="Q86" t="n">
        <v>4500.17</v>
      </c>
      <c r="R86" t="n">
        <v>1</v>
      </c>
      <c r="S86" t="n">
        <v>2081</v>
      </c>
      <c r="T86" t="n">
        <v>23</v>
      </c>
      <c r="U86" t="inlineStr">
        <is>
          <t>shallow</t>
        </is>
      </c>
      <c r="V86" t="inlineStr">
        <is>
          <t>No setup</t>
        </is>
      </c>
      <c r="W86" t="n">
        <v>0</v>
      </c>
      <c r="X86" t="inlineStr">
        <is>
          <t>Round</t>
        </is>
      </c>
      <c r="Y86" t="inlineStr">
        <is>
          <t>strong bearish close</t>
        </is>
      </c>
      <c r="Z86" t="n">
        <v>0.58</v>
      </c>
      <c r="AA86" t="inlineStr">
        <is>
          <t>Yes</t>
        </is>
      </c>
      <c r="AB86" t="inlineStr">
        <is>
          <t>Yes</t>
        </is>
      </c>
    </row>
    <row r="87">
      <c r="A87" t="inlineStr">
        <is>
          <t>2026-08-30</t>
        </is>
      </c>
      <c r="B87" t="inlineStr">
        <is>
          <t>23:30</t>
        </is>
      </c>
      <c r="C87" t="inlineStr">
        <is>
          <t>MGC</t>
        </is>
      </c>
      <c r="D87" t="inlineStr">
        <is>
          <t>Short</t>
        </is>
      </c>
      <c r="E87" t="n">
        <v>326</v>
      </c>
      <c r="F87" t="inlineStr">
        <is>
          <t>down</t>
        </is>
      </c>
      <c r="G87" t="inlineStr">
        <is>
          <t>down</t>
        </is>
      </c>
      <c r="H87" t="inlineStr">
        <is>
          <t>down</t>
        </is>
      </c>
      <c r="I87" t="inlineStr">
        <is>
          <t>up</t>
        </is>
      </c>
      <c r="J87" t="n">
        <v>45.5</v>
      </c>
      <c r="K87" t="inlineStr">
        <is>
          <t>bear</t>
        </is>
      </c>
      <c r="L87" t="inlineStr">
        <is>
          <t>+</t>
        </is>
      </c>
      <c r="M87" t="n">
        <v>27.4</v>
      </c>
      <c r="N87" t="n">
        <v>8.07</v>
      </c>
      <c r="O87" t="n">
        <v>4489.69</v>
      </c>
      <c r="P87" t="inlineStr">
        <is>
          <t>below</t>
        </is>
      </c>
      <c r="Q87" t="n">
        <v>4478.81</v>
      </c>
      <c r="R87" t="n">
        <v>1.42</v>
      </c>
      <c r="S87" t="n">
        <v>-1099</v>
      </c>
      <c r="T87" t="n">
        <v>36</v>
      </c>
      <c r="U87" t="inlineStr">
        <is>
          <t>shallow</t>
        </is>
      </c>
      <c r="V87" t="inlineStr">
        <is>
          <t>Good</t>
        </is>
      </c>
      <c r="W87" t="n">
        <v>2</v>
      </c>
      <c r="X87" t="inlineStr">
        <is>
          <t>Round</t>
        </is>
      </c>
      <c r="Y87" t="inlineStr">
        <is>
          <t>strong bearish close</t>
        </is>
      </c>
      <c r="Z87" t="n">
        <v>0.38</v>
      </c>
      <c r="AA87" t="inlineStr">
        <is>
          <t>No</t>
        </is>
      </c>
      <c r="AB87" t="inlineStr">
        <is>
          <t>Yes</t>
        </is>
      </c>
    </row>
    <row r="88">
      <c r="A88" t="inlineStr">
        <is>
          <t>2026-08-31</t>
        </is>
      </c>
      <c r="B88" t="inlineStr">
        <is>
          <t>00:07</t>
        </is>
      </c>
      <c r="C88" t="inlineStr">
        <is>
          <t>MGC</t>
        </is>
      </c>
      <c r="D88" t="inlineStr">
        <is>
          <t>Short</t>
        </is>
      </c>
      <c r="E88" t="n">
        <v>47</v>
      </c>
      <c r="F88" t="inlineStr">
        <is>
          <t>down</t>
        </is>
      </c>
      <c r="G88" t="inlineStr">
        <is>
          <t>down</t>
        </is>
      </c>
      <c r="H88" t="inlineStr">
        <is>
          <t>down</t>
        </is>
      </c>
      <c r="I88" t="inlineStr">
        <is>
          <t>up</t>
        </is>
      </c>
      <c r="J88" t="n">
        <v>41.8</v>
      </c>
      <c r="K88" t="inlineStr">
        <is>
          <t>bear</t>
        </is>
      </c>
      <c r="L88" t="inlineStr">
        <is>
          <t>+</t>
        </is>
      </c>
      <c r="M88" t="n">
        <v>23.8</v>
      </c>
      <c r="N88" t="n">
        <v>6.17</v>
      </c>
      <c r="O88" t="n">
        <v>4489</v>
      </c>
      <c r="P88" t="inlineStr">
        <is>
          <t>below</t>
        </is>
      </c>
      <c r="Q88" t="n">
        <v>4478.81</v>
      </c>
      <c r="R88" t="n">
        <v>1.17</v>
      </c>
      <c r="S88" t="n">
        <v>-1597</v>
      </c>
      <c r="T88" t="n">
        <v>30</v>
      </c>
      <c r="U88" t="inlineStr">
        <is>
          <t>shallow</t>
        </is>
      </c>
      <c r="V88" t="inlineStr">
        <is>
          <t>Weak</t>
        </is>
      </c>
      <c r="W88" t="n">
        <v>1</v>
      </c>
      <c r="X88" t="inlineStr">
        <is>
          <t>Round</t>
        </is>
      </c>
      <c r="Z88" t="n">
        <v>0.44</v>
      </c>
      <c r="AA88" t="inlineStr">
        <is>
          <t>No</t>
        </is>
      </c>
      <c r="AB88" t="inlineStr">
        <is>
          <t>Yes</t>
        </is>
      </c>
    </row>
    <row r="89">
      <c r="A89" t="inlineStr">
        <is>
          <t>2026-08-31</t>
        </is>
      </c>
      <c r="B89" t="inlineStr">
        <is>
          <t>00:11</t>
        </is>
      </c>
      <c r="C89" t="inlineStr">
        <is>
          <t>MGC</t>
        </is>
      </c>
      <c r="D89" t="inlineStr">
        <is>
          <t>Long</t>
        </is>
      </c>
      <c r="E89" t="n">
        <v>46</v>
      </c>
      <c r="F89" t="inlineStr">
        <is>
          <t>down</t>
        </is>
      </c>
      <c r="G89" t="inlineStr">
        <is>
          <t>down</t>
        </is>
      </c>
      <c r="H89" t="inlineStr">
        <is>
          <t>down</t>
        </is>
      </c>
      <c r="I89" t="inlineStr">
        <is>
          <t>up</t>
        </is>
      </c>
      <c r="J89" t="n">
        <v>45.5</v>
      </c>
      <c r="K89" t="inlineStr">
        <is>
          <t>bear</t>
        </is>
      </c>
      <c r="L89" t="inlineStr">
        <is>
          <t>+</t>
        </is>
      </c>
      <c r="M89" t="n">
        <v>23.1</v>
      </c>
      <c r="N89" t="n">
        <v>6.15</v>
      </c>
      <c r="O89" t="n">
        <v>4488.63</v>
      </c>
      <c r="P89" t="inlineStr">
        <is>
          <t>below</t>
        </is>
      </c>
      <c r="Q89" t="n">
        <v>4478.81</v>
      </c>
      <c r="R89" t="n">
        <v>3.96</v>
      </c>
      <c r="S89" t="n">
        <v>-1154</v>
      </c>
      <c r="T89" t="n">
        <v>44</v>
      </c>
      <c r="U89" t="inlineStr">
        <is>
          <t>golden</t>
        </is>
      </c>
      <c r="V89" t="inlineStr">
        <is>
          <t>Weak</t>
        </is>
      </c>
      <c r="W89" t="n">
        <v>1</v>
      </c>
      <c r="X89" t="inlineStr">
        <is>
          <t>No</t>
        </is>
      </c>
      <c r="Y89" t="inlineStr">
        <is>
          <t>bullish engulfing</t>
        </is>
      </c>
      <c r="Z89" t="n">
        <v>1.38</v>
      </c>
      <c r="AA89" t="inlineStr">
        <is>
          <t>No</t>
        </is>
      </c>
      <c r="AB89" t="inlineStr">
        <is>
          <t>No</t>
        </is>
      </c>
    </row>
    <row r="90">
      <c r="A90" t="inlineStr">
        <is>
          <t>2026-08-31</t>
        </is>
      </c>
      <c r="B90" t="inlineStr">
        <is>
          <t>00:40</t>
        </is>
      </c>
      <c r="C90" t="inlineStr">
        <is>
          <t>MGC</t>
        </is>
      </c>
      <c r="D90" t="inlineStr">
        <is>
          <t>Short</t>
        </is>
      </c>
      <c r="E90" t="n">
        <v>-161</v>
      </c>
      <c r="F90" t="inlineStr">
        <is>
          <t>down</t>
        </is>
      </c>
      <c r="G90" t="inlineStr">
        <is>
          <t>down</t>
        </is>
      </c>
      <c r="H90" t="inlineStr">
        <is>
          <t>down</t>
        </is>
      </c>
      <c r="I90" t="inlineStr">
        <is>
          <t>up</t>
        </is>
      </c>
      <c r="J90" t="n">
        <v>46.3</v>
      </c>
      <c r="K90" t="inlineStr">
        <is>
          <t>bear</t>
        </is>
      </c>
      <c r="L90" t="inlineStr">
        <is>
          <t>+</t>
        </is>
      </c>
      <c r="M90" t="n">
        <v>19.3</v>
      </c>
      <c r="N90" t="n">
        <v>5.48</v>
      </c>
      <c r="O90" t="n">
        <v>4487.97</v>
      </c>
      <c r="P90" t="inlineStr">
        <is>
          <t>below</t>
        </is>
      </c>
      <c r="Q90" t="n">
        <v>4478.81</v>
      </c>
      <c r="R90" t="n">
        <v>0.95</v>
      </c>
      <c r="S90" t="n">
        <v>-719</v>
      </c>
      <c r="T90" t="n">
        <v>30</v>
      </c>
      <c r="U90" t="inlineStr">
        <is>
          <t>shallow</t>
        </is>
      </c>
      <c r="V90" t="inlineStr">
        <is>
          <t>Weak</t>
        </is>
      </c>
      <c r="W90" t="n">
        <v>1</v>
      </c>
      <c r="X90" t="inlineStr">
        <is>
          <t>Round</t>
        </is>
      </c>
      <c r="Y90" t="inlineStr">
        <is>
          <t>bullish pin/hammer</t>
        </is>
      </c>
      <c r="Z90" t="n">
        <v>0.46</v>
      </c>
      <c r="AA90" t="inlineStr">
        <is>
          <t>No</t>
        </is>
      </c>
      <c r="AB90" t="inlineStr">
        <is>
          <t>Yes</t>
        </is>
      </c>
    </row>
    <row r="91">
      <c r="A91" t="inlineStr">
        <is>
          <t>2026-08-31</t>
        </is>
      </c>
      <c r="B91" t="inlineStr">
        <is>
          <t>09:42</t>
        </is>
      </c>
      <c r="C91" t="inlineStr">
        <is>
          <t>MNQ</t>
        </is>
      </c>
      <c r="D91" t="inlineStr">
        <is>
          <t>Short</t>
        </is>
      </c>
      <c r="E91" t="n">
        <v>134</v>
      </c>
      <c r="F91" t="inlineStr">
        <is>
          <t>down</t>
        </is>
      </c>
      <c r="G91" t="inlineStr">
        <is>
          <t>down</t>
        </is>
      </c>
      <c r="H91" t="inlineStr">
        <is>
          <t>down</t>
        </is>
      </c>
      <c r="I91" t="inlineStr">
        <is>
          <t>up</t>
        </is>
      </c>
      <c r="J91" t="n">
        <v>45.7</v>
      </c>
      <c r="K91" t="inlineStr">
        <is>
          <t>bear</t>
        </is>
      </c>
      <c r="L91" t="inlineStr">
        <is>
          <t>+</t>
        </is>
      </c>
      <c r="M91" t="n">
        <v>20.5</v>
      </c>
      <c r="N91" t="n">
        <v>32.05</v>
      </c>
      <c r="O91" t="n">
        <v>29437.45</v>
      </c>
      <c r="P91" t="inlineStr">
        <is>
          <t>below</t>
        </is>
      </c>
      <c r="Q91" t="n">
        <v>29467.73</v>
      </c>
      <c r="R91" t="n">
        <v>0.89</v>
      </c>
      <c r="S91" t="n">
        <v>-14014</v>
      </c>
      <c r="T91" t="n">
        <v>31</v>
      </c>
      <c r="U91" t="inlineStr">
        <is>
          <t>shallow</t>
        </is>
      </c>
      <c r="V91" t="inlineStr">
        <is>
          <t>A+</t>
        </is>
      </c>
      <c r="W91" t="n">
        <v>3</v>
      </c>
      <c r="X91" t="inlineStr">
        <is>
          <t>PDL</t>
        </is>
      </c>
      <c r="Z91" t="n">
        <v>4.01</v>
      </c>
      <c r="AA91" t="inlineStr">
        <is>
          <t>No</t>
        </is>
      </c>
      <c r="AB91" t="inlineStr">
        <is>
          <t>Yes</t>
        </is>
      </c>
    </row>
    <row r="92">
      <c r="A92" t="inlineStr">
        <is>
          <t>2026-08-31</t>
        </is>
      </c>
      <c r="B92" t="inlineStr">
        <is>
          <t>09:56</t>
        </is>
      </c>
      <c r="C92" t="inlineStr">
        <is>
          <t>MNQ</t>
        </is>
      </c>
      <c r="D92" t="inlineStr">
        <is>
          <t>Long</t>
        </is>
      </c>
      <c r="E92" t="n">
        <v>-129</v>
      </c>
      <c r="F92" t="inlineStr">
        <is>
          <t>down</t>
        </is>
      </c>
      <c r="G92" t="inlineStr">
        <is>
          <t>down</t>
        </is>
      </c>
      <c r="H92" t="inlineStr">
        <is>
          <t>down</t>
        </is>
      </c>
      <c r="I92" t="inlineStr">
        <is>
          <t>up</t>
        </is>
      </c>
      <c r="J92" t="n">
        <v>52.3</v>
      </c>
      <c r="K92" t="inlineStr">
        <is>
          <t>bull</t>
        </is>
      </c>
      <c r="L92" t="inlineStr">
        <is>
          <t>+</t>
        </is>
      </c>
      <c r="M92" t="n">
        <v>24.9</v>
      </c>
      <c r="N92" t="n">
        <v>38.19</v>
      </c>
      <c r="O92" t="n">
        <v>29438.41</v>
      </c>
      <c r="P92" t="inlineStr">
        <is>
          <t>above</t>
        </is>
      </c>
      <c r="Q92" t="n">
        <v>29466.76</v>
      </c>
      <c r="R92" t="n">
        <v>0.74</v>
      </c>
      <c r="S92" t="n">
        <v>-8579</v>
      </c>
      <c r="T92" t="n">
        <v>40</v>
      </c>
      <c r="U92" t="inlineStr">
        <is>
          <t>golden</t>
        </is>
      </c>
      <c r="V92" t="inlineStr">
        <is>
          <t>Good</t>
        </is>
      </c>
      <c r="W92" t="n">
        <v>2</v>
      </c>
      <c r="X92" t="inlineStr">
        <is>
          <t>Round</t>
        </is>
      </c>
      <c r="Y92" t="inlineStr">
        <is>
          <t>strong bearish close</t>
        </is>
      </c>
      <c r="Z92" t="n">
        <v>1.68</v>
      </c>
      <c r="AA92" t="inlineStr">
        <is>
          <t>No</t>
        </is>
      </c>
      <c r="AB92" t="inlineStr">
        <is>
          <t>No</t>
        </is>
      </c>
    </row>
    <row r="93">
      <c r="A93" t="inlineStr">
        <is>
          <t>2026-08-31</t>
        </is>
      </c>
      <c r="B93" t="inlineStr">
        <is>
          <t>10:01</t>
        </is>
      </c>
      <c r="C93" t="inlineStr">
        <is>
          <t>MGC</t>
        </is>
      </c>
      <c r="D93" t="inlineStr">
        <is>
          <t>Short</t>
        </is>
      </c>
      <c r="E93" t="n">
        <v>-78</v>
      </c>
      <c r="F93" t="inlineStr">
        <is>
          <t>down</t>
        </is>
      </c>
      <c r="G93" t="inlineStr">
        <is>
          <t>down</t>
        </is>
      </c>
      <c r="H93" t="inlineStr">
        <is>
          <t>down</t>
        </is>
      </c>
      <c r="I93" t="inlineStr">
        <is>
          <t>down</t>
        </is>
      </c>
      <c r="J93" t="n">
        <v>28.2</v>
      </c>
      <c r="K93" t="inlineStr">
        <is>
          <t>bear</t>
        </is>
      </c>
      <c r="L93" t="inlineStr">
        <is>
          <t>-</t>
        </is>
      </c>
      <c r="M93" t="n">
        <v>32.7</v>
      </c>
      <c r="N93" t="n">
        <v>6.62</v>
      </c>
      <c r="O93" t="n">
        <v>4479.19</v>
      </c>
      <c r="P93" t="inlineStr">
        <is>
          <t>below</t>
        </is>
      </c>
      <c r="Q93" t="n">
        <v>4470.81</v>
      </c>
      <c r="R93" t="n">
        <v>0.83</v>
      </c>
      <c r="S93" t="n">
        <v>-5090</v>
      </c>
      <c r="T93" t="n">
        <v>13</v>
      </c>
      <c r="U93" t="inlineStr">
        <is>
          <t>extended (no pullback)</t>
        </is>
      </c>
      <c r="V93" t="inlineStr">
        <is>
          <t>Weak</t>
        </is>
      </c>
      <c r="W93" t="n">
        <v>1</v>
      </c>
      <c r="X93" t="inlineStr">
        <is>
          <t>Round</t>
        </is>
      </c>
      <c r="Z93" t="n">
        <v>1.38</v>
      </c>
      <c r="AA93" t="inlineStr">
        <is>
          <t>Yes</t>
        </is>
      </c>
      <c r="AB93" t="inlineStr">
        <is>
          <t>Yes</t>
        </is>
      </c>
    </row>
    <row r="94">
      <c r="A94" t="inlineStr">
        <is>
          <t>2026-08-31</t>
        </is>
      </c>
      <c r="B94" t="inlineStr">
        <is>
          <t>10:11</t>
        </is>
      </c>
      <c r="C94" t="inlineStr">
        <is>
          <t>MNQ</t>
        </is>
      </c>
      <c r="D94" t="inlineStr">
        <is>
          <t>Short</t>
        </is>
      </c>
      <c r="E94" t="n">
        <v>-120</v>
      </c>
      <c r="F94" t="inlineStr">
        <is>
          <t>down</t>
        </is>
      </c>
      <c r="G94" t="inlineStr">
        <is>
          <t>down</t>
        </is>
      </c>
      <c r="H94" t="inlineStr">
        <is>
          <t>down</t>
        </is>
      </c>
      <c r="I94" t="inlineStr">
        <is>
          <t>down</t>
        </is>
      </c>
      <c r="J94" t="n">
        <v>44.6</v>
      </c>
      <c r="K94" t="inlineStr">
        <is>
          <t>bear</t>
        </is>
      </c>
      <c r="L94" t="inlineStr">
        <is>
          <t>-</t>
        </is>
      </c>
      <c r="M94" t="n">
        <v>22.4</v>
      </c>
      <c r="N94" t="n">
        <v>39.3</v>
      </c>
      <c r="O94" t="n">
        <v>29430.09</v>
      </c>
      <c r="P94" t="inlineStr">
        <is>
          <t>below</t>
        </is>
      </c>
      <c r="Q94" t="n">
        <v>29467.56</v>
      </c>
      <c r="R94" t="n">
        <v>0.79</v>
      </c>
      <c r="S94" t="n">
        <v>-18379</v>
      </c>
      <c r="T94" t="n">
        <v>16</v>
      </c>
      <c r="U94" t="inlineStr">
        <is>
          <t>shallow</t>
        </is>
      </c>
      <c r="V94" t="inlineStr">
        <is>
          <t>A+</t>
        </is>
      </c>
      <c r="W94" t="n">
        <v>3</v>
      </c>
      <c r="X94" t="inlineStr">
        <is>
          <t>ORL/Round</t>
        </is>
      </c>
      <c r="Z94" t="n">
        <v>1.19</v>
      </c>
      <c r="AA94" t="inlineStr">
        <is>
          <t>Yes</t>
        </is>
      </c>
      <c r="AB94" t="inlineStr">
        <is>
          <t>Yes</t>
        </is>
      </c>
    </row>
    <row r="95">
      <c r="A95" t="inlineStr">
        <is>
          <t>2026-08-31</t>
        </is>
      </c>
      <c r="B95" t="inlineStr">
        <is>
          <t>10:28</t>
        </is>
      </c>
      <c r="C95" t="inlineStr">
        <is>
          <t>MGC</t>
        </is>
      </c>
      <c r="D95" t="inlineStr">
        <is>
          <t>Short</t>
        </is>
      </c>
      <c r="E95" t="n">
        <v>-126</v>
      </c>
      <c r="F95" t="inlineStr">
        <is>
          <t>down</t>
        </is>
      </c>
      <c r="G95" t="inlineStr">
        <is>
          <t>down</t>
        </is>
      </c>
      <c r="H95" t="inlineStr">
        <is>
          <t>down</t>
        </is>
      </c>
      <c r="I95" t="inlineStr">
        <is>
          <t>down</t>
        </is>
      </c>
      <c r="J95" t="n">
        <v>32.8</v>
      </c>
      <c r="K95" t="inlineStr">
        <is>
          <t>bear</t>
        </is>
      </c>
      <c r="L95" t="inlineStr">
        <is>
          <t>-</t>
        </is>
      </c>
      <c r="M95" t="n">
        <v>33.9</v>
      </c>
      <c r="N95" t="n">
        <v>6.89</v>
      </c>
      <c r="O95" t="n">
        <v>4477.82</v>
      </c>
      <c r="P95" t="inlineStr">
        <is>
          <t>below</t>
        </is>
      </c>
      <c r="Q95" t="n">
        <v>4470.81</v>
      </c>
      <c r="R95" t="n">
        <v>0.7</v>
      </c>
      <c r="S95" t="n">
        <v>-4540</v>
      </c>
      <c r="T95" t="n">
        <v>13</v>
      </c>
      <c r="U95" t="inlineStr">
        <is>
          <t>extended (no pullback)</t>
        </is>
      </c>
      <c r="V95" t="inlineStr">
        <is>
          <t>Weak</t>
        </is>
      </c>
      <c r="W95" t="n">
        <v>1</v>
      </c>
      <c r="X95" t="inlineStr">
        <is>
          <t>Round</t>
        </is>
      </c>
      <c r="Z95" t="n">
        <v>0.5600000000000001</v>
      </c>
      <c r="AA95" t="inlineStr">
        <is>
          <t>Yes</t>
        </is>
      </c>
      <c r="AB95" t="inlineStr">
        <is>
          <t>Yes</t>
        </is>
      </c>
    </row>
    <row r="96">
      <c r="A96" t="inlineStr">
        <is>
          <t>2026-08-31</t>
        </is>
      </c>
      <c r="B96" t="inlineStr">
        <is>
          <t>10:41</t>
        </is>
      </c>
      <c r="C96" t="inlineStr">
        <is>
          <t>MNQ</t>
        </is>
      </c>
      <c r="D96" t="inlineStr">
        <is>
          <t>Long</t>
        </is>
      </c>
      <c r="E96" t="n">
        <v>250</v>
      </c>
      <c r="F96" t="inlineStr">
        <is>
          <t>down</t>
        </is>
      </c>
      <c r="G96" t="inlineStr">
        <is>
          <t>down</t>
        </is>
      </c>
      <c r="H96" t="inlineStr">
        <is>
          <t>down</t>
        </is>
      </c>
      <c r="I96" t="inlineStr">
        <is>
          <t>down</t>
        </is>
      </c>
      <c r="J96" t="n">
        <v>52.5</v>
      </c>
      <c r="K96" t="inlineStr">
        <is>
          <t>bear</t>
        </is>
      </c>
      <c r="L96" t="inlineStr">
        <is>
          <t>+</t>
        </is>
      </c>
      <c r="M96" t="n">
        <v>19.4</v>
      </c>
      <c r="N96" t="n">
        <v>40.2</v>
      </c>
      <c r="O96" t="n">
        <v>29420.42</v>
      </c>
      <c r="P96" t="inlineStr">
        <is>
          <t>below</t>
        </is>
      </c>
      <c r="Q96" t="n">
        <v>29429.81</v>
      </c>
      <c r="R96" t="n">
        <v>0.98</v>
      </c>
      <c r="S96" t="n">
        <v>-15436</v>
      </c>
      <c r="T96" t="n">
        <v>31</v>
      </c>
      <c r="U96" t="inlineStr">
        <is>
          <t>shallow</t>
        </is>
      </c>
      <c r="V96" t="inlineStr">
        <is>
          <t>Good</t>
        </is>
      </c>
      <c r="W96" t="n">
        <v>2</v>
      </c>
      <c r="X96" t="inlineStr">
        <is>
          <t>Round</t>
        </is>
      </c>
      <c r="Z96" t="n">
        <v>0.83</v>
      </c>
      <c r="AA96" t="inlineStr">
        <is>
          <t>No</t>
        </is>
      </c>
      <c r="AB96" t="inlineStr">
        <is>
          <t>No</t>
        </is>
      </c>
    </row>
    <row r="97">
      <c r="A97" t="inlineStr">
        <is>
          <t>2026-08-31</t>
        </is>
      </c>
      <c r="B97" t="inlineStr">
        <is>
          <t>10:47</t>
        </is>
      </c>
      <c r="C97" t="inlineStr">
        <is>
          <t>MNQ</t>
        </is>
      </c>
      <c r="D97" t="inlineStr">
        <is>
          <t>Long</t>
        </is>
      </c>
      <c r="E97" t="n">
        <v>-87.5</v>
      </c>
      <c r="F97" t="inlineStr">
        <is>
          <t>down</t>
        </is>
      </c>
      <c r="G97" t="inlineStr">
        <is>
          <t>down</t>
        </is>
      </c>
      <c r="H97" t="inlineStr">
        <is>
          <t>down</t>
        </is>
      </c>
      <c r="I97" t="inlineStr">
        <is>
          <t>down</t>
        </is>
      </c>
      <c r="J97" t="n">
        <v>46.3</v>
      </c>
      <c r="K97" t="inlineStr">
        <is>
          <t>bear</t>
        </is>
      </c>
      <c r="L97" t="inlineStr">
        <is>
          <t>+</t>
        </is>
      </c>
      <c r="M97" t="n">
        <v>19</v>
      </c>
      <c r="N97" t="n">
        <v>40.48</v>
      </c>
      <c r="O97" t="n">
        <v>29419.96</v>
      </c>
      <c r="P97" t="inlineStr">
        <is>
          <t>below</t>
        </is>
      </c>
      <c r="Q97" t="n">
        <v>29429.81</v>
      </c>
      <c r="R97" t="n">
        <v>0.8</v>
      </c>
      <c r="S97" t="n">
        <v>-18500</v>
      </c>
      <c r="T97" t="n">
        <v>33</v>
      </c>
      <c r="U97" t="inlineStr">
        <is>
          <t>shallow</t>
        </is>
      </c>
      <c r="V97" t="inlineStr">
        <is>
          <t>Good</t>
        </is>
      </c>
      <c r="W97" t="n">
        <v>2</v>
      </c>
      <c r="X97" t="inlineStr">
        <is>
          <t>Round</t>
        </is>
      </c>
      <c r="Y97" t="inlineStr">
        <is>
          <t>bearish engulfing</t>
        </is>
      </c>
      <c r="Z97" t="n">
        <v>0.68</v>
      </c>
      <c r="AA97" t="inlineStr">
        <is>
          <t>No</t>
        </is>
      </c>
      <c r="AB97" t="inlineStr">
        <is>
          <t>No</t>
        </is>
      </c>
    </row>
    <row r="98">
      <c r="A98" t="inlineStr">
        <is>
          <t>2026-08-31</t>
        </is>
      </c>
      <c r="B98" t="inlineStr">
        <is>
          <t>10:48</t>
        </is>
      </c>
      <c r="C98" t="inlineStr">
        <is>
          <t>MNQ</t>
        </is>
      </c>
      <c r="D98" t="inlineStr">
        <is>
          <t>Long</t>
        </is>
      </c>
      <c r="E98" t="n">
        <v>-57</v>
      </c>
      <c r="F98" t="inlineStr">
        <is>
          <t>down</t>
        </is>
      </c>
      <c r="G98" t="inlineStr">
        <is>
          <t>down</t>
        </is>
      </c>
      <c r="H98" t="inlineStr">
        <is>
          <t>down</t>
        </is>
      </c>
      <c r="I98" t="inlineStr">
        <is>
          <t>down</t>
        </is>
      </c>
      <c r="J98" t="n">
        <v>46.3</v>
      </c>
      <c r="K98" t="inlineStr">
        <is>
          <t>bear</t>
        </is>
      </c>
      <c r="L98" t="inlineStr">
        <is>
          <t>+</t>
        </is>
      </c>
      <c r="M98" t="n">
        <v>19</v>
      </c>
      <c r="N98" t="n">
        <v>40.48</v>
      </c>
      <c r="O98" t="n">
        <v>29419.96</v>
      </c>
      <c r="P98" t="inlineStr">
        <is>
          <t>below</t>
        </is>
      </c>
      <c r="Q98" t="n">
        <v>29429.81</v>
      </c>
      <c r="R98" t="n">
        <v>0.8</v>
      </c>
      <c r="S98" t="n">
        <v>-18500</v>
      </c>
      <c r="T98" t="n">
        <v>42</v>
      </c>
      <c r="U98" t="inlineStr">
        <is>
          <t>golden</t>
        </is>
      </c>
      <c r="V98" t="inlineStr">
        <is>
          <t>Good</t>
        </is>
      </c>
      <c r="W98" t="n">
        <v>2</v>
      </c>
      <c r="X98" t="inlineStr">
        <is>
          <t>ORL/Round</t>
        </is>
      </c>
      <c r="Y98" t="inlineStr">
        <is>
          <t>bearish engulfing</t>
        </is>
      </c>
      <c r="Z98" t="n">
        <v>0.68</v>
      </c>
      <c r="AA98" t="inlineStr">
        <is>
          <t>No</t>
        </is>
      </c>
      <c r="AB98" t="inlineStr">
        <is>
          <t>No</t>
        </is>
      </c>
    </row>
    <row r="99">
      <c r="A99" t="inlineStr">
        <is>
          <t>2026-08-31</t>
        </is>
      </c>
      <c r="B99" t="inlineStr">
        <is>
          <t>10:55</t>
        </is>
      </c>
      <c r="C99" t="inlineStr">
        <is>
          <t>MGC</t>
        </is>
      </c>
      <c r="D99" t="inlineStr">
        <is>
          <t>Short</t>
        </is>
      </c>
      <c r="E99" t="n">
        <v>108</v>
      </c>
      <c r="F99" t="inlineStr">
        <is>
          <t>down</t>
        </is>
      </c>
      <c r="G99" t="inlineStr">
        <is>
          <t>down</t>
        </is>
      </c>
      <c r="H99" t="inlineStr">
        <is>
          <t>down</t>
        </is>
      </c>
      <c r="I99" t="inlineStr">
        <is>
          <t>down</t>
        </is>
      </c>
      <c r="J99" t="n">
        <v>47.9</v>
      </c>
      <c r="K99" t="inlineStr">
        <is>
          <t>bear</t>
        </is>
      </c>
      <c r="L99" t="inlineStr">
        <is>
          <t>+</t>
        </is>
      </c>
      <c r="M99" t="n">
        <v>25</v>
      </c>
      <c r="N99" t="n">
        <v>7.13</v>
      </c>
      <c r="O99" t="n">
        <v>4478.31</v>
      </c>
      <c r="P99" t="inlineStr">
        <is>
          <t>above</t>
        </is>
      </c>
      <c r="Q99" t="n">
        <v>4474.83</v>
      </c>
      <c r="R99" t="n">
        <v>0.99</v>
      </c>
      <c r="S99" t="n">
        <v>-4347</v>
      </c>
      <c r="T99" t="n">
        <v>36</v>
      </c>
      <c r="U99" t="inlineStr">
        <is>
          <t>shallow</t>
        </is>
      </c>
      <c r="V99" t="inlineStr">
        <is>
          <t>Good</t>
        </is>
      </c>
      <c r="W99" t="n">
        <v>2</v>
      </c>
      <c r="X99" t="inlineStr">
        <is>
          <t>No</t>
        </is>
      </c>
      <c r="Y99" t="inlineStr">
        <is>
          <t>bearish pin</t>
        </is>
      </c>
      <c r="Z99" t="n">
        <v>0.71</v>
      </c>
      <c r="AA99" t="inlineStr">
        <is>
          <t>Yes</t>
        </is>
      </c>
      <c r="AB99" t="inlineStr">
        <is>
          <t>Yes</t>
        </is>
      </c>
    </row>
    <row r="100">
      <c r="A100" t="inlineStr">
        <is>
          <t>2026-08-31</t>
        </is>
      </c>
      <c r="B100" t="inlineStr">
        <is>
          <t>22:25</t>
        </is>
      </c>
      <c r="C100" t="inlineStr">
        <is>
          <t>MGC</t>
        </is>
      </c>
      <c r="D100" t="inlineStr">
        <is>
          <t>Long</t>
        </is>
      </c>
      <c r="E100" t="n">
        <v>-16</v>
      </c>
      <c r="F100" t="inlineStr">
        <is>
          <t>down</t>
        </is>
      </c>
      <c r="G100" t="inlineStr">
        <is>
          <t>down</t>
        </is>
      </c>
      <c r="H100" t="inlineStr">
        <is>
          <t>up</t>
        </is>
      </c>
      <c r="I100" t="inlineStr">
        <is>
          <t>down</t>
        </is>
      </c>
      <c r="J100" t="n">
        <v>41.4</v>
      </c>
      <c r="K100" t="inlineStr">
        <is>
          <t>bear</t>
        </is>
      </c>
      <c r="L100" t="inlineStr">
        <is>
          <t>-</t>
        </is>
      </c>
      <c r="M100" t="n">
        <v>15.5</v>
      </c>
      <c r="N100" t="n">
        <v>4.68</v>
      </c>
      <c r="O100" t="n">
        <v>4484.98</v>
      </c>
      <c r="P100" t="inlineStr">
        <is>
          <t>above</t>
        </is>
      </c>
      <c r="Q100" t="n">
        <v>4481.28</v>
      </c>
      <c r="R100" t="n">
        <v>0.78</v>
      </c>
      <c r="S100" t="n">
        <v>-7255</v>
      </c>
      <c r="T100" t="n">
        <v>49</v>
      </c>
      <c r="U100" t="inlineStr">
        <is>
          <t>golden</t>
        </is>
      </c>
      <c r="V100" t="inlineStr">
        <is>
          <t>Weak</t>
        </is>
      </c>
      <c r="W100" t="n">
        <v>1</v>
      </c>
      <c r="X100" t="inlineStr">
        <is>
          <t>Round</t>
        </is>
      </c>
      <c r="Y100" t="inlineStr">
        <is>
          <t>strong bearish close</t>
        </is>
      </c>
      <c r="Z100" t="n">
        <v>0.7</v>
      </c>
      <c r="AA100" t="inlineStr">
        <is>
          <t>No</t>
        </is>
      </c>
      <c r="AB100" t="inlineStr">
        <is>
          <t>No</t>
        </is>
      </c>
    </row>
    <row r="101">
      <c r="A101" t="inlineStr">
        <is>
          <t>2026-08-31</t>
        </is>
      </c>
      <c r="B101" t="inlineStr">
        <is>
          <t>22:26</t>
        </is>
      </c>
      <c r="C101" t="inlineStr">
        <is>
          <t>MGC</t>
        </is>
      </c>
      <c r="D101" t="inlineStr">
        <is>
          <t>Long</t>
        </is>
      </c>
      <c r="E101" t="n">
        <v>-60</v>
      </c>
      <c r="F101" t="inlineStr">
        <is>
          <t>down</t>
        </is>
      </c>
      <c r="G101" t="inlineStr">
        <is>
          <t>down</t>
        </is>
      </c>
      <c r="H101" t="inlineStr">
        <is>
          <t>up</t>
        </is>
      </c>
      <c r="I101" t="inlineStr">
        <is>
          <t>down</t>
        </is>
      </c>
      <c r="J101" t="n">
        <v>41.4</v>
      </c>
      <c r="K101" t="inlineStr">
        <is>
          <t>bear</t>
        </is>
      </c>
      <c r="L101" t="inlineStr">
        <is>
          <t>-</t>
        </is>
      </c>
      <c r="M101" t="n">
        <v>15.5</v>
      </c>
      <c r="N101" t="n">
        <v>4.68</v>
      </c>
      <c r="O101" t="n">
        <v>4484.98</v>
      </c>
      <c r="P101" t="inlineStr">
        <is>
          <t>above</t>
        </is>
      </c>
      <c r="Q101" t="n">
        <v>4481.28</v>
      </c>
      <c r="R101" t="n">
        <v>0.78</v>
      </c>
      <c r="S101" t="n">
        <v>-7255</v>
      </c>
      <c r="T101" t="n">
        <v>59</v>
      </c>
      <c r="U101" t="inlineStr">
        <is>
          <t>golden</t>
        </is>
      </c>
      <c r="V101" t="inlineStr">
        <is>
          <t>Weak</t>
        </is>
      </c>
      <c r="W101" t="n">
        <v>1</v>
      </c>
      <c r="X101" t="inlineStr">
        <is>
          <t>Round</t>
        </is>
      </c>
      <c r="Y101" t="inlineStr">
        <is>
          <t>strong bearish close</t>
        </is>
      </c>
      <c r="Z101" t="n">
        <v>0.7</v>
      </c>
      <c r="AA101" t="inlineStr">
        <is>
          <t>No</t>
        </is>
      </c>
      <c r="AB101" t="inlineStr">
        <is>
          <t>No</t>
        </is>
      </c>
    </row>
    <row r="102">
      <c r="A102" t="inlineStr">
        <is>
          <t>2026-08-31</t>
        </is>
      </c>
      <c r="B102" t="inlineStr">
        <is>
          <t>22:47</t>
        </is>
      </c>
      <c r="C102" t="inlineStr">
        <is>
          <t>MGC</t>
        </is>
      </c>
      <c r="D102" t="inlineStr">
        <is>
          <t>Short</t>
        </is>
      </c>
      <c r="E102" t="n">
        <v>-180</v>
      </c>
      <c r="F102" t="inlineStr">
        <is>
          <t>down</t>
        </is>
      </c>
      <c r="G102" t="inlineStr">
        <is>
          <t>down</t>
        </is>
      </c>
      <c r="H102" t="inlineStr">
        <is>
          <t>down</t>
        </is>
      </c>
      <c r="I102" t="inlineStr">
        <is>
          <t>down</t>
        </is>
      </c>
      <c r="J102" t="n">
        <v>38.6</v>
      </c>
      <c r="K102" t="inlineStr">
        <is>
          <t>bear</t>
        </is>
      </c>
      <c r="L102" t="inlineStr">
        <is>
          <t>-</t>
        </is>
      </c>
      <c r="M102" t="n">
        <v>20.4</v>
      </c>
      <c r="N102" t="n">
        <v>5.09</v>
      </c>
      <c r="O102" t="n">
        <v>4484.93</v>
      </c>
      <c r="P102" t="inlineStr">
        <is>
          <t>below</t>
        </is>
      </c>
      <c r="Q102" t="n">
        <v>4481.28</v>
      </c>
      <c r="R102" t="n">
        <v>2.63</v>
      </c>
      <c r="S102" t="n">
        <v>-7614</v>
      </c>
      <c r="T102" t="n">
        <v>12</v>
      </c>
      <c r="U102" t="inlineStr">
        <is>
          <t>extended (no pullback)</t>
        </is>
      </c>
      <c r="V102" t="inlineStr">
        <is>
          <t>Weak</t>
        </is>
      </c>
      <c r="W102" t="n">
        <v>1</v>
      </c>
      <c r="X102" t="inlineStr">
        <is>
          <t>Round</t>
        </is>
      </c>
      <c r="Y102" t="inlineStr">
        <is>
          <t>bullish engulfing</t>
        </is>
      </c>
      <c r="Z102" t="n">
        <v>2.86</v>
      </c>
      <c r="AA102" t="inlineStr">
        <is>
          <t>Yes</t>
        </is>
      </c>
      <c r="AB102" t="inlineStr">
        <is>
          <t>Yes</t>
        </is>
      </c>
    </row>
    <row r="103">
      <c r="A103" t="inlineStr">
        <is>
          <t>2026-08-31</t>
        </is>
      </c>
      <c r="B103" t="inlineStr">
        <is>
          <t>23:00</t>
        </is>
      </c>
      <c r="C103" t="inlineStr">
        <is>
          <t>MGC</t>
        </is>
      </c>
      <c r="D103" t="inlineStr">
        <is>
          <t>Short</t>
        </is>
      </c>
      <c r="E103" t="n">
        <v>230</v>
      </c>
      <c r="F103" t="inlineStr">
        <is>
          <t>down</t>
        </is>
      </c>
      <c r="G103" t="inlineStr">
        <is>
          <t>down</t>
        </is>
      </c>
      <c r="H103" t="inlineStr">
        <is>
          <t>down</t>
        </is>
      </c>
      <c r="I103" t="inlineStr">
        <is>
          <t>down</t>
        </is>
      </c>
      <c r="J103" t="n">
        <v>47.8</v>
      </c>
      <c r="K103" t="inlineStr">
        <is>
          <t>bear</t>
        </is>
      </c>
      <c r="L103" t="inlineStr">
        <is>
          <t>+</t>
        </is>
      </c>
      <c r="M103" t="n">
        <v>19.1</v>
      </c>
      <c r="N103" t="n">
        <v>5.06</v>
      </c>
      <c r="O103" t="n">
        <v>4484.99</v>
      </c>
      <c r="P103" t="inlineStr">
        <is>
          <t>above</t>
        </is>
      </c>
      <c r="Q103" t="n">
        <v>4481.28</v>
      </c>
      <c r="R103" t="n">
        <v>1.4</v>
      </c>
      <c r="S103" t="n">
        <v>-7474</v>
      </c>
      <c r="T103" t="n">
        <v>34</v>
      </c>
      <c r="U103" t="inlineStr">
        <is>
          <t>shallow</t>
        </is>
      </c>
      <c r="V103" t="inlineStr">
        <is>
          <t>Weak</t>
        </is>
      </c>
      <c r="W103" t="n">
        <v>1</v>
      </c>
      <c r="X103" t="inlineStr">
        <is>
          <t>Round</t>
        </is>
      </c>
      <c r="Y103" t="inlineStr">
        <is>
          <t>strong bearish close</t>
        </is>
      </c>
      <c r="Z103" t="n">
        <v>1.27</v>
      </c>
      <c r="AA103" t="inlineStr">
        <is>
          <t>Yes</t>
        </is>
      </c>
      <c r="AB103" t="inlineStr">
        <is>
          <t>Yes</t>
        </is>
      </c>
    </row>
    <row r="104">
      <c r="A104" t="inlineStr">
        <is>
          <t>2026-08-31</t>
        </is>
      </c>
      <c r="B104" t="inlineStr">
        <is>
          <t>23:58</t>
        </is>
      </c>
      <c r="C104" t="inlineStr">
        <is>
          <t>MGC</t>
        </is>
      </c>
      <c r="D104" t="inlineStr">
        <is>
          <t>Short</t>
        </is>
      </c>
      <c r="E104" t="n">
        <v>50</v>
      </c>
      <c r="F104" t="inlineStr">
        <is>
          <t>down</t>
        </is>
      </c>
      <c r="G104" t="inlineStr">
        <is>
          <t>down</t>
        </is>
      </c>
      <c r="H104" t="inlineStr">
        <is>
          <t>down</t>
        </is>
      </c>
      <c r="I104" t="inlineStr">
        <is>
          <t>down</t>
        </is>
      </c>
      <c r="J104" t="n">
        <v>46.4</v>
      </c>
      <c r="K104" t="inlineStr">
        <is>
          <t>bear</t>
        </is>
      </c>
      <c r="L104" t="inlineStr">
        <is>
          <t>+</t>
        </is>
      </c>
      <c r="M104" t="n">
        <v>17.7</v>
      </c>
      <c r="N104" t="n">
        <v>4.27</v>
      </c>
      <c r="O104" t="n">
        <v>4485.1</v>
      </c>
      <c r="P104" t="inlineStr">
        <is>
          <t>above</t>
        </is>
      </c>
      <c r="Q104" t="n">
        <v>4481.28</v>
      </c>
      <c r="R104" t="n">
        <v>3.7</v>
      </c>
      <c r="S104" t="n">
        <v>-7669</v>
      </c>
      <c r="T104" t="n">
        <v>29</v>
      </c>
      <c r="U104" t="inlineStr">
        <is>
          <t>shallow</t>
        </is>
      </c>
      <c r="V104" t="inlineStr">
        <is>
          <t>Weak</t>
        </is>
      </c>
      <c r="W104" t="n">
        <v>1</v>
      </c>
      <c r="X104" t="inlineStr">
        <is>
          <t>No</t>
        </is>
      </c>
      <c r="Y104" t="inlineStr">
        <is>
          <t>strong bearish close</t>
        </is>
      </c>
      <c r="Z104" t="n">
        <v>1.21</v>
      </c>
      <c r="AA104" t="inlineStr">
        <is>
          <t>Yes</t>
        </is>
      </c>
      <c r="AB104" t="inlineStr">
        <is>
          <t>Yes</t>
        </is>
      </c>
    </row>
    <row r="105">
      <c r="A105" t="inlineStr">
        <is>
          <t>2026-09-01</t>
        </is>
      </c>
      <c r="B105" t="inlineStr">
        <is>
          <t>00:02</t>
        </is>
      </c>
      <c r="C105" t="inlineStr">
        <is>
          <t>MGC</t>
        </is>
      </c>
      <c r="D105" t="inlineStr">
        <is>
          <t>Short</t>
        </is>
      </c>
      <c r="E105" t="n">
        <v>15</v>
      </c>
      <c r="F105" t="inlineStr">
        <is>
          <t>down</t>
        </is>
      </c>
      <c r="G105" t="inlineStr">
        <is>
          <t>down</t>
        </is>
      </c>
      <c r="H105" t="inlineStr">
        <is>
          <t>down</t>
        </is>
      </c>
      <c r="I105" t="inlineStr">
        <is>
          <t>down</t>
        </is>
      </c>
      <c r="J105" t="n">
        <v>44.9</v>
      </c>
      <c r="K105" t="inlineStr">
        <is>
          <t>bear</t>
        </is>
      </c>
      <c r="L105" t="inlineStr">
        <is>
          <t>+</t>
        </is>
      </c>
      <c r="M105" t="n">
        <v>17.8</v>
      </c>
      <c r="N105" t="n">
        <v>4.13</v>
      </c>
      <c r="O105" t="n">
        <v>4485.11</v>
      </c>
      <c r="P105" t="inlineStr">
        <is>
          <t>above</t>
        </is>
      </c>
      <c r="Q105" t="n">
        <v>4481.28</v>
      </c>
      <c r="R105" t="n">
        <v>0.43</v>
      </c>
      <c r="S105" t="n">
        <v>-7634</v>
      </c>
      <c r="T105" t="n">
        <v>28</v>
      </c>
      <c r="U105" t="inlineStr">
        <is>
          <t>shallow</t>
        </is>
      </c>
      <c r="V105" t="inlineStr">
        <is>
          <t>Weak</t>
        </is>
      </c>
      <c r="W105" t="n">
        <v>1</v>
      </c>
      <c r="X105" t="inlineStr">
        <is>
          <t>No</t>
        </is>
      </c>
      <c r="Z105" t="n">
        <v>0.29</v>
      </c>
      <c r="AA105" t="inlineStr">
        <is>
          <t>Yes</t>
        </is>
      </c>
      <c r="AB105" t="inlineStr">
        <is>
          <t>Yes</t>
        </is>
      </c>
    </row>
    <row r="106">
      <c r="A106" t="inlineStr">
        <is>
          <t>2026-09-01</t>
        </is>
      </c>
      <c r="B106" t="inlineStr">
        <is>
          <t>10:27</t>
        </is>
      </c>
      <c r="C106" t="inlineStr">
        <is>
          <t>MGC</t>
        </is>
      </c>
      <c r="D106" t="inlineStr">
        <is>
          <t>Short</t>
        </is>
      </c>
      <c r="E106" t="n">
        <v>31</v>
      </c>
      <c r="F106" t="inlineStr">
        <is>
          <t>down</t>
        </is>
      </c>
      <c r="G106" t="inlineStr">
        <is>
          <t>down</t>
        </is>
      </c>
      <c r="H106" t="inlineStr">
        <is>
          <t>down</t>
        </is>
      </c>
      <c r="I106" t="inlineStr">
        <is>
          <t>up</t>
        </is>
      </c>
      <c r="J106" t="n">
        <v>53.2</v>
      </c>
      <c r="K106" t="inlineStr">
        <is>
          <t>bull</t>
        </is>
      </c>
      <c r="L106" t="inlineStr">
        <is>
          <t>+</t>
        </is>
      </c>
      <c r="M106" t="n">
        <v>17.2</v>
      </c>
      <c r="N106" t="n">
        <v>9.140000000000001</v>
      </c>
      <c r="O106" t="n">
        <v>4408.1</v>
      </c>
      <c r="P106" t="inlineStr">
        <is>
          <t>above</t>
        </is>
      </c>
      <c r="Q106" t="n">
        <v>4410.7</v>
      </c>
      <c r="R106" t="n">
        <v>1.4</v>
      </c>
      <c r="S106" t="n">
        <v>2867</v>
      </c>
      <c r="T106" t="n">
        <v>70</v>
      </c>
      <c r="U106" t="inlineStr">
        <is>
          <t>deep</t>
        </is>
      </c>
      <c r="V106" t="inlineStr">
        <is>
          <t>No setup</t>
        </is>
      </c>
      <c r="W106" t="n">
        <v>0</v>
      </c>
      <c r="X106" t="inlineStr">
        <is>
          <t>ORH/Round</t>
        </is>
      </c>
      <c r="Y106" t="inlineStr">
        <is>
          <t>bearish engulfing</t>
        </is>
      </c>
      <c r="Z106" t="n">
        <v>0.62</v>
      </c>
      <c r="AA106" t="inlineStr">
        <is>
          <t>No</t>
        </is>
      </c>
      <c r="AB106" t="inlineStr">
        <is>
          <t>Yes</t>
        </is>
      </c>
    </row>
    <row r="107">
      <c r="A107" t="inlineStr">
        <is>
          <t>2026-09-01</t>
        </is>
      </c>
      <c r="B107" t="inlineStr">
        <is>
          <t>10:39</t>
        </is>
      </c>
      <c r="C107" t="inlineStr">
        <is>
          <t>MNQ</t>
        </is>
      </c>
      <c r="D107" t="inlineStr">
        <is>
          <t>Long</t>
        </is>
      </c>
      <c r="E107" t="n">
        <v>482</v>
      </c>
      <c r="F107" t="inlineStr">
        <is>
          <t>down</t>
        </is>
      </c>
      <c r="G107" t="inlineStr">
        <is>
          <t>down</t>
        </is>
      </c>
      <c r="H107" t="inlineStr">
        <is>
          <t>up</t>
        </is>
      </c>
      <c r="I107" t="inlineStr">
        <is>
          <t>up</t>
        </is>
      </c>
      <c r="J107" t="n">
        <v>64</v>
      </c>
      <c r="K107" t="inlineStr">
        <is>
          <t>bull</t>
        </is>
      </c>
      <c r="L107" t="inlineStr">
        <is>
          <t>+</t>
        </is>
      </c>
      <c r="M107" t="n">
        <v>29.3</v>
      </c>
      <c r="N107" t="n">
        <v>36.39</v>
      </c>
      <c r="O107" t="n">
        <v>29122.08</v>
      </c>
      <c r="P107" t="inlineStr">
        <is>
          <t>above</t>
        </is>
      </c>
      <c r="Q107" t="n">
        <v>29094.86</v>
      </c>
      <c r="R107" t="n">
        <v>0.78</v>
      </c>
      <c r="S107" t="n">
        <v>10840</v>
      </c>
      <c r="T107" t="n">
        <v>4</v>
      </c>
      <c r="U107" t="inlineStr">
        <is>
          <t>extended (no pullback)</t>
        </is>
      </c>
      <c r="V107" t="inlineStr">
        <is>
          <t>No setup</t>
        </is>
      </c>
      <c r="W107" t="n">
        <v>0</v>
      </c>
      <c r="X107" t="inlineStr">
        <is>
          <t>Round</t>
        </is>
      </c>
      <c r="Z107" t="n">
        <v>0.78</v>
      </c>
      <c r="AA107" t="inlineStr">
        <is>
          <t>No</t>
        </is>
      </c>
      <c r="AB107" t="inlineStr">
        <is>
          <t>No</t>
        </is>
      </c>
    </row>
    <row r="108">
      <c r="A108" t="inlineStr">
        <is>
          <t>2026-09-01</t>
        </is>
      </c>
      <c r="B108" t="inlineStr">
        <is>
          <t>11:28</t>
        </is>
      </c>
      <c r="C108" t="inlineStr">
        <is>
          <t>MNQ</t>
        </is>
      </c>
      <c r="D108" t="inlineStr">
        <is>
          <t>Long</t>
        </is>
      </c>
      <c r="E108" t="n">
        <v>50</v>
      </c>
      <c r="F108" t="inlineStr">
        <is>
          <t>down</t>
        </is>
      </c>
      <c r="G108" t="inlineStr">
        <is>
          <t>down</t>
        </is>
      </c>
      <c r="H108" t="inlineStr">
        <is>
          <t>up</t>
        </is>
      </c>
      <c r="I108" t="inlineStr">
        <is>
          <t>up</t>
        </is>
      </c>
      <c r="J108" t="n">
        <v>61.7</v>
      </c>
      <c r="K108" t="inlineStr">
        <is>
          <t>bull</t>
        </is>
      </c>
      <c r="L108" t="inlineStr">
        <is>
          <t>+</t>
        </is>
      </c>
      <c r="M108" t="n">
        <v>33</v>
      </c>
      <c r="N108" t="n">
        <v>32.98</v>
      </c>
      <c r="O108" t="n">
        <v>29148.8</v>
      </c>
      <c r="P108" t="inlineStr">
        <is>
          <t>above</t>
        </is>
      </c>
      <c r="Q108" t="n">
        <v>29111.42</v>
      </c>
      <c r="R108" t="n">
        <v>0.77</v>
      </c>
      <c r="S108" t="n">
        <v>14006</v>
      </c>
      <c r="T108" t="n">
        <v>26</v>
      </c>
      <c r="U108" t="inlineStr">
        <is>
          <t>shallow</t>
        </is>
      </c>
      <c r="V108" t="inlineStr">
        <is>
          <t>No setup</t>
        </is>
      </c>
      <c r="W108" t="n">
        <v>0</v>
      </c>
      <c r="X108" t="inlineStr">
        <is>
          <t>Round</t>
        </is>
      </c>
      <c r="Y108" t="inlineStr">
        <is>
          <t>strong bullish close</t>
        </is>
      </c>
      <c r="Z108" t="n">
        <v>0.53</v>
      </c>
      <c r="AA108" t="inlineStr">
        <is>
          <t>No</t>
        </is>
      </c>
      <c r="AB108" t="inlineStr">
        <is>
          <t>No</t>
        </is>
      </c>
    </row>
    <row r="109">
      <c r="A109" t="inlineStr">
        <is>
          <t>2026-09-01</t>
        </is>
      </c>
      <c r="B109" t="inlineStr">
        <is>
          <t>12:25</t>
        </is>
      </c>
      <c r="C109" t="inlineStr">
        <is>
          <t>MNQ</t>
        </is>
      </c>
      <c r="D109" t="inlineStr">
        <is>
          <t>Long</t>
        </is>
      </c>
      <c r="E109" t="n">
        <v>-79</v>
      </c>
      <c r="F109" t="inlineStr">
        <is>
          <t>down</t>
        </is>
      </c>
      <c r="G109" t="inlineStr">
        <is>
          <t>down</t>
        </is>
      </c>
      <c r="H109" t="inlineStr">
        <is>
          <t>up</t>
        </is>
      </c>
      <c r="I109" t="inlineStr">
        <is>
          <t>down</t>
        </is>
      </c>
      <c r="J109" t="n">
        <v>40.4</v>
      </c>
      <c r="K109" t="inlineStr">
        <is>
          <t>bull</t>
        </is>
      </c>
      <c r="L109" t="inlineStr">
        <is>
          <t>-</t>
        </is>
      </c>
      <c r="M109" t="n">
        <v>33.3</v>
      </c>
      <c r="N109" t="n">
        <v>31.78</v>
      </c>
      <c r="O109" t="n">
        <v>29175.5</v>
      </c>
      <c r="P109" t="inlineStr">
        <is>
          <t>above</t>
        </is>
      </c>
      <c r="Q109" t="n">
        <v>29189.41</v>
      </c>
      <c r="R109" t="n">
        <v>2.06</v>
      </c>
      <c r="S109" t="n">
        <v>11928</v>
      </c>
      <c r="T109" t="n">
        <v>42</v>
      </c>
      <c r="U109" t="inlineStr">
        <is>
          <t>golden</t>
        </is>
      </c>
      <c r="V109" t="inlineStr">
        <is>
          <t>Weak</t>
        </is>
      </c>
      <c r="W109" t="n">
        <v>1</v>
      </c>
      <c r="X109" t="inlineStr">
        <is>
          <t>Round</t>
        </is>
      </c>
      <c r="Z109" t="n">
        <v>1.32</v>
      </c>
      <c r="AA109" t="inlineStr">
        <is>
          <t>No</t>
        </is>
      </c>
      <c r="AB109" t="inlineStr">
        <is>
          <t>No</t>
        </is>
      </c>
    </row>
    <row r="110">
      <c r="A110" t="inlineStr">
        <is>
          <t>2026-09-01</t>
        </is>
      </c>
      <c r="B110" t="inlineStr">
        <is>
          <t>14:47</t>
        </is>
      </c>
      <c r="C110" t="inlineStr">
        <is>
          <t>MNQ</t>
        </is>
      </c>
      <c r="D110" t="inlineStr">
        <is>
          <t>Long</t>
        </is>
      </c>
      <c r="E110" t="n">
        <v>308</v>
      </c>
      <c r="F110" t="inlineStr">
        <is>
          <t>down</t>
        </is>
      </c>
      <c r="G110" t="inlineStr">
        <is>
          <t>down</t>
        </is>
      </c>
      <c r="H110" t="inlineStr">
        <is>
          <t>down</t>
        </is>
      </c>
      <c r="I110" t="inlineStr">
        <is>
          <t>down</t>
        </is>
      </c>
      <c r="J110" t="n">
        <v>32.8</v>
      </c>
      <c r="K110" t="inlineStr">
        <is>
          <t>bear</t>
        </is>
      </c>
      <c r="L110" t="inlineStr">
        <is>
          <t>-</t>
        </is>
      </c>
      <c r="M110" t="n">
        <v>34.7</v>
      </c>
      <c r="N110" t="n">
        <v>28.96</v>
      </c>
      <c r="O110" t="n">
        <v>29159.72</v>
      </c>
      <c r="P110" t="inlineStr">
        <is>
          <t>below</t>
        </is>
      </c>
      <c r="Q110" t="n">
        <v>29108.57</v>
      </c>
      <c r="R110" t="n">
        <v>3.08</v>
      </c>
      <c r="S110" t="n">
        <v>4365</v>
      </c>
      <c r="V110" t="inlineStr">
        <is>
          <t>No setup</t>
        </is>
      </c>
      <c r="W110" t="n">
        <v>0</v>
      </c>
      <c r="X110" t="inlineStr">
        <is>
          <t>ORL/Round</t>
        </is>
      </c>
      <c r="Y110" t="inlineStr">
        <is>
          <t>strong bullish close</t>
        </is>
      </c>
      <c r="Z110" t="n">
        <v>2.34</v>
      </c>
      <c r="AA110" t="inlineStr">
        <is>
          <t>No</t>
        </is>
      </c>
      <c r="AB110" t="inlineStr">
        <is>
          <t>No</t>
        </is>
      </c>
    </row>
    <row r="111">
      <c r="A111" t="inlineStr">
        <is>
          <t>2026-09-01</t>
        </is>
      </c>
      <c r="B111" t="inlineStr">
        <is>
          <t>15:06</t>
        </is>
      </c>
      <c r="C111" t="inlineStr">
        <is>
          <t>MNQ</t>
        </is>
      </c>
      <c r="D111" t="inlineStr">
        <is>
          <t>Short</t>
        </is>
      </c>
      <c r="E111" t="n">
        <v>3</v>
      </c>
      <c r="F111" t="inlineStr">
        <is>
          <t>down</t>
        </is>
      </c>
      <c r="G111" t="inlineStr">
        <is>
          <t>down</t>
        </is>
      </c>
      <c r="H111" t="inlineStr">
        <is>
          <t>down</t>
        </is>
      </c>
      <c r="I111" t="inlineStr">
        <is>
          <t>down</t>
        </is>
      </c>
      <c r="J111" t="n">
        <v>48.3</v>
      </c>
      <c r="K111" t="inlineStr">
        <is>
          <t>bear</t>
        </is>
      </c>
      <c r="L111" t="inlineStr">
        <is>
          <t>+</t>
        </is>
      </c>
      <c r="M111" t="n">
        <v>33.6</v>
      </c>
      <c r="N111" t="n">
        <v>28.51</v>
      </c>
      <c r="O111" t="n">
        <v>29155.95</v>
      </c>
      <c r="P111" t="inlineStr">
        <is>
          <t>below</t>
        </is>
      </c>
      <c r="Q111" t="n">
        <v>29108.57</v>
      </c>
      <c r="R111" t="n">
        <v>1</v>
      </c>
      <c r="S111" t="n">
        <v>13485</v>
      </c>
      <c r="T111" t="n">
        <v>30</v>
      </c>
      <c r="U111" t="inlineStr">
        <is>
          <t>shallow</t>
        </is>
      </c>
      <c r="V111" t="inlineStr">
        <is>
          <t>Good</t>
        </is>
      </c>
      <c r="W111" t="n">
        <v>2</v>
      </c>
      <c r="X111" t="inlineStr">
        <is>
          <t>ONL/Round</t>
        </is>
      </c>
      <c r="Y111" t="inlineStr">
        <is>
          <t>strong bullish close</t>
        </is>
      </c>
      <c r="Z111" t="n">
        <v>0.83</v>
      </c>
      <c r="AA111" t="inlineStr">
        <is>
          <t>Yes</t>
        </is>
      </c>
      <c r="AB111" t="inlineStr">
        <is>
          <t>Yes</t>
        </is>
      </c>
    </row>
    <row r="112">
      <c r="A112" t="inlineStr">
        <is>
          <t>2026-09-01</t>
        </is>
      </c>
      <c r="B112" t="inlineStr">
        <is>
          <t>15:06</t>
        </is>
      </c>
      <c r="C112" t="inlineStr">
        <is>
          <t>MNQ</t>
        </is>
      </c>
      <c r="D112" t="inlineStr">
        <is>
          <t>Short</t>
        </is>
      </c>
      <c r="E112" t="n">
        <v>-88</v>
      </c>
      <c r="F112" t="inlineStr">
        <is>
          <t>down</t>
        </is>
      </c>
      <c r="G112" t="inlineStr">
        <is>
          <t>down</t>
        </is>
      </c>
      <c r="H112" t="inlineStr">
        <is>
          <t>down</t>
        </is>
      </c>
      <c r="I112" t="inlineStr">
        <is>
          <t>down</t>
        </is>
      </c>
      <c r="J112" t="n">
        <v>48.3</v>
      </c>
      <c r="K112" t="inlineStr">
        <is>
          <t>bear</t>
        </is>
      </c>
      <c r="L112" t="inlineStr">
        <is>
          <t>+</t>
        </is>
      </c>
      <c r="M112" t="n">
        <v>33.6</v>
      </c>
      <c r="N112" t="n">
        <v>28.51</v>
      </c>
      <c r="O112" t="n">
        <v>29155.95</v>
      </c>
      <c r="P112" t="inlineStr">
        <is>
          <t>below</t>
        </is>
      </c>
      <c r="Q112" t="n">
        <v>29108.57</v>
      </c>
      <c r="R112" t="n">
        <v>1</v>
      </c>
      <c r="S112" t="n">
        <v>13485</v>
      </c>
      <c r="T112" t="n">
        <v>31</v>
      </c>
      <c r="U112" t="inlineStr">
        <is>
          <t>shallow</t>
        </is>
      </c>
      <c r="V112" t="inlineStr">
        <is>
          <t>Good</t>
        </is>
      </c>
      <c r="W112" t="n">
        <v>2</v>
      </c>
      <c r="X112" t="inlineStr">
        <is>
          <t>Round</t>
        </is>
      </c>
      <c r="Y112" t="inlineStr">
        <is>
          <t>strong bullish close</t>
        </is>
      </c>
      <c r="Z112" t="n">
        <v>0.83</v>
      </c>
      <c r="AA112" t="inlineStr">
        <is>
          <t>Yes</t>
        </is>
      </c>
      <c r="AB112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  <c r="F5" t="inlineStr"/>
      <c r="G5" t="inlineStr"/>
      <c r="H5" t="inlineStr"/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  <c r="F8" t="inlineStr"/>
      <c r="G8" t="inlineStr"/>
      <c r="H8" t="inlineStr"/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G9" t="inlineStr"/>
      <c r="H9" t="inlineStr">
        <is>
          <t>-862.00K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2026-09-02T02:52:56Z</dcterms:modified>
  <cp:lastModifiedBy>Abdul Basit</cp:lastModifiedBy>
</cp:coreProperties>
</file>