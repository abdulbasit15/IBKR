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Indicators" sheetId="7" state="visible" r:id="rId7"/>
    <sheet xmlns:r="http://schemas.openxmlformats.org/officeDocument/2006/relationships"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>
        <v>120</v>
      </c>
      <c r="B113" s="22" t="n">
        <v>46266</v>
      </c>
      <c r="C113" s="10" t="n">
        <v>0.9530324074074074</v>
      </c>
      <c r="D113" s="5" t="inlineStr">
        <is>
          <t>MGC</t>
        </is>
      </c>
      <c r="E113" s="5" t="inlineStr">
        <is>
          <t>Short</t>
        </is>
      </c>
      <c r="F113" s="5" t="n">
        <v>4351.48</v>
      </c>
      <c r="G113" s="5" t="n">
        <v>4347.4</v>
      </c>
      <c r="H113" s="5" t="n">
        <v>5</v>
      </c>
      <c r="I113" s="5" t="n">
        <v>4358.5</v>
      </c>
      <c r="J113" s="5" t="n">
        <v>4344.9</v>
      </c>
      <c r="K113" s="8">
        <f>IF(AND(I113&lt;&gt;"",J113&lt;&gt;"",F113&lt;&gt;""), (J113-F113)/(F113-I113), "")</f>
        <v/>
      </c>
      <c r="L113" s="8">
        <f>IF(AND(F113&lt;&gt;"",G113&lt;&gt;"",I113&lt;&gt;""), (G113-F113)/(F113-I113), "")</f>
        <v/>
      </c>
      <c r="M113" s="5">
        <f>IF(N113&gt;0,"Win",IF(N113&lt;0,"Loss",""))</f>
        <v/>
      </c>
      <c r="N113" s="16">
        <f>IF(AND(F113&lt;&gt;"",G113&lt;&gt;"",H113&lt;&gt;"",D113&lt;&gt;""), IF(E113="Long", (G113-F113)*H113*VLOOKUP(D113,Multipliers!A:B,2,FALSE), (F113-G113)*H113*VLOOKUP(D113,Multipliers!A:B,2,FALSE)), "")</f>
        <v/>
      </c>
      <c r="O113" s="9">
        <f>IF(AND(N113&lt;&gt;"",F113&lt;&gt;"",H113&lt;&gt;"",D113&lt;&gt;""), N113/(F113*H113*VLOOKUP(D113,Multipliers!A:B,2,FALSE)), "")</f>
        <v/>
      </c>
      <c r="P113" s="5">
        <f>P112+N113</f>
        <v/>
      </c>
      <c r="Q113" s="5" t="inlineStr">
        <is>
          <t>Break and Retest</t>
        </is>
      </c>
      <c r="R113" s="5" t="inlineStr">
        <is>
          <t>Imported from Tradovate</t>
        </is>
      </c>
      <c r="S113" s="5" t="inlineStr">
        <is>
          <t>MGC</t>
        </is>
      </c>
      <c r="T113" s="5" t="n"/>
      <c r="U113" s="5" t="n"/>
      <c r="V113" s="5" t="inlineStr">
        <is>
          <t>Overtraded</t>
        </is>
      </c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22:52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111</v>
      </c>
    </row>
    <row r="5">
      <c r="A5" t="inlineStr">
        <is>
          <t>Win rate</t>
        </is>
      </c>
      <c r="B5" t="inlineStr">
        <is>
          <t>55.9%</t>
        </is>
      </c>
    </row>
    <row r="6">
      <c r="A6" t="inlineStr">
        <is>
          <t>Total P&amp;L</t>
        </is>
      </c>
      <c r="B6" t="n">
        <v>3009</v>
      </c>
    </row>
    <row r="7">
      <c r="A7" t="inlineStr">
        <is>
          <t>Profit factor</t>
        </is>
      </c>
      <c r="B7" t="n">
        <v>1.34</v>
      </c>
    </row>
    <row r="8">
      <c r="A8" t="inlineStr">
        <is>
          <t>Expectancy / trade</t>
        </is>
      </c>
      <c r="B8" t="n">
        <v>27.11</v>
      </c>
    </row>
    <row r="9">
      <c r="A9" t="inlineStr">
        <is>
          <t>Avg win</t>
        </is>
      </c>
      <c r="B9" t="n">
        <v>190.15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1.96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106</v>
      </c>
      <c r="C19" t="inlineStr">
        <is>
          <t>55%</t>
        </is>
      </c>
      <c r="D19" t="n">
        <v>2550</v>
      </c>
      <c r="E19" t="n">
        <v>24.06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62</v>
      </c>
      <c r="C27" t="inlineStr">
        <is>
          <t>58%</t>
        </is>
      </c>
      <c r="D27" t="n">
        <v>2017</v>
      </c>
      <c r="E27" t="n">
        <v>32.53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55</v>
      </c>
      <c r="C33" t="inlineStr">
        <is>
          <t>60%</t>
        </is>
      </c>
      <c r="D33" t="n">
        <v>-47.5</v>
      </c>
      <c r="E33" t="n">
        <v>-0.86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9</v>
      </c>
      <c r="C50" t="inlineStr">
        <is>
          <t>22%</t>
        </is>
      </c>
      <c r="D50" t="n">
        <v>1584</v>
      </c>
      <c r="E50" t="n">
        <v>176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29</v>
      </c>
      <c r="C58" t="inlineStr">
        <is>
          <t>55%</t>
        </is>
      </c>
      <c r="D58" t="n">
        <v>297</v>
      </c>
      <c r="E58" t="n">
        <v>10.24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8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1.09)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 Bottom line</t>
        </is>
      </c>
    </row>
    <row r="4">
      <c r="A4" s="14" t="inlineStr"/>
    </row>
    <row r="5">
      <c r="A5" s="14" t="inlineStr">
        <is>
          <t>You're net profitable for the period (+$3,009 over 111 trades, 1.34 PF, positive expectancy), and the flagged "bad behaviors" (overtrading, revenge trades, oversizing) all show *positive* PnL in this sample. That's not vindication — it's a warning. You're getting paid despite the process, not because of it, and that gap closes eventually. The data points to one dominant structural leak and a few clear, fixable filters.</t>
        </is>
      </c>
    </row>
    <row r="6">
      <c r="A6" s="14" t="inlineStr"/>
    </row>
    <row r="7">
      <c r="A7" s="14" t="inlineStr">
        <is>
          <t>## The number that should worry you most</t>
        </is>
      </c>
    </row>
    <row r="8">
      <c r="A8" s="14" t="inlineStr"/>
    </row>
    <row r="9">
      <c r="A9" s="14" t="inlineStr">
        <is>
          <t>**Avg RR targeted 1.96 vs. avg RR realized 0.48.** You plan ~2:1 trades and capture under a quarter of that on average. This lines up exactly with your own "cut winner short" tags (MGC 08/27: took 0.11R of a 2.44R target; MNQ 08/25: 0.49R of 2.16R) and the stop-overrun flags (-1.19R against a -1R stop, twice). You're giving back edge on both ends — trimming winners early *and* occasionally letting losers run past plan. If you close that gap even halfway, expectancy roughly doubles without taking a single extra trade.</t>
        </is>
      </c>
    </row>
    <row r="10">
      <c r="A10" s="14" t="inlineStr"/>
    </row>
    <row r="11">
      <c r="A11" s="14" t="inlineStr">
        <is>
          <t>**Action:** once in profit, stop discretionary early exits on your core setup. If your Break and Retest thesis hasn't invalidated, let the plan play out or use a mechanical partial (e.g., take 1/3 at 1R, trail the rest to structure) instead of gut-feel exits.</t>
        </is>
      </c>
    </row>
    <row r="12">
      <c r="A12" s="14" t="inlineStr"/>
    </row>
    <row r="13">
      <c r="A13" s="14" t="inlineStr">
        <is>
          <t>## Where the money actually leaked</t>
        </is>
      </c>
    </row>
    <row r="14">
      <c r="A14" s="14" t="inlineStr"/>
    </row>
    <row r="15">
      <c r="A15" s="14" t="inlineStr">
        <is>
          <t>- **19:00 hour: -$1,470 across just 7 trades**, the single worst line item in the whole dataset — bigger than every other negative hour combined. This is worth a manual look at what trade(s) drove it; it's likely your -$1,310 largest loss.</t>
        </is>
      </c>
    </row>
    <row r="16">
      <c r="A16" s="14" t="inlineStr">
        <is>
          <t>- **Short side is dead weight:** shorts win *more* (60% vs. 51.8% long) but net -$47 total, expectancy -$0.86, while longs net +$3,056 at $54.58 expectancy. You're winning small and losing big on the short side. Check your short-side stop placement and target sizing specifically — this isn't a "you can't short" problem, it's a risk-asymmetry problem.</t>
        </is>
      </c>
    </row>
    <row r="17">
      <c r="A17" s="14" t="inlineStr">
        <is>
          <t>- **Monday is a leak** (-$387, negative expectancy) vs. every other day positive. Small sample (24 trades) but consistent enough to flag — possible pattern of forcing trades to start the week.</t>
        </is>
      </c>
    </row>
    <row r="18">
      <c r="A18" s="14" t="inlineStr">
        <is>
          <t>- Negative-edge hours (11:00, 12:00, 14:00, 15:00, 23:00, 00:00) are mostly small-sample noise except 19:00 and 15:00 (-$205 on 3 trades, 33% WR) — worth watching, not yet acting on.</t>
        </is>
      </c>
    </row>
    <row r="19">
      <c r="A19" s="14" t="inlineStr"/>
    </row>
    <row r="20">
      <c r="A20" s="14" t="inlineStr">
        <is>
          <t>## What's actually working — keep doing this</t>
        </is>
      </c>
    </row>
    <row r="21">
      <c r="A21" s="14" t="inlineStr"/>
    </row>
    <row r="22">
      <c r="A22" s="14" t="inlineStr">
        <is>
          <t>- **09:00 hour is your edge:** 17 trades, 70.6% win rate, +$1,907, expectancy $112 — nearly 4x your overall average. This is your best hour by a wide margin.</t>
        </is>
      </c>
    </row>
    <row r="23">
      <c r="A23" s="14" t="inlineStr">
        <is>
          <t>- **Entering at a key level** (+$4,979/79 trades) vs. **not at a key level** (-$1,970/32 trades) — this is your single cleanest filter. Skip the trades where this box isn't checked.</t>
        </is>
      </c>
    </row>
    <row r="24">
      <c r="A24" s="14" t="inlineStr">
        <is>
          <t>- **Pullback grade "Good"** (+$5,137, 68.6% WR) vs. **"Weak"** (-$2,164, the worst indicator bucket, 56 trades). This is your second-cleanest filter, and it's a *lot* of trades (56 "Weak" entries) — cutting these alone would have turned a big loss bucket into nothing.</t>
        </is>
      </c>
    </row>
    <row r="25">
      <c r="A25" s="14" t="inlineStr">
        <is>
          <t>- **With the 1H trend** (+$3,673) vs. **against/unclear** (-$664), and **ADX ≥ 25** (+$3,090) vs. **ADX &lt; 20 / chop** (-$1,350) — both confirm the same story: your setup needs trend context to work. Chop is where it bleeds.</t>
        </is>
      </c>
    </row>
    <row r="26">
      <c r="A26" s="14" t="inlineStr">
        <is>
          <t>- MGC slightly outperforms MNQ (expectancy $32.53 vs $20.24) — not a reason to drop MNQ, just note MGC is currently your stronger instrument.</t>
        </is>
      </c>
    </row>
    <row r="27">
      <c r="A27" s="14" t="inlineStr"/>
    </row>
    <row r="28">
      <c r="A28" s="14" t="inlineStr">
        <is>
          <t>**Combined filter worth testing:** if you only took Break-and-Retest trades that were (a) at a key level, (b) pullback grade Good/A+, and (c) with the 1H trend / ADX ≥ 25, you'd be trading a small fraction of these 111 trades but cutting almost all of your worst-performing buckets. Worth back-tagging your own trades against this checklist for a week.</t>
        </is>
      </c>
    </row>
    <row r="29">
      <c r="A29" s="14" t="inlineStr"/>
    </row>
    <row r="30">
      <c r="A30" s="14" t="inlineStr">
        <is>
          <t>## Behavioral risk — the part that hasn't bitten you yet</t>
        </is>
      </c>
    </row>
    <row r="31">
      <c r="A31" s="14" t="inlineStr"/>
    </row>
    <row r="32">
      <c r="A32" s="14" t="inlineStr">
        <is>
          <t>- **4 separate overtrading days** (11, 9, 13, 17 trades vs. your own &gt;6 threshold), plus today already at 8. "Overtraded" trades are 60 of your 111 total — more than half your sample. They're currently +$1,723 net, but that's the size of the sample masking the risk, not evidence it's safe.</t>
        </is>
      </c>
    </row>
    <row r="33">
      <c r="A33" s="14" t="inlineStr">
        <is>
          <t>- **16 revenge-trade flags**, several stacked on the same overtrading days (08/11, 08/26, 08/31). Currently +$2,818 net — again, don't read this as "revenge trading works." Look at the sizes: MGC short 08/11 19:34 size **10**, four minutes after a loss, then size **20** twenty minutes later on 08/11 23:36. That's not a revenge trade that happened to work, that's a coin flip at 10-20x your typical size right after taking a loss. Your position-size CV of 1.09 confirms sizing isn't disciplined — it's reactive.</t>
        </is>
      </c>
    </row>
    <row r="34">
      <c r="A34" s="14" t="inlineStr">
        <is>
          <t>- **08/31 is the worst composite day**: 17 trades, 5+ revenge-flagged entries, sizes swinging from 1 to 6 contracts within the same session. Worth a full trade-by-trade post-mortem on that single day.</t>
        </is>
      </c>
    </row>
    <row r="35">
      <c r="A35" s="14" t="inlineStr"/>
    </row>
    <row r="36">
      <c r="A36" s="14" t="inlineStr">
        <is>
          <t>**Action:** put a hard rule in place — after a loss, mandatory size reset to your baseline (pick the median size, not whatever the last trade was) and a minimum cooldown (5-10 min) before re-entry. The data shows you already tend to re-enter in the 4-15 minute window after a loss; make that a rule violation, not just a flag.</t>
        </is>
      </c>
    </row>
    <row r="37">
      <c r="A37" s="14" t="inlineStr"/>
    </row>
    <row r="38">
      <c r="A38" s="14" t="inlineStr">
        <is>
          <t>## Three concrete things to try this week</t>
        </is>
      </c>
    </row>
    <row r="39">
      <c r="A39" s="14" t="inlineStr"/>
    </row>
    <row r="40">
      <c r="A40" s="14" t="inlineStr">
        <is>
          <t>1. **Stop trading (or paper-trade only) between 19:00-20:00** until you've reviewed what happened in that window — it's costing you half your total profit.</t>
        </is>
      </c>
    </row>
    <row r="41">
      <c r="A41" s="14" t="inlineStr">
        <is>
          <t>2. **Add "pullback grade" and "at a key level" as hard entry gates**, not just tags you fill in after the fact.</t>
        </is>
      </c>
    </row>
    <row r="42">
      <c r="A42" s="14" t="inlineStr">
        <is>
          <t>3. **Cap size at your median (looks like ~3 contracts) for the first re-entry after any loss**, full stop — no exceptions, regardless of how good the setup looks.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0.72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0.92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0.78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0.64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9.6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1.34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1.62</v>
      </c>
      <c r="S81" t="n">
        <v>8113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1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1.17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3.96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0.95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0.89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0.74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0.83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0.98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0.99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0.43</v>
      </c>
      <c r="S105" t="n">
        <v>-7634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0.29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1.4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0.78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0.77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3.08</v>
      </c>
      <c r="S110" t="n">
        <v>4365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  <row r="113">
      <c r="A113" t="inlineStr">
        <is>
          <t>2026-09-01</t>
        </is>
      </c>
      <c r="B113" t="inlineStr">
        <is>
          <t>22:52</t>
        </is>
      </c>
      <c r="C113" t="inlineStr">
        <is>
          <t>MGC</t>
        </is>
      </c>
      <c r="D113" t="inlineStr">
        <is>
          <t>Short</t>
        </is>
      </c>
      <c r="E113" t="n">
        <v>204</v>
      </c>
      <c r="F113" t="inlineStr">
        <is>
          <t>down</t>
        </is>
      </c>
      <c r="G113" t="inlineStr">
        <is>
          <t>down</t>
        </is>
      </c>
      <c r="H113" t="inlineStr">
        <is>
          <t>down</t>
        </is>
      </c>
      <c r="I113" t="inlineStr">
        <is>
          <t>down</t>
        </is>
      </c>
      <c r="J113" t="n">
        <v>46.3</v>
      </c>
      <c r="K113" t="inlineStr">
        <is>
          <t>bear</t>
        </is>
      </c>
      <c r="L113" t="inlineStr">
        <is>
          <t>+</t>
        </is>
      </c>
      <c r="M113" t="n">
        <v>21.5</v>
      </c>
      <c r="N113" t="n">
        <v>7.25</v>
      </c>
      <c r="O113" t="n">
        <v>4387.31</v>
      </c>
      <c r="P113" t="inlineStr">
        <is>
          <t>below</t>
        </is>
      </c>
      <c r="Q113" t="n">
        <v>4409.61</v>
      </c>
      <c r="R113" t="n">
        <v>1.05</v>
      </c>
      <c r="S113" t="n">
        <v>-2106</v>
      </c>
      <c r="T113" t="n">
        <v>36</v>
      </c>
      <c r="U113" t="inlineStr">
        <is>
          <t>shallow</t>
        </is>
      </c>
      <c r="V113" t="inlineStr">
        <is>
          <t>Good</t>
        </is>
      </c>
      <c r="W113" t="n">
        <v>2</v>
      </c>
      <c r="X113" t="inlineStr">
        <is>
          <t>Round</t>
        </is>
      </c>
      <c r="Y113" t="inlineStr">
        <is>
          <t>bearish engulfing</t>
        </is>
      </c>
      <c r="Z113" t="n">
        <v>0.39</v>
      </c>
      <c r="AA113" t="inlineStr">
        <is>
          <t>Yes</t>
        </is>
      </c>
      <c r="AB11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  <c r="F5" t="inlineStr"/>
      <c r="G5" t="inlineStr"/>
      <c r="H5" t="inlineStr"/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  <c r="F8" t="inlineStr"/>
      <c r="G8" t="inlineStr"/>
      <c r="H8" t="inlineStr"/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G9" t="inlineStr"/>
      <c r="H9" t="inlineStr">
        <is>
          <t>-862.00K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2026-09-02T03:18:04Z</dcterms:modified>
  <cp:lastModifiedBy>Abdul Basit</cp:lastModifiedBy>
</cp:coreProperties>
</file>