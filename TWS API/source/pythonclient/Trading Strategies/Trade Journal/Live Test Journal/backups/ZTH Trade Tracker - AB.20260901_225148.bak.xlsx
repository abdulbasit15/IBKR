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4" autoFilterDateGrouping="1"/>
  </bookViews>
  <sheets>
    <sheet xmlns:r="http://schemas.openxmlformats.org/officeDocument/2006/relationships" name="Trade Tracker - Eval" sheetId="1" state="visible" r:id="rId1"/>
    <sheet xmlns:r="http://schemas.openxmlformats.org/officeDocument/2006/relationships" name="Multipliers" sheetId="2" state="visible" r:id="rId2"/>
    <sheet xmlns:r="http://schemas.openxmlformats.org/officeDocument/2006/relationships" name="Tag Options" sheetId="3" state="visible" r:id="rId3"/>
    <sheet xmlns:r="http://schemas.openxmlformats.org/officeDocument/2006/relationships" name="Trading Rules" sheetId="4" state="visible" r:id="rId4"/>
    <sheet xmlns:r="http://schemas.openxmlformats.org/officeDocument/2006/relationships" name="Analysis" sheetId="5" state="visible" r:id="rId5"/>
    <sheet xmlns:r="http://schemas.openxmlformats.org/officeDocument/2006/relationships" name="AI Suggestions" sheetId="6" state="visible" r:id="rId6"/>
    <sheet xmlns:r="http://schemas.openxmlformats.org/officeDocument/2006/relationships" name="Economic News" sheetId="7" state="visible" r:id="rId7"/>
    <sheet xmlns:r="http://schemas.openxmlformats.org/officeDocument/2006/relationships" name="Indicators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mm/dd/yyyy"/>
    <numFmt numFmtId="165" formatCode="m/d/yyyy"/>
  </numFmts>
  <fonts count="14">
    <font>
      <name val="Calibri"/>
      <color theme="1"/>
      <sz val="11"/>
      <scheme val="minor"/>
    </font>
    <font>
      <name val="Calibri"/>
      <b val="1"/>
      <color theme="1"/>
      <sz val="11"/>
      <scheme val="minor"/>
    </font>
    <font>
      <name val="Calibri"/>
      <b val="1"/>
      <color rgb="FFFFFFFF"/>
      <sz val="11"/>
      <scheme val="minor"/>
    </font>
    <font>
      <name val="Calibri"/>
      <color theme="1"/>
      <sz val="11"/>
      <scheme val="minor"/>
    </font>
    <font>
      <name val="Calibri"/>
      <color theme="1"/>
      <sz val="11"/>
    </font>
    <font>
      <name val="Aptos"/>
      <color rgb="FF000000"/>
      <sz val="12"/>
    </font>
    <font>
      <name val="Calibri"/>
      <color theme="10"/>
      <sz val="11"/>
      <u val="single"/>
      <scheme val="minor"/>
    </font>
    <font>
      <name val="Calibri"/>
      <b val="1"/>
      <color rgb="FF111827"/>
      <sz val="13"/>
    </font>
    <font>
      <name val="Calibri"/>
      <b val="1"/>
      <color rgb="FFFFFFFF"/>
      <sz val="11"/>
    </font>
    <font>
      <name val="Calibri"/>
      <b val="1"/>
      <color rgb="FFFFFFFF"/>
      <sz val="11"/>
    </font>
    <font>
      <name val="Calibri"/>
      <i val="1"/>
      <color rgb="FF6B7280"/>
      <sz val="11"/>
    </font>
    <font>
      <b val="1"/>
      <color rgb="00FFFFFF"/>
    </font>
    <font>
      <b val="1"/>
      <color rgb="00111827"/>
      <sz val="13"/>
    </font>
    <font>
      <b val="1"/>
      <sz val="13"/>
    </font>
  </fonts>
  <fills count="7">
    <fill>
      <patternFill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366092"/>
        <bgColor rgb="FF366092"/>
      </patternFill>
    </fill>
    <fill>
      <patternFill patternType="solid">
        <fgColor rgb="FF1F2937"/>
      </patternFill>
    </fill>
    <fill>
      <patternFill patternType="solid">
        <fgColor rgb="FF1F2937"/>
      </patternFill>
    </fill>
    <fill>
      <patternFill patternType="solid">
        <fgColor rgb="001F2937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3" fillId="0" borderId="1"/>
    <xf numFmtId="0" fontId="6" fillId="0" borderId="1"/>
  </cellStyleXfs>
  <cellXfs count="26">
    <xf numFmtId="0" fontId="0" fillId="0" borderId="0" pivotButton="0" quotePrefix="0" xfId="0"/>
    <xf numFmtId="0" fontId="1" fillId="2" borderId="1" pivotButton="0" quotePrefix="0" xfId="0"/>
    <xf numFmtId="0" fontId="2" fillId="3" borderId="2" applyAlignment="1" pivotButton="0" quotePrefix="0" xfId="0">
      <alignment horizontal="left" vertical="top" wrapText="1"/>
    </xf>
    <xf numFmtId="0" fontId="3" fillId="0" borderId="0" pivotButton="0" quotePrefix="0" xfId="0"/>
    <xf numFmtId="2" fontId="2" fillId="3" borderId="2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164" fontId="4" fillId="0" borderId="0" applyAlignment="1" pivotButton="0" quotePrefix="0" xfId="0">
      <alignment horizontal="left" vertical="top" wrapText="1"/>
    </xf>
    <xf numFmtId="4" fontId="4" fillId="0" borderId="0" applyAlignment="1" pivotButton="0" quotePrefix="0" xfId="0">
      <alignment horizontal="left" vertical="top" wrapText="1"/>
    </xf>
    <xf numFmtId="2" fontId="3" fillId="0" borderId="0" applyAlignment="1" pivotButton="0" quotePrefix="0" xfId="0">
      <alignment horizontal="left" vertical="top" wrapText="1"/>
    </xf>
    <xf numFmtId="10" fontId="4" fillId="0" borderId="0" applyAlignment="1" pivotButton="0" quotePrefix="0" xfId="0">
      <alignment horizontal="left" vertical="top" wrapText="1"/>
    </xf>
    <xf numFmtId="20" fontId="3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6" fillId="0" borderId="0" applyAlignment="1" pivotButton="0" quotePrefix="0" xfId="1">
      <alignment horizontal="left" vertical="top" wrapText="1"/>
    </xf>
    <xf numFmtId="14" fontId="4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vertical="top" wrapText="1"/>
    </xf>
    <xf numFmtId="4" fontId="2" fillId="3" borderId="2" applyAlignment="1" pivotButton="0" quotePrefix="0" xfId="0">
      <alignment horizontal="left" vertical="top" wrapText="1"/>
    </xf>
    <xf numFmtId="4" fontId="3" fillId="0" borderId="0" applyAlignment="1" pivotButton="0" quotePrefix="0" xfId="0">
      <alignment horizontal="left" vertical="top" wrapText="1"/>
    </xf>
    <xf numFmtId="4" fontId="0" fillId="0" borderId="0" pivotButton="0" quotePrefix="0" xfId="0"/>
    <xf numFmtId="0" fontId="7" fillId="0" borderId="0" pivotButton="0" quotePrefix="0" xfId="0"/>
    <xf numFmtId="0" fontId="8" fillId="4" borderId="0" pivotButton="0" quotePrefix="0" xfId="0"/>
    <xf numFmtId="0" fontId="9" fillId="5" borderId="0" pivotButton="0" quotePrefix="0" xfId="0"/>
    <xf numFmtId="0" fontId="10" fillId="0" borderId="0" pivotButton="0" quotePrefix="0" xfId="0"/>
    <xf numFmtId="165" fontId="4" fillId="0" borderId="0" applyAlignment="1" pivotButton="0" quotePrefix="0" xfId="0">
      <alignment horizontal="left" vertical="top" wrapText="1"/>
    </xf>
    <xf numFmtId="0" fontId="11" fillId="6" borderId="0" pivotButton="0" quotePrefix="0" xfId="0"/>
    <xf numFmtId="0" fontId="12" fillId="0" borderId="0" pivotButton="0" quotePrefix="0" xfId="0"/>
    <xf numFmtId="0" fontId="13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radingview.com/x/soX7jXbm/" TargetMode="External" Id="rId1"/><Relationship Type="http://schemas.openxmlformats.org/officeDocument/2006/relationships/hyperlink" Target="https://www.tradingview.com/x/Hz1BKRjK/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998"/>
  <sheetViews>
    <sheetView workbookViewId="0">
      <pane ySplit="1" topLeftCell="A28" activePane="bottomLeft" state="frozen"/>
      <selection pane="bottomLeft" activeCell="N47" sqref="N47"/>
    </sheetView>
  </sheetViews>
  <sheetFormatPr baseColWidth="8" defaultColWidth="14.42578125" defaultRowHeight="15" customHeight="1"/>
  <cols>
    <col width="8" customWidth="1" min="1" max="1"/>
    <col width="12" customWidth="1" min="2" max="2"/>
    <col width="10" customWidth="1" min="3" max="3"/>
    <col width="15" customWidth="1" min="4" max="4"/>
    <col width="10" customWidth="1" min="5" max="5"/>
    <col width="12" customWidth="1" min="6" max="12"/>
    <col width="10" customWidth="1" min="13" max="13"/>
    <col width="12" customWidth="1" style="17" min="14" max="14"/>
    <col width="10" customWidth="1" min="15" max="15"/>
    <col width="15" customWidth="1" min="16" max="16"/>
    <col width="11.42578125" customWidth="1" min="17" max="17"/>
    <col width="6.28515625" customWidth="1" min="18" max="18"/>
    <col width="15" customWidth="1" min="19" max="19"/>
    <col width="40.42578125" bestFit="1" customWidth="1" min="20" max="20"/>
    <col width="52.42578125" customWidth="1" min="21" max="21"/>
    <col width="8.7109375" customWidth="1" min="22" max="27"/>
  </cols>
  <sheetData>
    <row r="1" ht="30" customHeight="1">
      <c r="A1" s="2" t="inlineStr">
        <is>
          <t xml:space="preserve">ZTH </t>
        </is>
      </c>
      <c r="B1" s="2" t="inlineStr">
        <is>
          <t>Date</t>
        </is>
      </c>
      <c r="C1" s="2" t="inlineStr">
        <is>
          <t>Time</t>
        </is>
      </c>
      <c r="D1" s="2" t="inlineStr">
        <is>
          <t>Asset Traded</t>
        </is>
      </c>
      <c r="E1" s="2" t="inlineStr">
        <is>
          <t>Direction</t>
        </is>
      </c>
      <c r="F1" s="2" t="inlineStr">
        <is>
          <t>Entry Price</t>
        </is>
      </c>
      <c r="G1" s="2" t="inlineStr">
        <is>
          <t>Exit Price</t>
        </is>
      </c>
      <c r="H1" s="2" t="inlineStr">
        <is>
          <t>Position Size</t>
        </is>
      </c>
      <c r="I1" s="2" t="inlineStr">
        <is>
          <t>Stop Loss</t>
        </is>
      </c>
      <c r="J1" s="2" t="inlineStr">
        <is>
          <t>Take Profit</t>
        </is>
      </c>
      <c r="K1" s="4" t="inlineStr">
        <is>
          <t>RR Targeted</t>
        </is>
      </c>
      <c r="L1" s="4" t="inlineStr">
        <is>
          <t>RR Realized</t>
        </is>
      </c>
      <c r="M1" s="2" t="inlineStr">
        <is>
          <t>Win/Loss</t>
        </is>
      </c>
      <c r="N1" s="15" t="inlineStr">
        <is>
          <t>P&amp;L Amount</t>
        </is>
      </c>
      <c r="O1" s="2" t="inlineStr">
        <is>
          <t>P&amp;L %</t>
        </is>
      </c>
      <c r="P1" s="2" t="inlineStr">
        <is>
          <t>Cumulative P&amp;L</t>
        </is>
      </c>
      <c r="Q1" s="2" t="inlineStr">
        <is>
          <t>Trade Setup</t>
        </is>
      </c>
      <c r="R1" s="2" t="inlineStr">
        <is>
          <t>Notes</t>
        </is>
      </c>
      <c r="S1" s="2" t="inlineStr">
        <is>
          <t>Intrument Level</t>
        </is>
      </c>
      <c r="T1" s="2" t="inlineStr">
        <is>
          <t>Level Screenshot</t>
        </is>
      </c>
      <c r="U1" s="2" t="inlineStr">
        <is>
          <t>Trade Screenshot</t>
        </is>
      </c>
      <c r="V1" s="5" t="inlineStr">
        <is>
          <t>Mistakes</t>
        </is>
      </c>
      <c r="W1" s="5" t="inlineStr">
        <is>
          <t>Rules</t>
        </is>
      </c>
      <c r="X1" s="5" t="inlineStr">
        <is>
          <t>Market Conditions</t>
        </is>
      </c>
      <c r="Y1" s="5" t="inlineStr">
        <is>
          <t>Emotion Before Trade</t>
        </is>
      </c>
      <c r="Z1" s="5" t="inlineStr">
        <is>
          <t>Process</t>
        </is>
      </c>
      <c r="AA1" s="5" t="inlineStr">
        <is>
          <t>Learning</t>
        </is>
      </c>
    </row>
    <row r="2" ht="75" customHeight="1">
      <c r="A2" s="5" t="n">
        <v>7</v>
      </c>
      <c r="B2" s="6" t="n">
        <v>46251</v>
      </c>
      <c r="C2" s="10" t="n">
        <v>0.4131944444444444</v>
      </c>
      <c r="D2" s="5" t="inlineStr">
        <is>
          <t>MNQ</t>
        </is>
      </c>
      <c r="E2" s="5" t="inlineStr">
        <is>
          <t>Long</t>
        </is>
      </c>
      <c r="F2" s="7" t="n">
        <v>30240.75</v>
      </c>
      <c r="G2" s="7" t="n">
        <v>30220</v>
      </c>
      <c r="H2" s="5" t="n">
        <v>3</v>
      </c>
      <c r="I2" s="7" t="n">
        <v>30220.75</v>
      </c>
      <c r="J2" s="7" t="n">
        <v>30280.75</v>
      </c>
      <c r="K2" s="8">
        <f>IF(AND(I2&lt;&gt;"",J2&lt;&gt;"",F2&lt;&gt;""), (J2-F2)/(F2-I2), "")</f>
        <v/>
      </c>
      <c r="L2" s="8">
        <f>IF(AND(F2&lt;&gt;"",G2&lt;&gt;"",I2&lt;&gt;""), (G2-F2)/(F2-I2), "")</f>
        <v/>
      </c>
      <c r="M2" s="5">
        <f>IF(N2&gt;0,"Win",IF(N2&lt;0,"Loss",""))</f>
        <v/>
      </c>
      <c r="N2" s="16">
        <f>IF(AND(F2&lt;&gt;"",G2&lt;&gt;"",H2&lt;&gt;"",D2&lt;&gt;""), IF(E2="Long", (G2-F2)*H2*VLOOKUP(D2,Multipliers!A:B,2,FALSE), (F2-G2)*H2*VLOOKUP(D2,Multipliers!A:B,2,FALSE)), "")</f>
        <v/>
      </c>
      <c r="O2" s="9">
        <f>IF(AND(N2&lt;&gt;"",F2&lt;&gt;"",H2&lt;&gt;"",D2&lt;&gt;""), N2/(F2*H2*VLOOKUP(D2,Multipliers!A:B,2,FALSE)), "")</f>
        <v/>
      </c>
      <c r="P2" s="5">
        <f>N2</f>
        <v/>
      </c>
      <c r="Q2" s="5" t="inlineStr">
        <is>
          <t>Break and Retest</t>
        </is>
      </c>
      <c r="R2" s="5" t="n"/>
      <c r="S2" s="5" t="inlineStr">
        <is>
          <t>MNQ</t>
        </is>
      </c>
      <c r="T2" s="5" t="inlineStr">
        <is>
          <t>https://www.tradingview.com/x/ygjyjXNE/</t>
        </is>
      </c>
      <c r="U2" s="5" t="inlineStr">
        <is>
          <t>https://www.tradingview.com/x/pqKL41ZW/</t>
        </is>
      </c>
      <c r="V2" s="5" t="inlineStr">
        <is>
          <t>Cut winner early, Overtraded</t>
        </is>
      </c>
      <c r="W2" s="5" t="n"/>
      <c r="X2" s="5" t="n"/>
      <c r="Y2" s="5" t="n"/>
      <c r="Z2" s="5" t="n"/>
      <c r="AA2" s="5" t="n"/>
    </row>
    <row r="3" ht="18" customHeight="1">
      <c r="A3" s="5" t="n">
        <v>8</v>
      </c>
      <c r="B3" s="6" t="n">
        <v>46251</v>
      </c>
      <c r="C3" s="10" t="n">
        <v>0.4229166666666667</v>
      </c>
      <c r="D3" s="5" t="inlineStr">
        <is>
          <t>MGC</t>
        </is>
      </c>
      <c r="E3" s="5" t="inlineStr">
        <is>
          <t>Long</t>
        </is>
      </c>
      <c r="F3" s="7" t="n">
        <v>4461.4</v>
      </c>
      <c r="G3" s="7" t="n">
        <v>4473.4</v>
      </c>
      <c r="H3" s="5" t="n">
        <v>2</v>
      </c>
      <c r="I3" s="7" t="n">
        <v>4455.4</v>
      </c>
      <c r="J3" s="7" t="n">
        <v>4473.4</v>
      </c>
      <c r="K3" s="8">
        <f>IF(AND(I3&lt;&gt;"",J3&lt;&gt;"",F3&lt;&gt;""), (J3-F3)/(F3-I3), "")</f>
        <v/>
      </c>
      <c r="L3" s="8">
        <f>IF(AND(F3&lt;&gt;"",G3&lt;&gt;"",I3&lt;&gt;""), (G3-F3)/(F3-I3), "")</f>
        <v/>
      </c>
      <c r="M3" s="5">
        <f>IF(N3&gt;0,"Win",IF(N3&lt;0,"Loss",""))</f>
        <v/>
      </c>
      <c r="N3" s="16">
        <f>IF(AND(F3&lt;&gt;"",G3&lt;&gt;"",H3&lt;&gt;"",D3&lt;&gt;""), IF(E3="Long", (G3-F3)*H3*VLOOKUP(D3,Multipliers!A:B,2,FALSE), (F3-G3)*H3*VLOOKUP(D3,Multipliers!A:B,2,FALSE)), "")</f>
        <v/>
      </c>
      <c r="O3" s="9">
        <f>IF(AND(N3&lt;&gt;"",F3&lt;&gt;"",H3&lt;&gt;"",D3&lt;&gt;""), N3/(F3*H3*VLOOKUP(D3,Multipliers!A:B,2,FALSE)), "")</f>
        <v/>
      </c>
      <c r="P3" s="5">
        <f>P2+N3</f>
        <v/>
      </c>
      <c r="Q3" s="5" t="inlineStr">
        <is>
          <t>Break and Retest</t>
        </is>
      </c>
      <c r="R3" s="5" t="n"/>
      <c r="S3" s="5" t="inlineStr">
        <is>
          <t>MGC</t>
        </is>
      </c>
      <c r="T3" s="12" t="inlineStr">
        <is>
          <t>https://www.tradingview.com/x/soX7jXbm/</t>
        </is>
      </c>
      <c r="U3" s="12" t="inlineStr">
        <is>
          <t xml:space="preserve">https://www.tradingview.com/x/Hz1BKRjK/ </t>
        </is>
      </c>
      <c r="V3" s="5" t="inlineStr">
        <is>
          <t>Oversized, Overtraded</t>
        </is>
      </c>
      <c r="W3" s="5" t="n"/>
      <c r="X3" s="5" t="n"/>
      <c r="Y3" s="5" t="n"/>
      <c r="Z3" s="5" t="n"/>
      <c r="AA3" s="5" t="n"/>
    </row>
    <row r="4" ht="60" customHeight="1">
      <c r="A4" s="5" t="n">
        <v>9</v>
      </c>
      <c r="B4" s="6" t="n">
        <v>46251</v>
      </c>
      <c r="C4" s="10" t="n">
        <v>0.49375</v>
      </c>
      <c r="D4" s="5" t="inlineStr">
        <is>
          <t>MNQ</t>
        </is>
      </c>
      <c r="E4" s="5" t="inlineStr">
        <is>
          <t>Short</t>
        </is>
      </c>
      <c r="F4" s="7" t="n">
        <v>30237.75</v>
      </c>
      <c r="G4" s="7" t="n">
        <v>30221.5</v>
      </c>
      <c r="H4" s="5" t="n">
        <v>3</v>
      </c>
      <c r="I4" s="7" t="n">
        <v>30257.75</v>
      </c>
      <c r="J4" s="7" t="n">
        <v>30221.5</v>
      </c>
      <c r="K4" s="8">
        <f>IF(AND(I4&lt;&gt;"",J4&lt;&gt;"",F4&lt;&gt;""), (J4-F4)/(F4-I4), "")</f>
        <v/>
      </c>
      <c r="L4" s="8">
        <f>IF(AND(F4&lt;&gt;"",G4&lt;&gt;"",I4&lt;&gt;""), (G4-F4)/(F4-I4), "")</f>
        <v/>
      </c>
      <c r="M4" s="5">
        <f>IF(N4&gt;0,"Win",IF(N4&lt;0,"Loss",""))</f>
        <v/>
      </c>
      <c r="N4" s="16">
        <f>IF(AND(F4&lt;&gt;"",G4&lt;&gt;"",H4&lt;&gt;"",D4&lt;&gt;""), IF(E4="Long", (G4-F4)*H4*VLOOKUP(D4,Multipliers!A:B,2,FALSE), (F4-G4)*H4*VLOOKUP(D4,Multipliers!A:B,2,FALSE)), "")</f>
        <v/>
      </c>
      <c r="O4" s="9">
        <f>IF(AND(N4&lt;&gt;"",F4&lt;&gt;"",H4&lt;&gt;"",D4&lt;&gt;""), N4/(F4*H4*VLOOKUP(D4,Multipliers!A:B,2,FALSE)), "")</f>
        <v/>
      </c>
      <c r="P4" s="5">
        <f>P3+N4</f>
        <v/>
      </c>
      <c r="Q4" s="5" t="inlineStr">
        <is>
          <t>Break and Retest</t>
        </is>
      </c>
      <c r="R4" s="5" t="n"/>
      <c r="S4" s="5" t="inlineStr">
        <is>
          <t>MNQ</t>
        </is>
      </c>
      <c r="T4" s="5" t="n"/>
      <c r="U4" s="5" t="inlineStr">
        <is>
          <t>https://www.tradingview.com/x/pqKL41ZW/</t>
        </is>
      </c>
      <c r="V4" s="5" t="inlineStr">
        <is>
          <t>Oversized, Overtraded</t>
        </is>
      </c>
      <c r="W4" s="5" t="n"/>
      <c r="X4" s="5" t="n"/>
      <c r="Y4" s="5" t="n"/>
      <c r="Z4" s="5" t="n"/>
      <c r="AA4" s="5" t="n"/>
    </row>
    <row r="5" ht="75" customHeight="1">
      <c r="A5" s="5" t="n">
        <v>10</v>
      </c>
      <c r="B5" s="13" t="n">
        <v>46245</v>
      </c>
      <c r="C5" s="10" t="n">
        <v>0.8108217592592593</v>
      </c>
      <c r="D5" s="5" t="inlineStr">
        <is>
          <t>MGC</t>
        </is>
      </c>
      <c r="E5" s="5" t="inlineStr">
        <is>
          <t>Long</t>
        </is>
      </c>
      <c r="F5" s="7" t="n">
        <v>4429.1</v>
      </c>
      <c r="G5" s="7" t="n">
        <v>4430.1</v>
      </c>
      <c r="H5" s="5" t="n">
        <v>3</v>
      </c>
      <c r="I5" s="7" t="n">
        <v>4423.4</v>
      </c>
      <c r="J5" s="7" t="n">
        <v>4431.5</v>
      </c>
      <c r="K5" s="8">
        <f>IF(AND(I5&lt;&gt;"",J5&lt;&gt;"",F5&lt;&gt;""), (J5-F5)/(F5-I5), "")</f>
        <v/>
      </c>
      <c r="L5" s="8">
        <f>IF(AND(F5&lt;&gt;"",G5&lt;&gt;"",I5&lt;&gt;""), (G5-F5)/(F5-I5), "")</f>
        <v/>
      </c>
      <c r="M5" s="5">
        <f>IF(N5&gt;0,"Win",IF(N5&lt;0,"Loss",""))</f>
        <v/>
      </c>
      <c r="N5" s="16">
        <f>IF(AND(F5&lt;&gt;"",G5&lt;&gt;"",H5&lt;&gt;"",D5&lt;&gt;""), IF(E5="Long", (G5-F5)*H5*VLOOKUP(D5,Multipliers!A:B,2,FALSE), (F5-G5)*H5*VLOOKUP(D5,Multipliers!A:B,2,FALSE)), "")</f>
        <v/>
      </c>
      <c r="O5" s="9">
        <f>IF(AND(N5&lt;&gt;"",F5&lt;&gt;"",H5&lt;&gt;"",D5&lt;&gt;""), N5/(F5*H5*VLOOKUP(D5,Multipliers!A:B,2,FALSE)), "")</f>
        <v/>
      </c>
      <c r="P5" s="5">
        <f>P4+N5</f>
        <v/>
      </c>
      <c r="Q5" s="5" t="inlineStr">
        <is>
          <t>Break and Retest</t>
        </is>
      </c>
      <c r="R5" s="5" t="inlineStr">
        <is>
          <t>Imported from Tradovate</t>
        </is>
      </c>
      <c r="S5" s="5" t="inlineStr">
        <is>
          <t>MGC</t>
        </is>
      </c>
      <c r="T5" s="5" t="n"/>
      <c r="U5" s="5" t="n"/>
      <c r="V5" s="5" t="inlineStr">
        <is>
          <t>Oversized, Revenge trade, Overtraded</t>
        </is>
      </c>
      <c r="W5" s="5" t="n"/>
      <c r="X5" s="5" t="n"/>
      <c r="Y5" s="5" t="n"/>
      <c r="Z5" s="5" t="n"/>
      <c r="AA5" s="5" t="n"/>
    </row>
    <row r="6" ht="75" customHeight="1">
      <c r="A6" s="5" t="n">
        <v>11</v>
      </c>
      <c r="B6" s="13" t="n">
        <v>46245</v>
      </c>
      <c r="C6" s="10" t="n">
        <v>0.8119444444444445</v>
      </c>
      <c r="D6" s="5" t="inlineStr">
        <is>
          <t>MGC</t>
        </is>
      </c>
      <c r="E6" s="5" t="inlineStr">
        <is>
          <t>Short</t>
        </is>
      </c>
      <c r="F6" s="7" t="n">
        <v>4431.6</v>
      </c>
      <c r="G6" s="7" t="n">
        <v>4430.5</v>
      </c>
      <c r="H6" s="5" t="n">
        <v>10</v>
      </c>
      <c r="I6" s="7" t="n"/>
      <c r="J6" s="7" t="n">
        <v>4430.5</v>
      </c>
      <c r="K6" s="8">
        <f>IF(AND(I6&lt;&gt;"",J6&lt;&gt;"",F6&lt;&gt;""), (J6-F6)/(F6-I6), "")</f>
        <v/>
      </c>
      <c r="L6" s="8">
        <f>IF(AND(F6&lt;&gt;"",G6&lt;&gt;"",I6&lt;&gt;""), (G6-F6)/(F6-I6), "")</f>
        <v/>
      </c>
      <c r="M6" s="5">
        <f>IF(N6&gt;0,"Win",IF(N6&lt;0,"Loss",""))</f>
        <v/>
      </c>
      <c r="N6" s="16">
        <f>IF(AND(F6&lt;&gt;"",G6&lt;&gt;"",H6&lt;&gt;"",D6&lt;&gt;""), IF(E6="Long", (G6-F6)*H6*VLOOKUP(D6,Multipliers!A:B,2,FALSE), (F6-G6)*H6*VLOOKUP(D6,Multipliers!A:B,2,FALSE)), "")</f>
        <v/>
      </c>
      <c r="O6" s="9">
        <f>IF(AND(N6&lt;&gt;"",F6&lt;&gt;"",H6&lt;&gt;"",D6&lt;&gt;""), N6/(F6*H6*VLOOKUP(D6,Multipliers!A:B,2,FALSE)), "")</f>
        <v/>
      </c>
      <c r="P6" s="5">
        <f>P5+N6</f>
        <v/>
      </c>
      <c r="Q6" s="5" t="inlineStr">
        <is>
          <t>Break and Retest</t>
        </is>
      </c>
      <c r="R6" s="5" t="inlineStr">
        <is>
          <t>Imported from Tradovate</t>
        </is>
      </c>
      <c r="S6" s="5" t="inlineStr">
        <is>
          <t>MGC</t>
        </is>
      </c>
      <c r="T6" s="5" t="n"/>
      <c r="U6" s="5" t="n"/>
      <c r="V6" s="5" t="inlineStr">
        <is>
          <t>Oversized, Overtraded</t>
        </is>
      </c>
      <c r="W6" s="5" t="n"/>
      <c r="X6" s="5" t="n"/>
      <c r="Y6" s="5" t="n"/>
      <c r="Z6" s="5" t="n"/>
      <c r="AA6" s="5" t="n"/>
    </row>
    <row r="7" ht="75" customHeight="1">
      <c r="A7" s="5" t="n">
        <v>12</v>
      </c>
      <c r="B7" s="13" t="n">
        <v>46245</v>
      </c>
      <c r="C7" s="10" t="n">
        <v>0.8128356481481481</v>
      </c>
      <c r="D7" s="5" t="inlineStr">
        <is>
          <t>MGC</t>
        </is>
      </c>
      <c r="E7" s="5" t="inlineStr">
        <is>
          <t>Long</t>
        </is>
      </c>
      <c r="F7" s="7" t="n">
        <v>4430.6</v>
      </c>
      <c r="G7" s="7" t="n">
        <v>4426.2</v>
      </c>
      <c r="H7" s="5" t="n">
        <v>10</v>
      </c>
      <c r="I7" s="7" t="n">
        <v>4423.4</v>
      </c>
      <c r="J7" s="7" t="n">
        <v>4431.5</v>
      </c>
      <c r="K7" s="8">
        <f>IF(AND(I7&lt;&gt;"",J7&lt;&gt;"",F7&lt;&gt;""), (J7-F7)/(F7-I7), "")</f>
        <v/>
      </c>
      <c r="L7" s="8">
        <f>IF(AND(F7&lt;&gt;"",G7&lt;&gt;"",I7&lt;&gt;""), (G7-F7)/(F7-I7), "")</f>
        <v/>
      </c>
      <c r="M7" s="5">
        <f>IF(N7&gt;0,"Win",IF(N7&lt;0,"Loss",""))</f>
        <v/>
      </c>
      <c r="N7" s="16">
        <f>IF(AND(F7&lt;&gt;"",G7&lt;&gt;"",H7&lt;&gt;"",D7&lt;&gt;""), IF(E7="Long", (G7-F7)*H7*VLOOKUP(D7,Multipliers!A:B,2,FALSE), (F7-G7)*H7*VLOOKUP(D7,Multipliers!A:B,2,FALSE)), "")</f>
        <v/>
      </c>
      <c r="O7" s="9">
        <f>IF(AND(N7&lt;&gt;"",F7&lt;&gt;"",H7&lt;&gt;"",D7&lt;&gt;""), N7/(F7*H7*VLOOKUP(D7,Multipliers!A:B,2,FALSE)), "")</f>
        <v/>
      </c>
      <c r="P7" s="5">
        <f>P6+N7</f>
        <v/>
      </c>
      <c r="Q7" s="5" t="inlineStr">
        <is>
          <t>Break and Retest</t>
        </is>
      </c>
      <c r="R7" s="5" t="inlineStr">
        <is>
          <t>Imported from Tradovate</t>
        </is>
      </c>
      <c r="S7" s="5" t="inlineStr">
        <is>
          <t>MGC</t>
        </is>
      </c>
      <c r="T7" s="5" t="n"/>
      <c r="U7" s="5" t="n"/>
      <c r="V7" s="5" t="inlineStr">
        <is>
          <t>Oversized, Overtraded</t>
        </is>
      </c>
      <c r="W7" s="5" t="n"/>
      <c r="X7" s="5" t="n"/>
      <c r="Y7" s="5" t="n"/>
      <c r="Z7" s="5" t="n"/>
      <c r="AA7" s="5" t="n"/>
    </row>
    <row r="8" ht="75" customHeight="1">
      <c r="A8" s="5" t="n">
        <v>13</v>
      </c>
      <c r="B8" s="13" t="n">
        <v>46245</v>
      </c>
      <c r="C8" s="10" t="n">
        <v>0.8156481481481481</v>
      </c>
      <c r="D8" s="5" t="inlineStr">
        <is>
          <t>MGC</t>
        </is>
      </c>
      <c r="E8" s="5" t="inlineStr">
        <is>
          <t>Short</t>
        </is>
      </c>
      <c r="F8" s="7" t="n">
        <v>4427</v>
      </c>
      <c r="G8" s="7" t="n">
        <v>4440.1</v>
      </c>
      <c r="H8" s="5" t="n">
        <v>10</v>
      </c>
      <c r="I8" s="7" t="n"/>
      <c r="J8" s="7" t="n">
        <v>4426.8</v>
      </c>
      <c r="K8" s="8">
        <f>IF(AND(I8&lt;&gt;"",J8&lt;&gt;"",F8&lt;&gt;""), (J8-F8)/(F8-I8), "")</f>
        <v/>
      </c>
      <c r="L8" s="8">
        <f>IF(AND(F8&lt;&gt;"",G8&lt;&gt;"",I8&lt;&gt;""), (G8-F8)/(F8-I8), "")</f>
        <v/>
      </c>
      <c r="M8" s="5">
        <f>IF(N8&gt;0,"Win",IF(N8&lt;0,"Loss",""))</f>
        <v/>
      </c>
      <c r="N8" s="16">
        <f>IF(AND(F8&lt;&gt;"",G8&lt;&gt;"",H8&lt;&gt;"",D8&lt;&gt;""), IF(E8="Long", (G8-F8)*H8*VLOOKUP(D8,Multipliers!A:B,2,FALSE), (F8-G8)*H8*VLOOKUP(D8,Multipliers!A:B,2,FALSE)), "")</f>
        <v/>
      </c>
      <c r="O8" s="9">
        <f>IF(AND(N8&lt;&gt;"",F8&lt;&gt;"",H8&lt;&gt;"",D8&lt;&gt;""), N8/(F8*H8*VLOOKUP(D8,Multipliers!A:B,2,FALSE)), "")</f>
        <v/>
      </c>
      <c r="P8" s="5">
        <f>P7+N8</f>
        <v/>
      </c>
      <c r="Q8" s="5" t="inlineStr">
        <is>
          <t>Break and Retest</t>
        </is>
      </c>
      <c r="R8" s="5" t="inlineStr">
        <is>
          <t>Imported from Tradovate</t>
        </is>
      </c>
      <c r="S8" s="5" t="inlineStr">
        <is>
          <t>MGC</t>
        </is>
      </c>
      <c r="T8" s="5" t="n"/>
      <c r="U8" s="5" t="n"/>
      <c r="V8" s="5" t="inlineStr">
        <is>
          <t>Oversized, Overtraded</t>
        </is>
      </c>
      <c r="W8" s="5" t="n"/>
      <c r="X8" s="5" t="n"/>
      <c r="Y8" s="5" t="n"/>
      <c r="Z8" s="5" t="n"/>
      <c r="AA8" s="5" t="n"/>
    </row>
    <row r="9" ht="75" customHeight="1">
      <c r="A9" s="5" t="n">
        <v>14</v>
      </c>
      <c r="B9" s="13" t="n">
        <v>46245</v>
      </c>
      <c r="C9" s="10" t="n">
        <v>0.8551736111111111</v>
      </c>
      <c r="D9" s="5" t="inlineStr">
        <is>
          <t>MGC</t>
        </is>
      </c>
      <c r="E9" s="5" t="inlineStr">
        <is>
          <t>Long</t>
        </is>
      </c>
      <c r="F9" s="7" t="n">
        <v>4440.1</v>
      </c>
      <c r="G9" s="7" t="n">
        <v>4443.8</v>
      </c>
      <c r="H9" s="5" t="n">
        <v>10</v>
      </c>
      <c r="I9" s="7" t="n"/>
      <c r="J9" s="7" t="n">
        <v>4443.8</v>
      </c>
      <c r="K9" s="8">
        <f>IF(AND(I9&lt;&gt;"",J9&lt;&gt;"",F9&lt;&gt;""), (J9-F9)/(F9-I9), "")</f>
        <v/>
      </c>
      <c r="L9" s="8">
        <f>IF(AND(F9&lt;&gt;"",G9&lt;&gt;"",I9&lt;&gt;""), (G9-F9)/(F9-I9), "")</f>
        <v/>
      </c>
      <c r="M9" s="5">
        <f>IF(N9&gt;0,"Win",IF(N9&lt;0,"Loss",""))</f>
        <v/>
      </c>
      <c r="N9" s="16">
        <f>IF(AND(F9&lt;&gt;"",G9&lt;&gt;"",H9&lt;&gt;"",D9&lt;&gt;""), IF(E9="Long", (G9-F9)*H9*VLOOKUP(D9,Multipliers!A:B,2,FALSE), (F9-G9)*H9*VLOOKUP(D9,Multipliers!A:B,2,FALSE)), "")</f>
        <v/>
      </c>
      <c r="O9" s="9">
        <f>IF(AND(N9&lt;&gt;"",F9&lt;&gt;"",H9&lt;&gt;"",D9&lt;&gt;""), N9/(F9*H9*VLOOKUP(D9,Multipliers!A:B,2,FALSE)), "")</f>
        <v/>
      </c>
      <c r="P9" s="5">
        <f>P8+N9</f>
        <v/>
      </c>
      <c r="Q9" s="5" t="inlineStr">
        <is>
          <t>Break and Retest</t>
        </is>
      </c>
      <c r="R9" s="5" t="inlineStr">
        <is>
          <t>Imported from Tradovate</t>
        </is>
      </c>
      <c r="S9" s="5" t="inlineStr">
        <is>
          <t>MGC</t>
        </is>
      </c>
      <c r="T9" s="5" t="n"/>
      <c r="U9" s="5" t="n"/>
      <c r="V9" s="5" t="inlineStr">
        <is>
          <t>Oversized, Overtraded</t>
        </is>
      </c>
      <c r="W9" s="5" t="n"/>
      <c r="X9" s="5" t="n"/>
      <c r="Y9" s="5" t="n"/>
      <c r="Z9" s="5" t="n"/>
      <c r="AA9" s="5" t="n"/>
    </row>
    <row r="10" ht="75" customHeight="1">
      <c r="A10" s="5" t="n">
        <v>15</v>
      </c>
      <c r="B10" s="13" t="n">
        <v>46245</v>
      </c>
      <c r="C10" s="10" t="n">
        <v>0.8861574074074074</v>
      </c>
      <c r="D10" s="5" t="inlineStr">
        <is>
          <t>MGC</t>
        </is>
      </c>
      <c r="E10" s="5" t="inlineStr">
        <is>
          <t>Long</t>
        </is>
      </c>
      <c r="F10" s="7" t="n">
        <v>4457.166667</v>
      </c>
      <c r="G10" s="7" t="n">
        <v>4457.8</v>
      </c>
      <c r="H10" s="5" t="n">
        <v>30</v>
      </c>
      <c r="I10" s="7" t="n"/>
      <c r="J10" s="7" t="n">
        <v>4472.1</v>
      </c>
      <c r="K10" s="8">
        <f>IF(AND(I10&lt;&gt;"",J10&lt;&gt;"",F10&lt;&gt;""), (J10-F10)/(F10-I10), "")</f>
        <v/>
      </c>
      <c r="L10" s="8">
        <f>IF(AND(F10&lt;&gt;"",G10&lt;&gt;"",I10&lt;&gt;""), (G10-F10)/(F10-I10), "")</f>
        <v/>
      </c>
      <c r="M10" s="5">
        <f>IF(N10&gt;0,"Win",IF(N10&lt;0,"Loss",""))</f>
        <v/>
      </c>
      <c r="N10" s="16">
        <f>IF(AND(F10&lt;&gt;"",G10&lt;&gt;"",H10&lt;&gt;"",D10&lt;&gt;""), IF(E10="Long", (G10-F10)*H10*VLOOKUP(D10,Multipliers!A:B,2,FALSE), (F10-G10)*H10*VLOOKUP(D10,Multipliers!A:B,2,FALSE)), "")</f>
        <v/>
      </c>
      <c r="O10" s="9">
        <f>IF(AND(N10&lt;&gt;"",F10&lt;&gt;"",H10&lt;&gt;"",D10&lt;&gt;""), N10/(F10*H10*VLOOKUP(D10,Multipliers!A:B,2,FALSE)), "")</f>
        <v/>
      </c>
      <c r="P10" s="5">
        <f>P9+N10</f>
        <v/>
      </c>
      <c r="Q10" s="5" t="inlineStr">
        <is>
          <t>Break and Retest</t>
        </is>
      </c>
      <c r="R10" s="5" t="inlineStr">
        <is>
          <t>Imported from Tradovate</t>
        </is>
      </c>
      <c r="S10" s="5" t="inlineStr">
        <is>
          <t>MGC</t>
        </is>
      </c>
      <c r="T10" s="5" t="n"/>
      <c r="U10" s="5" t="n"/>
      <c r="V10" s="5" t="inlineStr">
        <is>
          <t>Oversized, Overtraded</t>
        </is>
      </c>
      <c r="W10" s="5" t="n"/>
      <c r="X10" s="5" t="n"/>
      <c r="Y10" s="5" t="n"/>
      <c r="Z10" s="5" t="n"/>
      <c r="AA10" s="5" t="n"/>
    </row>
    <row r="11" ht="75" customHeight="1">
      <c r="A11" s="5" t="n">
        <v>16</v>
      </c>
      <c r="B11" s="13" t="n">
        <v>46245</v>
      </c>
      <c r="C11" s="10" t="n">
        <v>0.9446412037037037</v>
      </c>
      <c r="D11" s="5" t="inlineStr">
        <is>
          <t>MGC</t>
        </is>
      </c>
      <c r="E11" s="5" t="inlineStr">
        <is>
          <t>Long</t>
        </is>
      </c>
      <c r="F11" s="7" t="n">
        <v>4461.8</v>
      </c>
      <c r="G11" s="7" t="n">
        <v>4469</v>
      </c>
      <c r="H11" s="5" t="n">
        <v>30</v>
      </c>
      <c r="I11" s="7" t="n"/>
      <c r="J11" s="7" t="n">
        <v>4474.1</v>
      </c>
      <c r="K11" s="8">
        <f>IF(AND(I11&lt;&gt;"",J11&lt;&gt;"",F11&lt;&gt;""), (J11-F11)/(F11-I11), "")</f>
        <v/>
      </c>
      <c r="L11" s="8">
        <f>IF(AND(F11&lt;&gt;"",G11&lt;&gt;"",I11&lt;&gt;""), (G11-F11)/(F11-I11), "")</f>
        <v/>
      </c>
      <c r="M11" s="5">
        <f>IF(N11&gt;0,"Win",IF(N11&lt;0,"Loss",""))</f>
        <v/>
      </c>
      <c r="N11" s="16">
        <f>IF(AND(F11&lt;&gt;"",G11&lt;&gt;"",H11&lt;&gt;"",D11&lt;&gt;""), IF(E11="Long", (G11-F11)*H11*VLOOKUP(D11,Multipliers!A:B,2,FALSE), (F11-G11)*H11*VLOOKUP(D11,Multipliers!A:B,2,FALSE)), "")</f>
        <v/>
      </c>
      <c r="O11" s="9">
        <f>IF(AND(N11&lt;&gt;"",F11&lt;&gt;"",H11&lt;&gt;"",D11&lt;&gt;""), N11/(F11*H11*VLOOKUP(D11,Multipliers!A:B,2,FALSE)), "")</f>
        <v/>
      </c>
      <c r="P11" s="5">
        <f>P10+N11</f>
        <v/>
      </c>
      <c r="Q11" s="5" t="inlineStr">
        <is>
          <t>Break and Retest</t>
        </is>
      </c>
      <c r="R11" s="5" t="inlineStr">
        <is>
          <t>Imported from Tradovate</t>
        </is>
      </c>
      <c r="S11" s="5" t="inlineStr">
        <is>
          <t>MGC</t>
        </is>
      </c>
      <c r="T11" s="5" t="n"/>
      <c r="U11" s="5" t="n"/>
      <c r="V11" s="5" t="inlineStr">
        <is>
          <t>Oversized, Revenge trade, Overtraded</t>
        </is>
      </c>
      <c r="W11" s="5" t="n"/>
      <c r="X11" s="5" t="n"/>
      <c r="Y11" s="5" t="n"/>
      <c r="Z11" s="5" t="n"/>
      <c r="AA11" s="5" t="n"/>
    </row>
    <row r="12" ht="75" customHeight="1">
      <c r="A12" s="5" t="n">
        <v>17</v>
      </c>
      <c r="B12" s="13" t="n">
        <v>46245</v>
      </c>
      <c r="C12" s="10" t="n">
        <v>0.9586574074074075</v>
      </c>
      <c r="D12" s="5" t="inlineStr">
        <is>
          <t>MGC</t>
        </is>
      </c>
      <c r="E12" s="5" t="inlineStr">
        <is>
          <t>Long</t>
        </is>
      </c>
      <c r="F12" s="7" t="n">
        <v>4472.3</v>
      </c>
      <c r="G12" s="7" t="n">
        <v>4470.9</v>
      </c>
      <c r="H12" s="5" t="n">
        <v>20</v>
      </c>
      <c r="I12" s="7" t="n"/>
      <c r="J12" s="7" t="n">
        <v>4475.9</v>
      </c>
      <c r="K12" s="8">
        <f>IF(AND(I12&lt;&gt;"",J12&lt;&gt;"",F12&lt;&gt;""), (J12-F12)/(F12-I12), "")</f>
        <v/>
      </c>
      <c r="L12" s="8">
        <f>IF(AND(F12&lt;&gt;"",G12&lt;&gt;"",I12&lt;&gt;""), (G12-F12)/(F12-I12), "")</f>
        <v/>
      </c>
      <c r="M12" s="5">
        <f>IF(N12&gt;0,"Win",IF(N12&lt;0,"Loss",""))</f>
        <v/>
      </c>
      <c r="N12" s="16">
        <f>IF(AND(F12&lt;&gt;"",G12&lt;&gt;"",H12&lt;&gt;"",D12&lt;&gt;""), IF(E12="Long", (G12-F12)*H12*VLOOKUP(D12,Multipliers!A:B,2,FALSE), (F12-G12)*H12*VLOOKUP(D12,Multipliers!A:B,2,FALSE)), "")</f>
        <v/>
      </c>
      <c r="O12" s="9">
        <f>IF(AND(N12&lt;&gt;"",F12&lt;&gt;"",H12&lt;&gt;"",D12&lt;&gt;""), N12/(F12*H12*VLOOKUP(D12,Multipliers!A:B,2,FALSE)), "")</f>
        <v/>
      </c>
      <c r="P12" s="5">
        <f>P11+N12</f>
        <v/>
      </c>
      <c r="Q12" s="5" t="inlineStr">
        <is>
          <t>Break and Retest</t>
        </is>
      </c>
      <c r="R12" s="5" t="inlineStr">
        <is>
          <t>Imported from Tradovate</t>
        </is>
      </c>
      <c r="S12" s="5" t="inlineStr">
        <is>
          <t>MGC</t>
        </is>
      </c>
      <c r="T12" s="5" t="n"/>
      <c r="U12" s="5" t="n"/>
      <c r="V12" s="5" t="inlineStr">
        <is>
          <t>Oversized, Revenge trade, Overtraded</t>
        </is>
      </c>
      <c r="W12" s="5" t="n"/>
      <c r="X12" s="5" t="n"/>
      <c r="Y12" s="5" t="n"/>
      <c r="Z12" s="5" t="n"/>
      <c r="AA12" s="5" t="n"/>
    </row>
    <row r="13" ht="75" customHeight="1">
      <c r="A13" s="5" t="n">
        <v>18</v>
      </c>
      <c r="B13" s="13" t="n">
        <v>46245</v>
      </c>
      <c r="C13" s="10" t="n">
        <v>0.9666550925925926</v>
      </c>
      <c r="D13" s="5" t="inlineStr">
        <is>
          <t>MGC</t>
        </is>
      </c>
      <c r="E13" s="5" t="inlineStr">
        <is>
          <t>Long</t>
        </is>
      </c>
      <c r="F13" s="7" t="n">
        <v>4473.9</v>
      </c>
      <c r="G13" s="7" t="n">
        <v>4464.8</v>
      </c>
      <c r="H13" s="5" t="n">
        <v>10</v>
      </c>
      <c r="I13" s="7" t="n"/>
      <c r="J13" s="7" t="n"/>
      <c r="K13" s="8">
        <f>IF(AND(I13&lt;&gt;"",J13&lt;&gt;"",F13&lt;&gt;""), (J13-F13)/(F13-I13), "")</f>
        <v/>
      </c>
      <c r="L13" s="8">
        <f>IF(AND(F13&lt;&gt;"",G13&lt;&gt;"",I13&lt;&gt;""), (G13-F13)/(F13-I13), "")</f>
        <v/>
      </c>
      <c r="M13" s="5">
        <f>IF(N13&gt;0,"Win",IF(N13&lt;0,"Loss",""))</f>
        <v/>
      </c>
      <c r="N13" s="16">
        <f>IF(AND(F13&lt;&gt;"",G13&lt;&gt;"",H13&lt;&gt;"",D13&lt;&gt;""), IF(E13="Long", (G13-F13)*H13*VLOOKUP(D13,Multipliers!A:B,2,FALSE), (F13-G13)*H13*VLOOKUP(D13,Multipliers!A:B,2,FALSE)), "")</f>
        <v/>
      </c>
      <c r="O13" s="9">
        <f>IF(AND(N13&lt;&gt;"",F13&lt;&gt;"",H13&lt;&gt;"",D13&lt;&gt;""), N13/(F13*H13*VLOOKUP(D13,Multipliers!A:B,2,FALSE)), "")</f>
        <v/>
      </c>
      <c r="P13" s="5">
        <f>P12+N13</f>
        <v/>
      </c>
      <c r="Q13" s="5" t="inlineStr">
        <is>
          <t>Break and Retest</t>
        </is>
      </c>
      <c r="R13" s="5" t="inlineStr">
        <is>
          <t>Imported from Tradovate</t>
        </is>
      </c>
      <c r="S13" s="5" t="inlineStr">
        <is>
          <t>MGC</t>
        </is>
      </c>
      <c r="T13" s="5" t="n"/>
      <c r="U13" s="5" t="n"/>
      <c r="V13" s="5" t="inlineStr">
        <is>
          <t>Overtraded</t>
        </is>
      </c>
      <c r="W13" s="5" t="n"/>
      <c r="X13" s="5" t="n"/>
      <c r="Y13" s="5" t="n"/>
      <c r="Z13" s="5" t="n"/>
      <c r="AA13" s="5" t="n"/>
    </row>
    <row r="14" ht="15.75" customHeight="1">
      <c r="A14" s="5" t="n">
        <v>19</v>
      </c>
      <c r="B14" s="13" t="n">
        <v>46245</v>
      </c>
      <c r="C14" s="10" t="n">
        <v>0.9762615740740741</v>
      </c>
      <c r="D14" s="5" t="inlineStr">
        <is>
          <t>MGC</t>
        </is>
      </c>
      <c r="E14" s="5" t="inlineStr">
        <is>
          <t>Long</t>
        </is>
      </c>
      <c r="F14" s="7" t="n">
        <v>4467.3</v>
      </c>
      <c r="G14" s="7" t="n">
        <v>4465.9</v>
      </c>
      <c r="H14" s="5" t="n">
        <v>10</v>
      </c>
      <c r="I14" s="7" t="n"/>
      <c r="J14" s="7" t="n"/>
      <c r="K14" s="8">
        <f>IF(AND(I14&lt;&gt;"",J14&lt;&gt;"",F14&lt;&gt;""), (J14-F14)/(F14-I14), "")</f>
        <v/>
      </c>
      <c r="L14" s="8">
        <f>IF(AND(F14&lt;&gt;"",G14&lt;&gt;"",I14&lt;&gt;""), (G14-F14)/(F14-I14), "")</f>
        <v/>
      </c>
      <c r="M14" s="5">
        <f>IF(N14&gt;0,"Win",IF(N14&lt;0,"Loss",""))</f>
        <v/>
      </c>
      <c r="N14" s="16">
        <f>IF(AND(F14&lt;&gt;"",G14&lt;&gt;"",H14&lt;&gt;"",D14&lt;&gt;""), IF(E14="Long", (G14-F14)*H14*VLOOKUP(D14,Multipliers!A:B,2,FALSE), (F14-G14)*H14*VLOOKUP(D14,Multipliers!A:B,2,FALSE)), "")</f>
        <v/>
      </c>
      <c r="O14" s="9">
        <f>IF(AND(N14&lt;&gt;"",F14&lt;&gt;"",H14&lt;&gt;"",D14&lt;&gt;""), N14/(F14*H14*VLOOKUP(D14,Multipliers!A:B,2,FALSE)), "")</f>
        <v/>
      </c>
      <c r="P14" s="5">
        <f>P13+N14</f>
        <v/>
      </c>
      <c r="Q14" s="5" t="inlineStr">
        <is>
          <t>Break and Retest</t>
        </is>
      </c>
      <c r="R14" s="5" t="inlineStr">
        <is>
          <t>Imported from Tradovate</t>
        </is>
      </c>
      <c r="S14" s="5" t="inlineStr">
        <is>
          <t>MGC</t>
        </is>
      </c>
      <c r="T14" s="5" t="n"/>
      <c r="U14" s="5" t="n"/>
      <c r="V14" s="5" t="inlineStr">
        <is>
          <t>Oversized, Overtraded</t>
        </is>
      </c>
      <c r="W14" s="5" t="n"/>
      <c r="X14" s="5" t="n"/>
      <c r="Y14" s="5" t="n"/>
      <c r="Z14" s="5" t="n"/>
      <c r="AA14" s="5" t="n"/>
    </row>
    <row r="15" ht="15.75" customHeight="1">
      <c r="A15" s="5" t="n">
        <v>20</v>
      </c>
      <c r="B15" s="13" t="n">
        <v>46245</v>
      </c>
      <c r="C15" s="10" t="n">
        <v>0.9837037037037037</v>
      </c>
      <c r="D15" s="5" t="inlineStr">
        <is>
          <t>MGC</t>
        </is>
      </c>
      <c r="E15" s="5" t="inlineStr">
        <is>
          <t>Short</t>
        </is>
      </c>
      <c r="F15" s="7" t="n">
        <v>4461.05</v>
      </c>
      <c r="G15" s="7" t="n">
        <v>4458.6</v>
      </c>
      <c r="H15" s="5" t="n">
        <v>20</v>
      </c>
      <c r="I15" s="7" t="n"/>
      <c r="J15" s="7" t="n">
        <v>4458.6</v>
      </c>
      <c r="K15" s="8">
        <f>IF(AND(I15&lt;&gt;"",J15&lt;&gt;"",F15&lt;&gt;""), (J15-F15)/(F15-I15), "")</f>
        <v/>
      </c>
      <c r="L15" s="8">
        <f>IF(AND(F15&lt;&gt;"",G15&lt;&gt;"",I15&lt;&gt;""), (G15-F15)/(F15-I15), "")</f>
        <v/>
      </c>
      <c r="M15" s="5">
        <f>IF(N15&gt;0,"Win",IF(N15&lt;0,"Loss",""))</f>
        <v/>
      </c>
      <c r="N15" s="16">
        <f>IF(AND(F15&lt;&gt;"",G15&lt;&gt;"",H15&lt;&gt;"",D15&lt;&gt;""), IF(E15="Long", (G15-F15)*H15*VLOOKUP(D15,Multipliers!A:B,2,FALSE), (F15-G15)*H15*VLOOKUP(D15,Multipliers!A:B,2,FALSE)), "")</f>
        <v/>
      </c>
      <c r="O15" s="9">
        <f>IF(AND(N15&lt;&gt;"",F15&lt;&gt;"",H15&lt;&gt;"",D15&lt;&gt;""), N15/(F15*H15*VLOOKUP(D15,Multipliers!A:B,2,FALSE)), "")</f>
        <v/>
      </c>
      <c r="P15" s="5">
        <f>P14+N15</f>
        <v/>
      </c>
      <c r="Q15" s="5" t="inlineStr">
        <is>
          <t>Break and Retest</t>
        </is>
      </c>
      <c r="R15" s="5" t="inlineStr">
        <is>
          <t>Imported from Tradovate</t>
        </is>
      </c>
      <c r="S15" s="5" t="inlineStr">
        <is>
          <t>MGC</t>
        </is>
      </c>
      <c r="T15" s="5" t="n"/>
      <c r="U15" s="5" t="n"/>
      <c r="V15" s="5" t="inlineStr">
        <is>
          <t>Overtraded</t>
        </is>
      </c>
      <c r="W15" s="5" t="n"/>
      <c r="X15" s="5" t="n"/>
      <c r="Y15" s="5" t="n"/>
      <c r="Z15" s="5" t="n"/>
      <c r="AA15" s="5" t="n"/>
    </row>
    <row r="16" ht="15.75" customHeight="1">
      <c r="A16" s="5" t="n">
        <v>21</v>
      </c>
      <c r="B16" s="13" t="n">
        <v>46246</v>
      </c>
      <c r="C16" s="10" t="n">
        <v>0.3835879629629629</v>
      </c>
      <c r="D16" s="5" t="inlineStr">
        <is>
          <t>MNQ</t>
        </is>
      </c>
      <c r="E16" s="5" t="inlineStr">
        <is>
          <t>Long</t>
        </is>
      </c>
      <c r="F16" s="7" t="n">
        <v>29931.25</v>
      </c>
      <c r="G16" s="7" t="n">
        <v>29936</v>
      </c>
      <c r="H16" s="5" t="n">
        <v>5</v>
      </c>
      <c r="I16" s="7" t="n"/>
      <c r="J16" s="7" t="n">
        <v>29936</v>
      </c>
      <c r="K16" s="8">
        <f>IF(AND(I16&lt;&gt;"",J16&lt;&gt;"",F16&lt;&gt;""), (J16-F16)/(F16-I16), "")</f>
        <v/>
      </c>
      <c r="L16" s="8">
        <f>IF(AND(F16&lt;&gt;"",G16&lt;&gt;"",I16&lt;&gt;""), (G16-F16)/(F16-I16), "")</f>
        <v/>
      </c>
      <c r="M16" s="5">
        <f>IF(N16&gt;0,"Win",IF(N16&lt;0,"Loss",""))</f>
        <v/>
      </c>
      <c r="N16" s="16">
        <f>IF(AND(F16&lt;&gt;"",G16&lt;&gt;"",H16&lt;&gt;"",D16&lt;&gt;""), IF(E16="Long", (G16-F16)*H16*VLOOKUP(D16,Multipliers!A:B,2,FALSE), (F16-G16)*H16*VLOOKUP(D16,Multipliers!A:B,2,FALSE)), "")</f>
        <v/>
      </c>
      <c r="O16" s="9">
        <f>IF(AND(N16&lt;&gt;"",F16&lt;&gt;"",H16&lt;&gt;"",D16&lt;&gt;""), N16/(F16*H16*VLOOKUP(D16,Multipliers!A:B,2,FALSE)), "")</f>
        <v/>
      </c>
      <c r="P16" s="5">
        <f>P15+N16</f>
        <v/>
      </c>
      <c r="Q16" s="5" t="inlineStr">
        <is>
          <t>Break and Retest</t>
        </is>
      </c>
      <c r="R16" s="5" t="inlineStr">
        <is>
          <t>Imported from Tradovate</t>
        </is>
      </c>
      <c r="S16" s="5" t="inlineStr">
        <is>
          <t>MNQ</t>
        </is>
      </c>
      <c r="T16" s="5" t="n"/>
      <c r="U16" s="5" t="n"/>
      <c r="V16" s="5" t="inlineStr">
        <is>
          <t>Oversized, Overtraded</t>
        </is>
      </c>
      <c r="W16" s="5" t="n"/>
      <c r="X16" s="5" t="n"/>
      <c r="Y16" s="5" t="n"/>
      <c r="Z16" s="5" t="n"/>
      <c r="AA16" s="5" t="n"/>
    </row>
    <row r="17" ht="15.75" customHeight="1">
      <c r="A17" s="5" t="n">
        <v>22</v>
      </c>
      <c r="B17" s="13" t="n">
        <v>46246</v>
      </c>
      <c r="C17" s="10" t="n">
        <v>0.3932523148148148</v>
      </c>
      <c r="D17" s="5" t="inlineStr">
        <is>
          <t>MGC</t>
        </is>
      </c>
      <c r="E17" s="5" t="inlineStr">
        <is>
          <t>Short</t>
        </is>
      </c>
      <c r="F17" s="7" t="n">
        <v>4475.7</v>
      </c>
      <c r="G17" s="7" t="n">
        <v>4474</v>
      </c>
      <c r="H17" s="5" t="n">
        <v>10</v>
      </c>
      <c r="I17" s="7" t="n"/>
      <c r="J17" s="7" t="n">
        <v>4474</v>
      </c>
      <c r="K17" s="8">
        <f>IF(AND(I17&lt;&gt;"",J17&lt;&gt;"",F17&lt;&gt;""), (J17-F17)/(F17-I17), "")</f>
        <v/>
      </c>
      <c r="L17" s="8">
        <f>IF(AND(F17&lt;&gt;"",G17&lt;&gt;"",I17&lt;&gt;""), (G17-F17)/(F17-I17), "")</f>
        <v/>
      </c>
      <c r="M17" s="5">
        <f>IF(N17&gt;0,"Win",IF(N17&lt;0,"Loss",""))</f>
        <v/>
      </c>
      <c r="N17" s="16">
        <f>IF(AND(F17&lt;&gt;"",G17&lt;&gt;"",H17&lt;&gt;"",D17&lt;&gt;""), IF(E17="Long", (G17-F17)*H17*VLOOKUP(D17,Multipliers!A:B,2,FALSE), (F17-G17)*H17*VLOOKUP(D17,Multipliers!A:B,2,FALSE)), "")</f>
        <v/>
      </c>
      <c r="O17" s="9">
        <f>IF(AND(N17&lt;&gt;"",F17&lt;&gt;"",H17&lt;&gt;"",D17&lt;&gt;""), N17/(F17*H17*VLOOKUP(D17,Multipliers!A:B,2,FALSE)), "")</f>
        <v/>
      </c>
      <c r="P17" s="5">
        <f>P16+N17</f>
        <v/>
      </c>
      <c r="Q17" s="5" t="inlineStr">
        <is>
          <t>Break and Retest</t>
        </is>
      </c>
      <c r="R17" s="5" t="inlineStr">
        <is>
          <t>Imported from Tradovate</t>
        </is>
      </c>
      <c r="S17" s="5" t="inlineStr">
        <is>
          <t>MGC</t>
        </is>
      </c>
      <c r="T17" s="5" t="n"/>
      <c r="U17" s="5" t="n"/>
      <c r="V17" s="5" t="inlineStr">
        <is>
          <t>Overtraded</t>
        </is>
      </c>
      <c r="W17" s="5" t="n"/>
      <c r="X17" s="5" t="n"/>
      <c r="Y17" s="5" t="n"/>
      <c r="Z17" s="5" t="n"/>
      <c r="AA17" s="5" t="n"/>
    </row>
    <row r="18" ht="15.75" customHeight="1">
      <c r="A18" s="5" t="n">
        <v>23</v>
      </c>
      <c r="B18" s="13" t="n">
        <v>46246</v>
      </c>
      <c r="C18" s="10" t="n">
        <v>0.4015393518518519</v>
      </c>
      <c r="D18" s="5" t="inlineStr">
        <is>
          <t>MNQ</t>
        </is>
      </c>
      <c r="E18" s="5" t="inlineStr">
        <is>
          <t>Short</t>
        </is>
      </c>
      <c r="F18" s="7" t="n">
        <v>29915.75</v>
      </c>
      <c r="G18" s="7" t="n">
        <v>29881</v>
      </c>
      <c r="H18" s="5" t="n">
        <v>1</v>
      </c>
      <c r="I18" s="7" t="n"/>
      <c r="J18" s="7" t="n">
        <v>29881</v>
      </c>
      <c r="K18" s="8">
        <f>IF(AND(I18&lt;&gt;"",J18&lt;&gt;"",F18&lt;&gt;""), (J18-F18)/(F18-I18), "")</f>
        <v/>
      </c>
      <c r="L18" s="8">
        <f>IF(AND(F18&lt;&gt;"",G18&lt;&gt;"",I18&lt;&gt;""), (G18-F18)/(F18-I18), "")</f>
        <v/>
      </c>
      <c r="M18" s="5">
        <f>IF(N18&gt;0,"Win",IF(N18&lt;0,"Loss",""))</f>
        <v/>
      </c>
      <c r="N18" s="16">
        <f>IF(AND(F18&lt;&gt;"",G18&lt;&gt;"",H18&lt;&gt;"",D18&lt;&gt;""), IF(E18="Long", (G18-F18)*H18*VLOOKUP(D18,Multipliers!A:B,2,FALSE), (F18-G18)*H18*VLOOKUP(D18,Multipliers!A:B,2,FALSE)), "")</f>
        <v/>
      </c>
      <c r="O18" s="9">
        <f>IF(AND(N18&lt;&gt;"",F18&lt;&gt;"",H18&lt;&gt;"",D18&lt;&gt;""), N18/(F18*H18*VLOOKUP(D18,Multipliers!A:B,2,FALSE)), "")</f>
        <v/>
      </c>
      <c r="P18" s="5">
        <f>P17+N18</f>
        <v/>
      </c>
      <c r="Q18" s="5" t="inlineStr">
        <is>
          <t>Break and Retest</t>
        </is>
      </c>
      <c r="R18" s="5" t="inlineStr">
        <is>
          <t>Imported from Tradovate</t>
        </is>
      </c>
      <c r="S18" s="5" t="inlineStr">
        <is>
          <t>MNQ</t>
        </is>
      </c>
      <c r="T18" s="5" t="n"/>
      <c r="U18" s="5" t="n"/>
      <c r="V18" s="5" t="inlineStr">
        <is>
          <t>Overtraded</t>
        </is>
      </c>
      <c r="W18" s="5" t="n"/>
      <c r="X18" s="5" t="n"/>
      <c r="Y18" s="5" t="n"/>
      <c r="Z18" s="5" t="n"/>
      <c r="AA18" s="5" t="n"/>
    </row>
    <row r="19" ht="15.75" customHeight="1">
      <c r="A19" s="5" t="n">
        <v>24</v>
      </c>
      <c r="B19" s="13" t="n">
        <v>46246</v>
      </c>
      <c r="C19" s="10" t="n">
        <v>0.4109837962962963</v>
      </c>
      <c r="D19" s="5" t="inlineStr">
        <is>
          <t>MGC</t>
        </is>
      </c>
      <c r="E19" s="5" t="inlineStr">
        <is>
          <t>Long</t>
        </is>
      </c>
      <c r="F19" s="7" t="n">
        <v>4490</v>
      </c>
      <c r="G19" s="7" t="n">
        <v>4485.4</v>
      </c>
      <c r="H19" s="5" t="n">
        <v>10</v>
      </c>
      <c r="I19" s="7" t="n"/>
      <c r="J19" s="7" t="n"/>
      <c r="K19" s="8">
        <f>IF(AND(I19&lt;&gt;"",J19&lt;&gt;"",F19&lt;&gt;""), (J19-F19)/(F19-I19), "")</f>
        <v/>
      </c>
      <c r="L19" s="8">
        <f>IF(AND(F19&lt;&gt;"",G19&lt;&gt;"",I19&lt;&gt;""), (G19-F19)/(F19-I19), "")</f>
        <v/>
      </c>
      <c r="M19" s="5">
        <f>IF(N19&gt;0,"Win",IF(N19&lt;0,"Loss",""))</f>
        <v/>
      </c>
      <c r="N19" s="16">
        <f>IF(AND(F19&lt;&gt;"",G19&lt;&gt;"",H19&lt;&gt;"",D19&lt;&gt;""), IF(E19="Long", (G19-F19)*H19*VLOOKUP(D19,Multipliers!A:B,2,FALSE), (F19-G19)*H19*VLOOKUP(D19,Multipliers!A:B,2,FALSE)), "")</f>
        <v/>
      </c>
      <c r="O19" s="9">
        <f>IF(AND(N19&lt;&gt;"",F19&lt;&gt;"",H19&lt;&gt;"",D19&lt;&gt;""), N19/(F19*H19*VLOOKUP(D19,Multipliers!A:B,2,FALSE)), "")</f>
        <v/>
      </c>
      <c r="P19" s="5">
        <f>P18+N19</f>
        <v/>
      </c>
      <c r="Q19" s="5" t="inlineStr">
        <is>
          <t>Break and Retest</t>
        </is>
      </c>
      <c r="R19" s="5" t="inlineStr">
        <is>
          <t>Imported from Tradovate</t>
        </is>
      </c>
      <c r="S19" s="5" t="inlineStr">
        <is>
          <t>MGC</t>
        </is>
      </c>
      <c r="T19" s="5" t="n"/>
      <c r="U19" s="5" t="n"/>
      <c r="V19" s="5" t="inlineStr">
        <is>
          <t>Overtraded</t>
        </is>
      </c>
      <c r="W19" s="5" t="n"/>
      <c r="X19" s="5" t="n"/>
      <c r="Y19" s="5" t="n"/>
      <c r="Z19" s="5" t="n"/>
      <c r="AA19" s="5" t="n"/>
    </row>
    <row r="20" ht="15.75" customHeight="1">
      <c r="A20" s="5" t="n">
        <v>25</v>
      </c>
      <c r="B20" s="13" t="n">
        <v>46246</v>
      </c>
      <c r="C20" s="10" t="n">
        <v>0.4551967592592592</v>
      </c>
      <c r="D20" s="5" t="inlineStr">
        <is>
          <t>MNQ</t>
        </is>
      </c>
      <c r="E20" s="5" t="inlineStr">
        <is>
          <t>Long</t>
        </is>
      </c>
      <c r="F20" s="7" t="n">
        <v>29863</v>
      </c>
      <c r="G20" s="7" t="n">
        <v>29878.5</v>
      </c>
      <c r="H20" s="5" t="n">
        <v>3</v>
      </c>
      <c r="I20" s="7" t="n">
        <v>29833</v>
      </c>
      <c r="J20" s="7" t="n">
        <v>29878.5</v>
      </c>
      <c r="K20" s="8">
        <f>IF(AND(I20&lt;&gt;"",J20&lt;&gt;"",F20&lt;&gt;""), (J20-F20)/(F20-I20), "")</f>
        <v/>
      </c>
      <c r="L20" s="8">
        <f>IF(AND(F20&lt;&gt;"",G20&lt;&gt;"",I20&lt;&gt;""), (G20-F20)/(F20-I20), "")</f>
        <v/>
      </c>
      <c r="M20" s="5">
        <f>IF(N20&gt;0,"Win",IF(N20&lt;0,"Loss",""))</f>
        <v/>
      </c>
      <c r="N20" s="16">
        <f>IF(AND(F20&lt;&gt;"",G20&lt;&gt;"",H20&lt;&gt;"",D20&lt;&gt;""), IF(E20="Long", (G20-F20)*H20*VLOOKUP(D20,Multipliers!A:B,2,FALSE), (F20-G20)*H20*VLOOKUP(D20,Multipliers!A:B,2,FALSE)), "")</f>
        <v/>
      </c>
      <c r="O20" s="9">
        <f>IF(AND(N20&lt;&gt;"",F20&lt;&gt;"",H20&lt;&gt;"",D20&lt;&gt;""), N20/(F20*H20*VLOOKUP(D20,Multipliers!A:B,2,FALSE)), "")</f>
        <v/>
      </c>
      <c r="P20" s="5">
        <f>P19+N20</f>
        <v/>
      </c>
      <c r="Q20" s="5" t="inlineStr">
        <is>
          <t>Break and Retest</t>
        </is>
      </c>
      <c r="R20" s="5" t="inlineStr">
        <is>
          <t>Imported from Tradovate</t>
        </is>
      </c>
      <c r="S20" s="5" t="inlineStr">
        <is>
          <t>MNQ</t>
        </is>
      </c>
      <c r="T20" s="5" t="n"/>
      <c r="U20" s="5" t="n"/>
      <c r="V20" s="5" t="inlineStr">
        <is>
          <t>Blew stop, Overtraded</t>
        </is>
      </c>
      <c r="W20" s="5" t="n"/>
      <c r="X20" s="5" t="n"/>
      <c r="Y20" s="5" t="n"/>
      <c r="Z20" s="5" t="n"/>
      <c r="AA20" s="5" t="n"/>
    </row>
    <row r="21" ht="15.75" customHeight="1">
      <c r="A21" s="5" t="n">
        <v>26</v>
      </c>
      <c r="B21" s="13" t="n">
        <v>46246</v>
      </c>
      <c r="C21" s="10" t="n">
        <v>0.473912037037037</v>
      </c>
      <c r="D21" s="5" t="inlineStr">
        <is>
          <t>MNQ</t>
        </is>
      </c>
      <c r="E21" s="5" t="inlineStr">
        <is>
          <t>Long</t>
        </is>
      </c>
      <c r="F21" s="7" t="n">
        <v>29854</v>
      </c>
      <c r="G21" s="7" t="n">
        <v>29879.75</v>
      </c>
      <c r="H21" s="5" t="n">
        <v>3</v>
      </c>
      <c r="I21" s="7" t="n">
        <v>29834.5</v>
      </c>
      <c r="J21" s="7" t="n">
        <v>29894.5</v>
      </c>
      <c r="K21" s="8">
        <f>IF(AND(I21&lt;&gt;"",J21&lt;&gt;"",F21&lt;&gt;""), (J21-F21)/(F21-I21), "")</f>
        <v/>
      </c>
      <c r="L21" s="8">
        <f>IF(AND(F21&lt;&gt;"",G21&lt;&gt;"",I21&lt;&gt;""), (G21-F21)/(F21-I21), "")</f>
        <v/>
      </c>
      <c r="M21" s="5">
        <f>IF(N21&gt;0,"Win",IF(N21&lt;0,"Loss",""))</f>
        <v/>
      </c>
      <c r="N21" s="16">
        <f>IF(AND(F21&lt;&gt;"",G21&lt;&gt;"",H21&lt;&gt;"",D21&lt;&gt;""), IF(E21="Long", (G21-F21)*H21*VLOOKUP(D21,Multipliers!A:B,2,FALSE), (F21-G21)*H21*VLOOKUP(D21,Multipliers!A:B,2,FALSE)), "")</f>
        <v/>
      </c>
      <c r="O21" s="9">
        <f>IF(AND(N21&lt;&gt;"",F21&lt;&gt;"",H21&lt;&gt;"",D21&lt;&gt;""), N21/(F21*H21*VLOOKUP(D21,Multipliers!A:B,2,FALSE)), "")</f>
        <v/>
      </c>
      <c r="P21" s="5">
        <f>P20+N21</f>
        <v/>
      </c>
      <c r="Q21" s="5" t="inlineStr">
        <is>
          <t>Break and Retest</t>
        </is>
      </c>
      <c r="R21" s="5" t="inlineStr">
        <is>
          <t>Imported from Tradovate</t>
        </is>
      </c>
      <c r="S21" s="5" t="inlineStr">
        <is>
          <t>MNQ</t>
        </is>
      </c>
      <c r="T21" s="5" t="n"/>
      <c r="U21" s="5" t="n"/>
      <c r="V21" s="5" t="inlineStr">
        <is>
          <t>Overtraded</t>
        </is>
      </c>
      <c r="W21" s="5" t="n"/>
      <c r="X21" s="5" t="n"/>
      <c r="Y21" s="5" t="n"/>
      <c r="Z21" s="5" t="n"/>
      <c r="AA21" s="5" t="n"/>
    </row>
    <row r="22" ht="15.75" customHeight="1">
      <c r="A22" s="5" t="n">
        <v>27</v>
      </c>
      <c r="B22" s="13" t="n">
        <v>46246</v>
      </c>
      <c r="C22" s="10" t="n">
        <v>0.480625</v>
      </c>
      <c r="D22" s="5" t="inlineStr">
        <is>
          <t>MNQ</t>
        </is>
      </c>
      <c r="E22" s="5" t="inlineStr">
        <is>
          <t>Long</t>
        </is>
      </c>
      <c r="F22" s="7" t="n">
        <v>29855.75</v>
      </c>
      <c r="G22" s="7" t="n">
        <v>29833</v>
      </c>
      <c r="H22" s="5" t="n">
        <v>3</v>
      </c>
      <c r="I22" s="7" t="n">
        <v>29834.5</v>
      </c>
      <c r="J22" s="7" t="n">
        <v>29894.5</v>
      </c>
      <c r="K22" s="8">
        <f>IF(AND(I22&lt;&gt;"",J22&lt;&gt;"",F22&lt;&gt;""), (J22-F22)/(F22-I22), "")</f>
        <v/>
      </c>
      <c r="L22" s="8">
        <f>IF(AND(F22&lt;&gt;"",G22&lt;&gt;"",I22&lt;&gt;""), (G22-F22)/(F22-I22), "")</f>
        <v/>
      </c>
      <c r="M22" s="5">
        <f>IF(N22&gt;0,"Win",IF(N22&lt;0,"Loss",""))</f>
        <v/>
      </c>
      <c r="N22" s="16">
        <f>IF(AND(F22&lt;&gt;"",G22&lt;&gt;"",H22&lt;&gt;"",D22&lt;&gt;""), IF(E22="Long", (G22-F22)*H22*VLOOKUP(D22,Multipliers!A:B,2,FALSE), (F22-G22)*H22*VLOOKUP(D22,Multipliers!A:B,2,FALSE)), "")</f>
        <v/>
      </c>
      <c r="O22" s="9">
        <f>IF(AND(N22&lt;&gt;"",F22&lt;&gt;"",H22&lt;&gt;"",D22&lt;&gt;""), N22/(F22*H22*VLOOKUP(D22,Multipliers!A:B,2,FALSE)), "")</f>
        <v/>
      </c>
      <c r="P22" s="5">
        <f>P21+N22</f>
        <v/>
      </c>
      <c r="Q22" s="5" t="inlineStr">
        <is>
          <t>Break and Retest</t>
        </is>
      </c>
      <c r="R22" s="5" t="inlineStr">
        <is>
          <t>Imported from Tradovate</t>
        </is>
      </c>
      <c r="S22" s="5" t="inlineStr">
        <is>
          <t>MNQ</t>
        </is>
      </c>
      <c r="T22" s="5" t="n"/>
      <c r="U22" s="5" t="n"/>
      <c r="V22" s="5" t="n"/>
      <c r="W22" s="5" t="n"/>
      <c r="X22" s="5" t="n"/>
      <c r="Y22" s="5" t="n"/>
      <c r="Z22" s="5" t="n"/>
      <c r="AA22" s="5" t="n"/>
    </row>
    <row r="23" ht="15.75" customHeight="1">
      <c r="A23" s="5" t="n">
        <v>28</v>
      </c>
      <c r="B23" s="13" t="n">
        <v>46246</v>
      </c>
      <c r="C23" s="10" t="n">
        <v>0.4982523148148148</v>
      </c>
      <c r="D23" s="5" t="inlineStr">
        <is>
          <t>MNQ</t>
        </is>
      </c>
      <c r="E23" s="5" t="inlineStr">
        <is>
          <t>Short</t>
        </is>
      </c>
      <c r="F23" s="7" t="n">
        <v>29838.25</v>
      </c>
      <c r="G23" s="7" t="n">
        <v>29862.25</v>
      </c>
      <c r="H23" s="5" t="n">
        <v>3</v>
      </c>
      <c r="I23" s="7" t="n">
        <v>29858.5</v>
      </c>
      <c r="J23" s="7" t="n">
        <v>29823.5</v>
      </c>
      <c r="K23" s="8">
        <f>IF(AND(I23&lt;&gt;"",J23&lt;&gt;"",F23&lt;&gt;""), (J23-F23)/(F23-I23), "")</f>
        <v/>
      </c>
      <c r="L23" s="8">
        <f>IF(AND(F23&lt;&gt;"",G23&lt;&gt;"",I23&lt;&gt;""), (G23-F23)/(F23-I23), "")</f>
        <v/>
      </c>
      <c r="M23" s="5">
        <f>IF(N23&gt;0,"Win",IF(N23&lt;0,"Loss",""))</f>
        <v/>
      </c>
      <c r="N23" s="16">
        <f>IF(AND(F23&lt;&gt;"",G23&lt;&gt;"",H23&lt;&gt;"",D23&lt;&gt;""), IF(E23="Long", (G23-F23)*H23*VLOOKUP(D23,Multipliers!A:B,2,FALSE), (F23-G23)*H23*VLOOKUP(D23,Multipliers!A:B,2,FALSE)), "")</f>
        <v/>
      </c>
      <c r="O23" s="9">
        <f>IF(AND(N23&lt;&gt;"",F23&lt;&gt;"",H23&lt;&gt;"",D23&lt;&gt;""), N23/(F23*H23*VLOOKUP(D23,Multipliers!A:B,2,FALSE)), "")</f>
        <v/>
      </c>
      <c r="P23" s="5">
        <f>P22+N23</f>
        <v/>
      </c>
      <c r="Q23" s="5" t="inlineStr">
        <is>
          <t>Break and Retest</t>
        </is>
      </c>
      <c r="R23" s="5" t="inlineStr">
        <is>
          <t>Imported from Tradovate</t>
        </is>
      </c>
      <c r="S23" s="5" t="inlineStr">
        <is>
          <t>MNQ</t>
        </is>
      </c>
      <c r="T23" s="5" t="n"/>
      <c r="U23" s="5" t="n"/>
      <c r="V23" s="5" t="n"/>
      <c r="W23" s="5" t="n"/>
      <c r="X23" s="5" t="n"/>
      <c r="Y23" s="5" t="n"/>
      <c r="Z23" s="5" t="n"/>
      <c r="AA23" s="5" t="n"/>
    </row>
    <row r="24" ht="15.75" customHeight="1">
      <c r="A24" s="5" t="n">
        <v>29</v>
      </c>
      <c r="B24" s="13" t="n">
        <v>46246</v>
      </c>
      <c r="C24" s="10" t="n">
        <v>0.5917824074074074</v>
      </c>
      <c r="D24" s="5" t="inlineStr">
        <is>
          <t>MGC</t>
        </is>
      </c>
      <c r="E24" s="5" t="inlineStr">
        <is>
          <t>Short</t>
        </is>
      </c>
      <c r="F24" s="5" t="n">
        <v>4465.4</v>
      </c>
      <c r="G24" s="5" t="n">
        <v>4471.9</v>
      </c>
      <c r="H24" s="5" t="n">
        <v>3</v>
      </c>
      <c r="I24" s="7" t="n">
        <v>4471.8</v>
      </c>
      <c r="J24" s="7" t="n">
        <v>4458.5</v>
      </c>
      <c r="K24" s="8">
        <f>IF(AND(I24&lt;&gt;"",J24&lt;&gt;"",F24&lt;&gt;""), (J24-F24)/(F24-I24), "")</f>
        <v/>
      </c>
      <c r="L24" s="8">
        <f>IF(AND(F24&lt;&gt;"",G24&lt;&gt;"",I24&lt;&gt;""), (G24-F24)/(F24-I24), "")</f>
        <v/>
      </c>
      <c r="M24" s="5">
        <f>IF(N24&gt;0,"Win",IF(N24&lt;0,"Loss",""))</f>
        <v/>
      </c>
      <c r="N24" s="16">
        <f>IF(AND(F24&lt;&gt;"",G24&lt;&gt;"",H24&lt;&gt;"",D24&lt;&gt;""), IF(E24="Long", (G24-F24)*H24*VLOOKUP(D24,Multipliers!A:B,2,FALSE), (F24-G24)*H24*VLOOKUP(D24,Multipliers!A:B,2,FALSE)), "")</f>
        <v/>
      </c>
      <c r="O24" s="9">
        <f>IF(AND(N24&lt;&gt;"",F24&lt;&gt;"",H24&lt;&gt;"",D24&lt;&gt;""), N24/(F24*H24*VLOOKUP(D24,Multipliers!A:B,2,FALSE)), "")</f>
        <v/>
      </c>
      <c r="P24" s="5">
        <f>P23+N24</f>
        <v/>
      </c>
      <c r="Q24" s="5" t="inlineStr">
        <is>
          <t>Break and Retest</t>
        </is>
      </c>
      <c r="R24" s="5" t="inlineStr">
        <is>
          <t>Imported from Tradovate</t>
        </is>
      </c>
      <c r="S24" s="5" t="inlineStr">
        <is>
          <t>MGC</t>
        </is>
      </c>
      <c r="T24" s="5" t="n"/>
      <c r="U24" s="5" t="n"/>
      <c r="V24" s="5" t="n"/>
      <c r="W24" s="5" t="n"/>
      <c r="X24" s="5" t="n"/>
      <c r="Y24" s="5" t="n"/>
      <c r="Z24" s="5" t="n"/>
      <c r="AA24" s="5" t="n"/>
    </row>
    <row r="25" ht="15.75" customHeight="1">
      <c r="A25" s="5" t="n">
        <v>30</v>
      </c>
      <c r="B25" s="13" t="n">
        <v>46247</v>
      </c>
      <c r="C25" s="10" t="n">
        <v>0.3686689814814815</v>
      </c>
      <c r="D25" s="5" t="inlineStr">
        <is>
          <t>MGC</t>
        </is>
      </c>
      <c r="E25" s="5" t="inlineStr">
        <is>
          <t>Long</t>
        </is>
      </c>
      <c r="F25" s="5" t="n">
        <v>4450.95</v>
      </c>
      <c r="G25" s="5" t="n">
        <v>4448.1</v>
      </c>
      <c r="H25" s="5" t="n">
        <v>2</v>
      </c>
      <c r="I25" s="5" t="n">
        <v>4444.4</v>
      </c>
      <c r="J25" s="7" t="n">
        <v>4451.8</v>
      </c>
      <c r="K25" s="8">
        <f>IF(AND(I25&lt;&gt;"",J25&lt;&gt;"",F25&lt;&gt;""), (J25-F25)/(F25-I25), "")</f>
        <v/>
      </c>
      <c r="L25" s="8">
        <f>IF(AND(F25&lt;&gt;"",G25&lt;&gt;"",I25&lt;&gt;""), (G25-F25)/(F25-I25), "")</f>
        <v/>
      </c>
      <c r="M25" s="5">
        <f>IF(N25&gt;0,"Win",IF(N25&lt;0,"Loss",""))</f>
        <v/>
      </c>
      <c r="N25" s="16">
        <f>IF(AND(F25&lt;&gt;"",G25&lt;&gt;"",H25&lt;&gt;"",D25&lt;&gt;""), IF(E25="Long", (G25-F25)*H25*VLOOKUP(D25,Multipliers!A:B,2,FALSE), (F25-G25)*H25*VLOOKUP(D25,Multipliers!A:B,2,FALSE)), "")</f>
        <v/>
      </c>
      <c r="O25" s="9">
        <f>IF(AND(N25&lt;&gt;"",F25&lt;&gt;"",H25&lt;&gt;"",D25&lt;&gt;""), N25/(F25*H25*VLOOKUP(D25,Multipliers!A:B,2,FALSE)), "")</f>
        <v/>
      </c>
      <c r="P25" s="5">
        <f>P24+N25</f>
        <v/>
      </c>
      <c r="Q25" s="5" t="inlineStr">
        <is>
          <t>Break and Retest</t>
        </is>
      </c>
      <c r="R25" s="5" t="inlineStr">
        <is>
          <t>Imported from Tradovate</t>
        </is>
      </c>
      <c r="S25" s="5" t="inlineStr">
        <is>
          <t>MGC</t>
        </is>
      </c>
      <c r="T25" s="5" t="n"/>
      <c r="U25" s="5" t="n"/>
      <c r="V25" s="5" t="n"/>
      <c r="W25" s="5" t="n"/>
      <c r="X25" s="5" t="n"/>
      <c r="Y25" s="5" t="n"/>
      <c r="Z25" s="5" t="n"/>
      <c r="AA25" s="5" t="n"/>
    </row>
    <row r="26" ht="15.75" customHeight="1">
      <c r="A26" s="5" t="n">
        <v>31</v>
      </c>
      <c r="B26" s="13" t="n">
        <v>46247</v>
      </c>
      <c r="C26" s="10" t="n">
        <v>0.407337962962963</v>
      </c>
      <c r="D26" s="5" t="inlineStr">
        <is>
          <t>MNQ</t>
        </is>
      </c>
      <c r="E26" s="5" t="inlineStr">
        <is>
          <t>Long</t>
        </is>
      </c>
      <c r="F26" s="5" t="n">
        <v>30089.5</v>
      </c>
      <c r="G26" s="5" t="n">
        <v>30127</v>
      </c>
      <c r="H26" s="5" t="n">
        <v>5</v>
      </c>
      <c r="I26" s="5" t="n">
        <v>30067</v>
      </c>
      <c r="J26" s="7" t="n">
        <v>30127</v>
      </c>
      <c r="K26" s="8">
        <f>IF(AND(I26&lt;&gt;"",J26&lt;&gt;"",F26&lt;&gt;""), (J26-F26)/(F26-I26), "")</f>
        <v/>
      </c>
      <c r="L26" s="8">
        <f>IF(AND(F26&lt;&gt;"",G26&lt;&gt;"",I26&lt;&gt;""), (G26-F26)/(F26-I26), "")</f>
        <v/>
      </c>
      <c r="M26" s="5">
        <f>IF(N26&gt;0,"Win",IF(N26&lt;0,"Loss",""))</f>
        <v/>
      </c>
      <c r="N26" s="16">
        <f>IF(AND(F26&lt;&gt;"",G26&lt;&gt;"",H26&lt;&gt;"",D26&lt;&gt;""), IF(E26="Long", (G26-F26)*H26*VLOOKUP(D26,Multipliers!A:B,2,FALSE), (F26-G26)*H26*VLOOKUP(D26,Multipliers!A:B,2,FALSE)), "")</f>
        <v/>
      </c>
      <c r="O26" s="9">
        <f>IF(AND(N26&lt;&gt;"",F26&lt;&gt;"",H26&lt;&gt;"",D26&lt;&gt;""), N26/(F26*H26*VLOOKUP(D26,Multipliers!A:B,2,FALSE)), "")</f>
        <v/>
      </c>
      <c r="P26" s="5">
        <f>P25+N26</f>
        <v/>
      </c>
      <c r="Q26" s="5" t="inlineStr">
        <is>
          <t>Break and Retest</t>
        </is>
      </c>
      <c r="R26" s="5" t="inlineStr">
        <is>
          <t>Imported from Tradovate</t>
        </is>
      </c>
      <c r="S26" s="5" t="inlineStr">
        <is>
          <t>MNQ</t>
        </is>
      </c>
      <c r="T26" s="5" t="n"/>
      <c r="U26" s="5" t="n"/>
      <c r="V26" s="5" t="inlineStr">
        <is>
          <t>Revenge trade</t>
        </is>
      </c>
      <c r="W26" s="5" t="n"/>
      <c r="X26" s="5" t="n"/>
      <c r="Y26" s="5" t="n"/>
      <c r="Z26" s="5" t="n"/>
      <c r="AA26" s="5" t="n"/>
    </row>
    <row r="27" ht="15.75" customHeight="1">
      <c r="A27" s="5" t="n">
        <v>32</v>
      </c>
      <c r="B27" s="13" t="n">
        <v>46247</v>
      </c>
      <c r="C27" s="10" t="n">
        <v>0.4751041666666667</v>
      </c>
      <c r="D27" s="5" t="inlineStr">
        <is>
          <t>MGC</t>
        </is>
      </c>
      <c r="E27" s="5" t="inlineStr">
        <is>
          <t>Short</t>
        </is>
      </c>
      <c r="F27" s="5" t="n">
        <v>4427.5</v>
      </c>
      <c r="G27" s="5" t="n">
        <v>4418</v>
      </c>
      <c r="H27" s="5" t="n">
        <v>3</v>
      </c>
      <c r="I27" s="5" t="n"/>
      <c r="J27" s="7" t="n">
        <v>4418</v>
      </c>
      <c r="K27" s="8">
        <f>IF(AND(I27&lt;&gt;"",J27&lt;&gt;"",F27&lt;&gt;""), (J27-F27)/(F27-I27), "")</f>
        <v/>
      </c>
      <c r="L27" s="8">
        <f>IF(AND(F27&lt;&gt;"",G27&lt;&gt;"",I27&lt;&gt;""), (G27-F27)/(F27-I27), "")</f>
        <v/>
      </c>
      <c r="M27" s="5">
        <f>IF(N27&gt;0,"Win",IF(N27&lt;0,"Loss",""))</f>
        <v/>
      </c>
      <c r="N27" s="16">
        <f>IF(AND(F27&lt;&gt;"",G27&lt;&gt;"",H27&lt;&gt;"",D27&lt;&gt;""), IF(E27="Long", (G27-F27)*H27*VLOOKUP(D27,Multipliers!A:B,2,FALSE), (F27-G27)*H27*VLOOKUP(D27,Multipliers!A:B,2,FALSE)), "")</f>
        <v/>
      </c>
      <c r="O27" s="9">
        <f>IF(AND(N27&lt;&gt;"",F27&lt;&gt;"",H27&lt;&gt;"",D27&lt;&gt;""), N27/(F27*H27*VLOOKUP(D27,Multipliers!A:B,2,FALSE)), "")</f>
        <v/>
      </c>
      <c r="P27" s="5">
        <f>P26+N27</f>
        <v/>
      </c>
      <c r="Q27" s="5" t="inlineStr">
        <is>
          <t>Break and Retest</t>
        </is>
      </c>
      <c r="R27" s="5" t="inlineStr">
        <is>
          <t>Imported from Tradovate</t>
        </is>
      </c>
      <c r="S27" s="5" t="inlineStr">
        <is>
          <t>MGC</t>
        </is>
      </c>
      <c r="T27" s="5" t="n"/>
      <c r="U27" s="5" t="n"/>
      <c r="V27" s="5" t="n"/>
      <c r="W27" s="5" t="n"/>
      <c r="X27" s="5" t="n"/>
      <c r="Y27" s="5" t="n"/>
      <c r="Z27" s="5" t="n"/>
      <c r="AA27" s="5" t="n"/>
    </row>
    <row r="28" ht="15.75" customHeight="1">
      <c r="A28" s="5" t="n">
        <v>33</v>
      </c>
      <c r="B28" s="13" t="n">
        <v>46247</v>
      </c>
      <c r="C28" s="10" t="n">
        <v>0.9516203703703704</v>
      </c>
      <c r="D28" s="5" t="inlineStr">
        <is>
          <t>MGC</t>
        </is>
      </c>
      <c r="E28" s="5" t="inlineStr">
        <is>
          <t>Long</t>
        </is>
      </c>
      <c r="F28" s="5" t="n">
        <v>4371.8</v>
      </c>
      <c r="G28" s="5" t="n">
        <v>4369.6</v>
      </c>
      <c r="H28" s="5" t="n">
        <v>3</v>
      </c>
      <c r="I28" s="5" t="n"/>
      <c r="J28" s="7" t="n"/>
      <c r="K28" s="8">
        <f>IF(AND(I28&lt;&gt;"",J28&lt;&gt;"",F28&lt;&gt;""), (J28-F28)/(F28-I28), "")</f>
        <v/>
      </c>
      <c r="L28" s="8">
        <f>IF(AND(F28&lt;&gt;"",G28&lt;&gt;"",I28&lt;&gt;""), (G28-F28)/(F28-I28), "")</f>
        <v/>
      </c>
      <c r="M28" s="5">
        <f>IF(N28&gt;0,"Win",IF(N28&lt;0,"Loss",""))</f>
        <v/>
      </c>
      <c r="N28" s="16">
        <f>IF(AND(F28&lt;&gt;"",G28&lt;&gt;"",H28&lt;&gt;"",D28&lt;&gt;""), IF(E28="Long", (G28-F28)*H28*VLOOKUP(D28,Multipliers!A:B,2,FALSE), (F28-G28)*H28*VLOOKUP(D28,Multipliers!A:B,2,FALSE)), "")</f>
        <v/>
      </c>
      <c r="O28" s="9">
        <f>IF(AND(N28&lt;&gt;"",F28&lt;&gt;"",H28&lt;&gt;"",D28&lt;&gt;""), N28/(F28*H28*VLOOKUP(D28,Multipliers!A:B,2,FALSE)), "")</f>
        <v/>
      </c>
      <c r="P28" s="5">
        <f>P27+N28</f>
        <v/>
      </c>
      <c r="Q28" s="5" t="inlineStr">
        <is>
          <t>Break and Retest</t>
        </is>
      </c>
      <c r="R28" s="5" t="inlineStr">
        <is>
          <t>Imported from Tradovate</t>
        </is>
      </c>
      <c r="S28" s="5" t="inlineStr">
        <is>
          <t>MGC</t>
        </is>
      </c>
      <c r="T28" s="5" t="n"/>
      <c r="U28" s="5" t="n"/>
      <c r="V28" s="5" t="n"/>
      <c r="W28" s="5" t="n"/>
      <c r="X28" s="5" t="n"/>
      <c r="Y28" s="5" t="n"/>
      <c r="Z28" s="5" t="n"/>
      <c r="AA28" s="5" t="n"/>
    </row>
    <row r="29" ht="15.75" customHeight="1">
      <c r="A29" s="5" t="n">
        <v>34</v>
      </c>
      <c r="B29" s="13" t="n">
        <v>46247</v>
      </c>
      <c r="C29" s="10" t="n">
        <v>0.9580092592592593</v>
      </c>
      <c r="D29" s="5" t="inlineStr">
        <is>
          <t>MGC</t>
        </is>
      </c>
      <c r="E29" s="5" t="inlineStr">
        <is>
          <t>Short</t>
        </is>
      </c>
      <c r="F29" s="5" t="n">
        <v>4370.5</v>
      </c>
      <c r="G29" s="5" t="n">
        <v>4377</v>
      </c>
      <c r="H29" s="5" t="n">
        <v>3</v>
      </c>
      <c r="I29" s="5" t="n">
        <v>4377</v>
      </c>
      <c r="J29" s="7" t="n">
        <v>4369.3</v>
      </c>
      <c r="K29" s="8">
        <f>IF(AND(I29&lt;&gt;"",J29&lt;&gt;"",F29&lt;&gt;""), (J29-F29)/(F29-I29), "")</f>
        <v/>
      </c>
      <c r="L29" s="8">
        <f>IF(AND(F29&lt;&gt;"",G29&lt;&gt;"",I29&lt;&gt;""), (G29-F29)/(F29-I29), "")</f>
        <v/>
      </c>
      <c r="M29" s="5">
        <f>IF(N29&gt;0,"Win",IF(N29&lt;0,"Loss",""))</f>
        <v/>
      </c>
      <c r="N29" s="16">
        <f>IF(AND(F29&lt;&gt;"",G29&lt;&gt;"",H29&lt;&gt;"",D29&lt;&gt;""), IF(E29="Long", (G29-F29)*H29*VLOOKUP(D29,Multipliers!A:B,2,FALSE), (F29-G29)*H29*VLOOKUP(D29,Multipliers!A:B,2,FALSE)), "")</f>
        <v/>
      </c>
      <c r="O29" s="9">
        <f>IF(AND(N29&lt;&gt;"",F29&lt;&gt;"",H29&lt;&gt;"",D29&lt;&gt;""), N29/(F29*H29*VLOOKUP(D29,Multipliers!A:B,2,FALSE)), "")</f>
        <v/>
      </c>
      <c r="P29" s="5">
        <f>P28+N29</f>
        <v/>
      </c>
      <c r="Q29" s="5" t="inlineStr">
        <is>
          <t>Break and Retest</t>
        </is>
      </c>
      <c r="R29" s="5" t="inlineStr">
        <is>
          <t>Imported from Tradovate</t>
        </is>
      </c>
      <c r="S29" s="5" t="inlineStr">
        <is>
          <t>MGC</t>
        </is>
      </c>
      <c r="T29" s="5" t="n"/>
      <c r="U29" s="5" t="n"/>
      <c r="V29" s="5" t="n"/>
      <c r="W29" s="5" t="n"/>
      <c r="X29" s="5" t="n"/>
      <c r="Y29" s="5" t="n"/>
      <c r="Z29" s="5" t="n"/>
      <c r="AA29" s="5" t="n"/>
    </row>
    <row r="30" ht="15.75" customHeight="1">
      <c r="A30" s="5" t="n">
        <v>35</v>
      </c>
      <c r="B30" s="13" t="n">
        <v>46248</v>
      </c>
      <c r="C30" s="10" t="n">
        <v>0.4076736111111111</v>
      </c>
      <c r="D30" s="5" t="inlineStr">
        <is>
          <t>MNQ</t>
        </is>
      </c>
      <c r="E30" s="5" t="inlineStr">
        <is>
          <t>Long</t>
        </is>
      </c>
      <c r="F30" s="5" t="n">
        <v>30233</v>
      </c>
      <c r="G30" s="5" t="n">
        <v>30255.75</v>
      </c>
      <c r="H30" s="5" t="n">
        <v>3</v>
      </c>
      <c r="I30" s="5" t="n"/>
      <c r="J30" s="7" t="n">
        <v>30272</v>
      </c>
      <c r="K30" s="8">
        <f>IF(AND(I30&lt;&gt;"",J30&lt;&gt;"",F30&lt;&gt;""), (J30-F30)/(F30-I30), "")</f>
        <v/>
      </c>
      <c r="L30" s="8">
        <f>IF(AND(F30&lt;&gt;"",G30&lt;&gt;"",I30&lt;&gt;""), (G30-F30)/(F30-I30), "")</f>
        <v/>
      </c>
      <c r="M30" s="5">
        <f>IF(N30&gt;0,"Win",IF(N30&lt;0,"Loss",""))</f>
        <v/>
      </c>
      <c r="N30" s="16">
        <f>IF(AND(F30&lt;&gt;"",G30&lt;&gt;"",H30&lt;&gt;"",D30&lt;&gt;""), IF(E30="Long", (G30-F30)*H30*VLOOKUP(D30,Multipliers!A:B,2,FALSE), (F30-G30)*H30*VLOOKUP(D30,Multipliers!A:B,2,FALSE)), "")</f>
        <v/>
      </c>
      <c r="O30" s="9">
        <f>IF(AND(N30&lt;&gt;"",F30&lt;&gt;"",H30&lt;&gt;"",D30&lt;&gt;""), N30/(F30*H30*VLOOKUP(D30,Multipliers!A:B,2,FALSE)), "")</f>
        <v/>
      </c>
      <c r="P30" s="5">
        <f>P29+N30</f>
        <v/>
      </c>
      <c r="Q30" s="5" t="inlineStr">
        <is>
          <t>Break and Retest</t>
        </is>
      </c>
      <c r="R30" s="5" t="inlineStr">
        <is>
          <t>Imported from Tradovate</t>
        </is>
      </c>
      <c r="S30" s="5" t="inlineStr">
        <is>
          <t>MNQ</t>
        </is>
      </c>
      <c r="T30" s="5" t="n"/>
      <c r="U30" s="5" t="n"/>
      <c r="V30" s="5" t="n"/>
      <c r="W30" s="5" t="n"/>
      <c r="X30" s="5" t="n"/>
      <c r="Y30" s="5" t="n"/>
      <c r="Z30" s="5" t="n"/>
      <c r="AA30" s="5" t="n"/>
    </row>
    <row r="31" ht="15.75" customHeight="1">
      <c r="A31" s="5" t="n">
        <v>36</v>
      </c>
      <c r="B31" s="13" t="n">
        <v>46248</v>
      </c>
      <c r="C31" s="10" t="n">
        <v>0.4152546296296296</v>
      </c>
      <c r="D31" s="5" t="inlineStr">
        <is>
          <t>MNQ</t>
        </is>
      </c>
      <c r="E31" s="5" t="inlineStr">
        <is>
          <t>Long</t>
        </is>
      </c>
      <c r="F31" s="5" t="n">
        <v>30221</v>
      </c>
      <c r="G31" s="5" t="n">
        <v>30225.5</v>
      </c>
      <c r="H31" s="5" t="n">
        <v>3</v>
      </c>
      <c r="I31" s="5" t="n">
        <v>30201</v>
      </c>
      <c r="J31" s="7" t="n">
        <v>30225.5</v>
      </c>
      <c r="K31" s="8">
        <f>IF(AND(I31&lt;&gt;"",J31&lt;&gt;"",F31&lt;&gt;""), (J31-F31)/(F31-I31), "")</f>
        <v/>
      </c>
      <c r="L31" s="8">
        <f>IF(AND(F31&lt;&gt;"",G31&lt;&gt;"",I31&lt;&gt;""), (G31-F31)/(F31-I31), "")</f>
        <v/>
      </c>
      <c r="M31" s="5">
        <f>IF(N31&gt;0,"Win",IF(N31&lt;0,"Loss",""))</f>
        <v/>
      </c>
      <c r="N31" s="16">
        <f>IF(AND(F31&lt;&gt;"",G31&lt;&gt;"",H31&lt;&gt;"",D31&lt;&gt;""), IF(E31="Long", (G31-F31)*H31*VLOOKUP(D31,Multipliers!A:B,2,FALSE), (F31-G31)*H31*VLOOKUP(D31,Multipliers!A:B,2,FALSE)), "")</f>
        <v/>
      </c>
      <c r="O31" s="9">
        <f>IF(AND(N31&lt;&gt;"",F31&lt;&gt;"",H31&lt;&gt;"",D31&lt;&gt;""), N31/(F31*H31*VLOOKUP(D31,Multipliers!A:B,2,FALSE)), "")</f>
        <v/>
      </c>
      <c r="P31" s="5">
        <f>P30+N31</f>
        <v/>
      </c>
      <c r="Q31" s="5" t="inlineStr">
        <is>
          <t>Break and Retest</t>
        </is>
      </c>
      <c r="R31" s="5" t="inlineStr">
        <is>
          <t>Imported from Tradovate</t>
        </is>
      </c>
      <c r="S31" s="5" t="inlineStr">
        <is>
          <t>MNQ</t>
        </is>
      </c>
      <c r="T31" s="5" t="n"/>
      <c r="U31" s="5" t="n"/>
      <c r="V31" s="5" t="n"/>
      <c r="W31" s="5" t="n"/>
      <c r="X31" s="5" t="n"/>
      <c r="Y31" s="5" t="n"/>
      <c r="Z31" s="5" t="n"/>
      <c r="AA31" s="5" t="n"/>
    </row>
    <row r="32" ht="15.75" customHeight="1">
      <c r="A32" s="5" t="n">
        <v>37</v>
      </c>
      <c r="B32" s="13" t="n">
        <v>46248</v>
      </c>
      <c r="C32" s="10" t="n">
        <v>0.4988888888888889</v>
      </c>
      <c r="D32" s="5" t="inlineStr">
        <is>
          <t>MNQ</t>
        </is>
      </c>
      <c r="E32" s="5" t="inlineStr">
        <is>
          <t>Short</t>
        </is>
      </c>
      <c r="F32" s="5" t="n">
        <v>30072.5</v>
      </c>
      <c r="G32" s="5" t="n">
        <v>30099.5</v>
      </c>
      <c r="H32" s="5" t="n">
        <v>3</v>
      </c>
      <c r="I32" s="5" t="n">
        <v>30099.5</v>
      </c>
      <c r="J32" s="7" t="n">
        <v>30058.25</v>
      </c>
      <c r="K32" s="8">
        <f>IF(AND(I32&lt;&gt;"",J32&lt;&gt;"",F32&lt;&gt;""), (J32-F32)/(F32-I32), "")</f>
        <v/>
      </c>
      <c r="L32" s="8">
        <f>IF(AND(F32&lt;&gt;"",G32&lt;&gt;"",I32&lt;&gt;""), (G32-F32)/(F32-I32), "")</f>
        <v/>
      </c>
      <c r="M32" s="5">
        <f>IF(N32&gt;0,"Win",IF(N32&lt;0,"Loss",""))</f>
        <v/>
      </c>
      <c r="N32" s="16">
        <f>IF(AND(F32&lt;&gt;"",G32&lt;&gt;"",H32&lt;&gt;"",D32&lt;&gt;""), IF(E32="Long", (G32-F32)*H32*VLOOKUP(D32,Multipliers!A:B,2,FALSE), (F32-G32)*H32*VLOOKUP(D32,Multipliers!A:B,2,FALSE)), "")</f>
        <v/>
      </c>
      <c r="O32" s="9">
        <f>IF(AND(N32&lt;&gt;"",F32&lt;&gt;"",H32&lt;&gt;"",D32&lt;&gt;""), N32/(F32*H32*VLOOKUP(D32,Multipliers!A:B,2,FALSE)), "")</f>
        <v/>
      </c>
      <c r="P32" s="5">
        <f>P31+N32</f>
        <v/>
      </c>
      <c r="Q32" s="5" t="inlineStr">
        <is>
          <t>Break and Retest</t>
        </is>
      </c>
      <c r="R32" s="5" t="inlineStr">
        <is>
          <t>Imported from Tradovate</t>
        </is>
      </c>
      <c r="S32" s="5" t="inlineStr">
        <is>
          <t>MNQ</t>
        </is>
      </c>
      <c r="T32" s="5" t="n"/>
      <c r="U32" s="5" t="n"/>
      <c r="V32" s="5" t="n"/>
      <c r="W32" s="5" t="n"/>
      <c r="X32" s="5" t="n"/>
      <c r="Y32" s="5" t="n"/>
      <c r="Z32" s="5" t="n"/>
      <c r="AA32" s="5" t="n"/>
    </row>
    <row r="33" ht="15.75" customHeight="1">
      <c r="A33" s="5" t="n">
        <v>38</v>
      </c>
      <c r="B33" s="13" t="n">
        <v>46248</v>
      </c>
      <c r="C33" s="10" t="n">
        <v>0.5287037037037037</v>
      </c>
      <c r="D33" s="5" t="inlineStr">
        <is>
          <t>MNQ</t>
        </is>
      </c>
      <c r="E33" s="5" t="inlineStr">
        <is>
          <t>Short</t>
        </is>
      </c>
      <c r="F33" s="5" t="n">
        <v>30068.5</v>
      </c>
      <c r="G33" s="5" t="n">
        <v>30064</v>
      </c>
      <c r="H33" s="5" t="n">
        <v>3</v>
      </c>
      <c r="I33" s="5" t="n">
        <v>30088.5</v>
      </c>
      <c r="J33" s="7" t="n">
        <v>30064</v>
      </c>
      <c r="K33" s="8">
        <f>IF(AND(I33&lt;&gt;"",J33&lt;&gt;"",F33&lt;&gt;""), (J33-F33)/(F33-I33), "")</f>
        <v/>
      </c>
      <c r="L33" s="8">
        <f>IF(AND(F33&lt;&gt;"",G33&lt;&gt;"",I33&lt;&gt;""), (G33-F33)/(F33-I33), "")</f>
        <v/>
      </c>
      <c r="M33" s="5">
        <f>IF(N33&gt;0,"Win",IF(N33&lt;0,"Loss",""))</f>
        <v/>
      </c>
      <c r="N33" s="16">
        <f>IF(AND(F33&lt;&gt;"",G33&lt;&gt;"",H33&lt;&gt;"",D33&lt;&gt;""), IF(E33="Long", (G33-F33)*H33*VLOOKUP(D33,Multipliers!A:B,2,FALSE), (F33-G33)*H33*VLOOKUP(D33,Multipliers!A:B,2,FALSE)), "")</f>
        <v/>
      </c>
      <c r="O33" s="9">
        <f>IF(AND(N33&lt;&gt;"",F33&lt;&gt;"",H33&lt;&gt;"",D33&lt;&gt;""), N33/(F33*H33*VLOOKUP(D33,Multipliers!A:B,2,FALSE)), "")</f>
        <v/>
      </c>
      <c r="P33" s="5">
        <f>P32+N33</f>
        <v/>
      </c>
      <c r="Q33" s="5" t="inlineStr">
        <is>
          <t>Break and Retest</t>
        </is>
      </c>
      <c r="R33" s="5" t="inlineStr">
        <is>
          <t>Imported from Tradovate</t>
        </is>
      </c>
      <c r="S33" s="5" t="inlineStr">
        <is>
          <t>MNQ</t>
        </is>
      </c>
      <c r="T33" s="5" t="n"/>
      <c r="U33" s="5" t="n"/>
      <c r="V33" s="5" t="n"/>
      <c r="W33" s="5" t="n"/>
      <c r="X33" s="5" t="n"/>
      <c r="Y33" s="5" t="n"/>
      <c r="Z33" s="5" t="n"/>
      <c r="AA33" s="5" t="n"/>
    </row>
    <row r="34" ht="15.75" customHeight="1">
      <c r="A34" s="5" t="n">
        <v>39</v>
      </c>
      <c r="B34" s="13" t="n">
        <v>46248</v>
      </c>
      <c r="C34" s="10" t="n">
        <v>0.5321296296296296</v>
      </c>
      <c r="D34" s="5" t="inlineStr">
        <is>
          <t>MNQ</t>
        </is>
      </c>
      <c r="E34" s="5" t="inlineStr">
        <is>
          <t>Long</t>
        </is>
      </c>
      <c r="F34" s="5" t="n">
        <v>30067</v>
      </c>
      <c r="G34" s="5" t="n">
        <v>30071.25</v>
      </c>
      <c r="H34" s="5" t="n">
        <v>5</v>
      </c>
      <c r="I34" s="5" t="n">
        <v>30047.75</v>
      </c>
      <c r="J34" s="7" t="n">
        <v>30074.5</v>
      </c>
      <c r="K34" s="8">
        <f>IF(AND(I34&lt;&gt;"",J34&lt;&gt;"",F34&lt;&gt;""), (J34-F34)/(F34-I34), "")</f>
        <v/>
      </c>
      <c r="L34" s="8">
        <f>IF(AND(F34&lt;&gt;"",G34&lt;&gt;"",I34&lt;&gt;""), (G34-F34)/(F34-I34), "")</f>
        <v/>
      </c>
      <c r="M34" s="5">
        <f>IF(N34&gt;0,"Win",IF(N34&lt;0,"Loss",""))</f>
        <v/>
      </c>
      <c r="N34" s="16">
        <f>IF(AND(F34&lt;&gt;"",G34&lt;&gt;"",H34&lt;&gt;"",D34&lt;&gt;""), IF(E34="Long", (G34-F34)*H34*VLOOKUP(D34,Multipliers!A:B,2,FALSE), (F34-G34)*H34*VLOOKUP(D34,Multipliers!A:B,2,FALSE)), "")</f>
        <v/>
      </c>
      <c r="O34" s="9">
        <f>IF(AND(N34&lt;&gt;"",F34&lt;&gt;"",H34&lt;&gt;"",D34&lt;&gt;""), N34/(F34*H34*VLOOKUP(D34,Multipliers!A:B,2,FALSE)), "")</f>
        <v/>
      </c>
      <c r="P34" s="5">
        <f>P33+N34</f>
        <v/>
      </c>
      <c r="Q34" s="5" t="inlineStr">
        <is>
          <t>Break and Retest</t>
        </is>
      </c>
      <c r="R34" s="5" t="inlineStr">
        <is>
          <t>Imported from Tradovate</t>
        </is>
      </c>
      <c r="S34" s="5" t="inlineStr">
        <is>
          <t>MNQ</t>
        </is>
      </c>
      <c r="T34" s="5" t="n"/>
      <c r="U34" s="5" t="n"/>
      <c r="V34" s="5" t="n"/>
      <c r="W34" s="5" t="n"/>
      <c r="X34" s="5" t="n"/>
      <c r="Y34" s="5" t="n"/>
      <c r="Z34" s="5" t="n"/>
      <c r="AA34" s="5" t="n"/>
    </row>
    <row r="35" ht="15.75" customHeight="1">
      <c r="A35" s="5" t="n">
        <v>40</v>
      </c>
      <c r="B35" s="13" t="n">
        <v>46248</v>
      </c>
      <c r="C35" s="10" t="n">
        <v>0.5350231481481481</v>
      </c>
      <c r="D35" s="5" t="inlineStr">
        <is>
          <t>MNQ</t>
        </is>
      </c>
      <c r="E35" s="5" t="inlineStr">
        <is>
          <t>Long</t>
        </is>
      </c>
      <c r="F35" s="5" t="n">
        <v>30064.5</v>
      </c>
      <c r="G35" s="5" t="n">
        <v>30068</v>
      </c>
      <c r="H35" s="5" t="n">
        <v>5</v>
      </c>
      <c r="I35" s="5" t="n"/>
      <c r="J35" s="7" t="n">
        <v>30074.5</v>
      </c>
      <c r="K35" s="8">
        <f>IF(AND(I35&lt;&gt;"",J35&lt;&gt;"",F35&lt;&gt;""), (J35-F35)/(F35-I35), "")</f>
        <v/>
      </c>
      <c r="L35" s="8">
        <f>IF(AND(F35&lt;&gt;"",G35&lt;&gt;"",I35&lt;&gt;""), (G35-F35)/(F35-I35), "")</f>
        <v/>
      </c>
      <c r="M35" s="5">
        <f>IF(N35&gt;0,"Win",IF(N35&lt;0,"Loss",""))</f>
        <v/>
      </c>
      <c r="N35" s="16">
        <f>IF(AND(F35&lt;&gt;"",G35&lt;&gt;"",H35&lt;&gt;"",D35&lt;&gt;""), IF(E35="Long", (G35-F35)*H35*VLOOKUP(D35,Multipliers!A:B,2,FALSE), (F35-G35)*H35*VLOOKUP(D35,Multipliers!A:B,2,FALSE)), "")</f>
        <v/>
      </c>
      <c r="O35" s="9">
        <f>IF(AND(N35&lt;&gt;"",F35&lt;&gt;"",H35&lt;&gt;"",D35&lt;&gt;""), N35/(F35*H35*VLOOKUP(D35,Multipliers!A:B,2,FALSE)), "")</f>
        <v/>
      </c>
      <c r="P35" s="5">
        <f>P34+N35</f>
        <v/>
      </c>
      <c r="Q35" s="5" t="inlineStr">
        <is>
          <t>Break and Retest</t>
        </is>
      </c>
      <c r="R35" s="5" t="inlineStr">
        <is>
          <t>Imported from Tradovate</t>
        </is>
      </c>
      <c r="S35" s="5" t="inlineStr">
        <is>
          <t>MNQ</t>
        </is>
      </c>
      <c r="T35" s="5" t="n"/>
      <c r="U35" s="5" t="n"/>
      <c r="V35" s="5" t="n"/>
      <c r="W35" s="5" t="n"/>
      <c r="X35" s="5" t="n"/>
      <c r="Y35" s="5" t="n"/>
      <c r="Z35" s="5" t="n"/>
      <c r="AA35" s="5" t="n"/>
    </row>
    <row r="36" ht="15.75" customHeight="1">
      <c r="A36" s="5" t="n">
        <v>41</v>
      </c>
      <c r="B36" s="13" t="n">
        <v>46252</v>
      </c>
      <c r="C36" s="10" t="n">
        <v>0.4170601851851852</v>
      </c>
      <c r="D36" s="5" t="inlineStr">
        <is>
          <t>MGC</t>
        </is>
      </c>
      <c r="E36" s="5" t="inlineStr">
        <is>
          <t>Short</t>
        </is>
      </c>
      <c r="F36" s="5" t="n">
        <v>4454.7</v>
      </c>
      <c r="G36" s="5" t="n">
        <v>4460</v>
      </c>
      <c r="H36" s="5" t="n">
        <v>3</v>
      </c>
      <c r="I36" s="5" t="n">
        <v>4459.9</v>
      </c>
      <c r="J36" s="7" t="n">
        <v>4454</v>
      </c>
      <c r="K36" s="8">
        <f>IF(AND(I36&lt;&gt;"",J36&lt;&gt;"",F36&lt;&gt;""), (J36-F36)/(F36-I36), "")</f>
        <v/>
      </c>
      <c r="L36" s="8">
        <f>IF(AND(F36&lt;&gt;"",G36&lt;&gt;"",I36&lt;&gt;""), (G36-F36)/(F36-I36), "")</f>
        <v/>
      </c>
      <c r="M36" s="5">
        <f>IF(N36&gt;0,"Win",IF(N36&lt;0,"Loss",""))</f>
        <v/>
      </c>
      <c r="N36" s="16">
        <f>IF(AND(F36&lt;&gt;"",G36&lt;&gt;"",H36&lt;&gt;"",D36&lt;&gt;""), IF(E36="Long", (G36-F36)*H36*VLOOKUP(D36,Multipliers!A:B,2,FALSE), (F36-G36)*H36*VLOOKUP(D36,Multipliers!A:B,2,FALSE)), "")</f>
        <v/>
      </c>
      <c r="O36" s="9">
        <f>IF(AND(N36&lt;&gt;"",F36&lt;&gt;"",H36&lt;&gt;"",D36&lt;&gt;""), N36/(F36*H36*VLOOKUP(D36,Multipliers!A:B,2,FALSE)), "")</f>
        <v/>
      </c>
      <c r="P36" s="5">
        <f>P35+N36</f>
        <v/>
      </c>
      <c r="Q36" s="5" t="inlineStr">
        <is>
          <t>Break and Retest</t>
        </is>
      </c>
      <c r="R36" s="5" t="inlineStr">
        <is>
          <t>Imported from Tradovate</t>
        </is>
      </c>
      <c r="S36" s="5" t="inlineStr">
        <is>
          <t>MGC</t>
        </is>
      </c>
      <c r="T36" s="5" t="n"/>
      <c r="U36" s="5" t="n"/>
      <c r="V36" s="5" t="n"/>
      <c r="W36" s="5" t="n"/>
      <c r="X36" s="5" t="n"/>
      <c r="Y36" s="5" t="n"/>
      <c r="Z36" s="5" t="n"/>
      <c r="AA36" s="5" t="n"/>
    </row>
    <row r="37" ht="15.75" customHeight="1">
      <c r="A37" s="5" t="n">
        <v>42</v>
      </c>
      <c r="B37" s="13" t="n">
        <v>46252</v>
      </c>
      <c r="C37" s="10" t="n">
        <v>0.4225347222222222</v>
      </c>
      <c r="D37" s="5" t="inlineStr">
        <is>
          <t>MGC</t>
        </is>
      </c>
      <c r="E37" s="5" t="inlineStr">
        <is>
          <t>Long</t>
        </is>
      </c>
      <c r="F37" s="5" t="n">
        <v>4454.2</v>
      </c>
      <c r="G37" s="5" t="n">
        <v>4448.2</v>
      </c>
      <c r="H37" s="5" t="n">
        <v>3</v>
      </c>
      <c r="I37" s="5" t="n">
        <v>4448.2</v>
      </c>
      <c r="J37" s="7" t="n">
        <v>4467</v>
      </c>
      <c r="K37" s="8">
        <f>IF(AND(I37&lt;&gt;"",J37&lt;&gt;"",F37&lt;&gt;""), (J37-F37)/(F37-I37), "")</f>
        <v/>
      </c>
      <c r="L37" s="8">
        <f>IF(AND(F37&lt;&gt;"",G37&lt;&gt;"",I37&lt;&gt;""), (G37-F37)/(F37-I37), "")</f>
        <v/>
      </c>
      <c r="M37" s="5">
        <f>IF(N37&gt;0,"Win",IF(N37&lt;0,"Loss",""))</f>
        <v/>
      </c>
      <c r="N37" s="16">
        <f>IF(AND(F37&lt;&gt;"",G37&lt;&gt;"",H37&lt;&gt;"",D37&lt;&gt;""), IF(E37="Long", (G37-F37)*H37*VLOOKUP(D37,Multipliers!A:B,2,FALSE), (F37-G37)*H37*VLOOKUP(D37,Multipliers!A:B,2,FALSE)), "")</f>
        <v/>
      </c>
      <c r="O37" s="9">
        <f>IF(AND(N37&lt;&gt;"",F37&lt;&gt;"",H37&lt;&gt;"",D37&lt;&gt;""), N37/(F37*H37*VLOOKUP(D37,Multipliers!A:B,2,FALSE)), "")</f>
        <v/>
      </c>
      <c r="P37" s="5">
        <f>P36+N37</f>
        <v/>
      </c>
      <c r="Q37" s="5" t="inlineStr">
        <is>
          <t>Break and Retest</t>
        </is>
      </c>
      <c r="R37" s="5" t="inlineStr">
        <is>
          <t>Imported from Tradovate</t>
        </is>
      </c>
      <c r="S37" s="5" t="inlineStr">
        <is>
          <t>MGC</t>
        </is>
      </c>
      <c r="T37" s="5" t="n"/>
      <c r="U37" s="5" t="n"/>
      <c r="V37" s="5" t="inlineStr">
        <is>
          <t>Revenge trade</t>
        </is>
      </c>
      <c r="W37" s="5" t="n"/>
      <c r="X37" s="5" t="n"/>
      <c r="Y37" s="5" t="n"/>
      <c r="Z37" s="5" t="n"/>
      <c r="AA37" s="5" t="n"/>
    </row>
    <row r="38" ht="15.75" customHeight="1">
      <c r="A38" s="5" t="n">
        <v>43</v>
      </c>
      <c r="B38" s="13" t="n">
        <v>46252</v>
      </c>
      <c r="C38" s="10" t="n">
        <v>0.4283217592592592</v>
      </c>
      <c r="D38" s="5" t="inlineStr">
        <is>
          <t>MNQ</t>
        </is>
      </c>
      <c r="E38" s="5" t="inlineStr">
        <is>
          <t>Short</t>
        </is>
      </c>
      <c r="F38" s="5" t="n">
        <v>29614</v>
      </c>
      <c r="G38" s="5" t="n">
        <v>29634</v>
      </c>
      <c r="H38" s="5" t="n">
        <v>2</v>
      </c>
      <c r="I38" s="5" t="n">
        <v>29634</v>
      </c>
      <c r="J38" s="5" t="n">
        <v>29574</v>
      </c>
      <c r="K38" s="8">
        <f>IF(AND(I38&lt;&gt;"",J38&lt;&gt;"",F38&lt;&gt;""), (J38-F38)/(F38-I38), "")</f>
        <v/>
      </c>
      <c r="L38" s="8">
        <f>IF(AND(F38&lt;&gt;"",G38&lt;&gt;"",I38&lt;&gt;""), (G38-F38)/(F38-I38), "")</f>
        <v/>
      </c>
      <c r="M38" s="5">
        <f>IF(N38&gt;0,"Win",IF(N38&lt;0,"Loss",""))</f>
        <v/>
      </c>
      <c r="N38" s="16">
        <f>IF(AND(F38&lt;&gt;"",G38&lt;&gt;"",H38&lt;&gt;"",D38&lt;&gt;""), IF(E38="Long", (G38-F38)*H38*VLOOKUP(D38,Multipliers!A:B,2,FALSE), (F38-G38)*H38*VLOOKUP(D38,Multipliers!A:B,2,FALSE)), "")</f>
        <v/>
      </c>
      <c r="O38" s="9">
        <f>IF(AND(N38&lt;&gt;"",F38&lt;&gt;"",H38&lt;&gt;"",D38&lt;&gt;""), N38/(F38*H38*VLOOKUP(D38,Multipliers!A:B,2,FALSE)), "")</f>
        <v/>
      </c>
      <c r="P38" s="5">
        <f>P37+N38</f>
        <v/>
      </c>
      <c r="Q38" s="5" t="inlineStr">
        <is>
          <t>Break and Retest</t>
        </is>
      </c>
      <c r="R38" s="5" t="inlineStr">
        <is>
          <t>Imported from Tradovate</t>
        </is>
      </c>
      <c r="S38" s="5" t="inlineStr">
        <is>
          <t>MNQ</t>
        </is>
      </c>
      <c r="T38" s="5" t="n"/>
      <c r="U38" s="5" t="n"/>
      <c r="V38" s="5" t="n"/>
      <c r="W38" s="5" t="n"/>
      <c r="X38" s="5" t="n"/>
      <c r="Y38" s="5" t="n"/>
      <c r="Z38" s="5" t="n"/>
      <c r="AA38" s="5" t="n"/>
    </row>
    <row r="39" ht="15.75" customHeight="1">
      <c r="A39" s="5" t="n">
        <v>44</v>
      </c>
      <c r="B39" s="13" t="n">
        <v>46252</v>
      </c>
      <c r="C39" s="10" t="n">
        <v>0.4317824074074074</v>
      </c>
      <c r="D39" s="5" t="inlineStr">
        <is>
          <t>MNQ</t>
        </is>
      </c>
      <c r="E39" s="5" t="inlineStr">
        <is>
          <t>Short</t>
        </is>
      </c>
      <c r="F39" s="5" t="n">
        <v>29607.5</v>
      </c>
      <c r="G39" s="5" t="n">
        <v>29656.75</v>
      </c>
      <c r="H39" s="5" t="n">
        <v>3</v>
      </c>
      <c r="I39" s="5" t="n">
        <v>29649</v>
      </c>
      <c r="J39" s="5" t="n">
        <v>29552</v>
      </c>
      <c r="K39" s="8">
        <f>IF(AND(I39&lt;&gt;"",J39&lt;&gt;"",F39&lt;&gt;""), (J39-F39)/(F39-I39), "")</f>
        <v/>
      </c>
      <c r="L39" s="8">
        <f>IF(AND(F39&lt;&gt;"",G39&lt;&gt;"",I39&lt;&gt;""), (G39-F39)/(F39-I39), "")</f>
        <v/>
      </c>
      <c r="M39" s="5">
        <f>IF(N39&gt;0,"Win",IF(N39&lt;0,"Loss",""))</f>
        <v/>
      </c>
      <c r="N39" s="16">
        <f>IF(AND(F39&lt;&gt;"",G39&lt;&gt;"",H39&lt;&gt;"",D39&lt;&gt;""), IF(E39="Long", (G39-F39)*H39*VLOOKUP(D39,Multipliers!A:B,2,FALSE), (F39-G39)*H39*VLOOKUP(D39,Multipliers!A:B,2,FALSE)), "")</f>
        <v/>
      </c>
      <c r="O39" s="9">
        <f>IF(AND(N39&lt;&gt;"",F39&lt;&gt;"",H39&lt;&gt;"",D39&lt;&gt;""), N39/(F39*H39*VLOOKUP(D39,Multipliers!A:B,2,FALSE)), "")</f>
        <v/>
      </c>
      <c r="P39" s="5">
        <f>P38+N39</f>
        <v/>
      </c>
      <c r="Q39" s="5" t="inlineStr">
        <is>
          <t>Break and Retest</t>
        </is>
      </c>
      <c r="R39" s="5" t="inlineStr">
        <is>
          <t>Imported from Tradovate</t>
        </is>
      </c>
      <c r="S39" s="5" t="inlineStr">
        <is>
          <t>MNQ</t>
        </is>
      </c>
      <c r="T39" s="5" t="n"/>
      <c r="U39" s="5" t="n"/>
      <c r="V39" s="5" t="inlineStr">
        <is>
          <t>Blew stop, Revenge trade</t>
        </is>
      </c>
      <c r="W39" s="5" t="n"/>
      <c r="X39" s="5" t="n"/>
      <c r="Y39" s="5" t="n"/>
      <c r="Z39" s="5" t="n"/>
      <c r="AA39" s="5" t="n"/>
    </row>
    <row r="40" ht="15.75" customHeight="1">
      <c r="A40" s="5" t="n">
        <v>45</v>
      </c>
      <c r="B40" s="13" t="n">
        <v>46252</v>
      </c>
      <c r="C40" s="10" t="n">
        <v>0.4505902777777778</v>
      </c>
      <c r="D40" s="5" t="inlineStr">
        <is>
          <t>MGC</t>
        </is>
      </c>
      <c r="E40" s="5" t="inlineStr">
        <is>
          <t>Short</t>
        </is>
      </c>
      <c r="F40" s="5" t="n">
        <v>4444.2</v>
      </c>
      <c r="G40" s="5" t="n">
        <v>4434.5</v>
      </c>
      <c r="H40" s="5" t="n">
        <v>2</v>
      </c>
      <c r="I40" s="5" t="n">
        <v>4447.8</v>
      </c>
      <c r="J40" s="5" t="n">
        <v>4434.5</v>
      </c>
      <c r="K40" s="8">
        <f>IF(AND(I40&lt;&gt;"",J40&lt;&gt;"",F40&lt;&gt;""), (J40-F40)/(F40-I40), "")</f>
        <v/>
      </c>
      <c r="L40" s="8">
        <f>IF(AND(F40&lt;&gt;"",G40&lt;&gt;"",I40&lt;&gt;""), (G40-F40)/(F40-I40), "")</f>
        <v/>
      </c>
      <c r="M40" s="5">
        <f>IF(N40&gt;0,"Win",IF(N40&lt;0,"Loss",""))</f>
        <v/>
      </c>
      <c r="N40" s="16">
        <f>IF(AND(F40&lt;&gt;"",G40&lt;&gt;"",H40&lt;&gt;"",D40&lt;&gt;""), IF(E40="Long", (G40-F40)*H40*VLOOKUP(D40,Multipliers!A:B,2,FALSE), (F40-G40)*H40*VLOOKUP(D40,Multipliers!A:B,2,FALSE)), "")</f>
        <v/>
      </c>
      <c r="O40" s="9">
        <f>IF(AND(N40&lt;&gt;"",F40&lt;&gt;"",H40&lt;&gt;"",D40&lt;&gt;""), N40/(F40*H40*VLOOKUP(D40,Multipliers!A:B,2,FALSE)), "")</f>
        <v/>
      </c>
      <c r="P40" s="5">
        <f>P39+N40</f>
        <v/>
      </c>
      <c r="Q40" s="5" t="inlineStr">
        <is>
          <t>Break and Retest</t>
        </is>
      </c>
      <c r="R40" s="5" t="inlineStr">
        <is>
          <t>Imported from Tradovate</t>
        </is>
      </c>
      <c r="S40" s="5" t="inlineStr">
        <is>
          <t>MGC</t>
        </is>
      </c>
      <c r="T40" s="5" t="n"/>
      <c r="U40" s="5" t="n"/>
      <c r="V40" s="5" t="n"/>
      <c r="W40" s="5" t="n"/>
      <c r="X40" s="5" t="n"/>
      <c r="Y40" s="5" t="n"/>
      <c r="Z40" s="5" t="n"/>
      <c r="AA40" s="5" t="n"/>
    </row>
    <row r="41" ht="15.75" customHeight="1">
      <c r="A41" s="5" t="n">
        <v>46</v>
      </c>
      <c r="B41" s="13" t="n">
        <v>46253</v>
      </c>
      <c r="C41" s="10" t="n">
        <v>0.4052314814814815</v>
      </c>
      <c r="D41" s="5" t="inlineStr">
        <is>
          <t>MNQ</t>
        </is>
      </c>
      <c r="E41" s="5" t="inlineStr">
        <is>
          <t>Short</t>
        </is>
      </c>
      <c r="F41" s="5" t="n">
        <v>29615.5</v>
      </c>
      <c r="G41" s="5" t="n">
        <v>29544.25</v>
      </c>
      <c r="H41" s="5" t="n">
        <v>3</v>
      </c>
      <c r="I41" s="5" t="n"/>
      <c r="J41" s="5" t="n">
        <v>29549</v>
      </c>
      <c r="K41" s="8">
        <f>IF(AND(I41&lt;&gt;"",J41&lt;&gt;"",F41&lt;&gt;""), (J41-F41)/(F41-I41), "")</f>
        <v/>
      </c>
      <c r="L41" s="8">
        <f>IF(AND(F41&lt;&gt;"",G41&lt;&gt;"",I41&lt;&gt;""), (G41-F41)/(F41-I41), "")</f>
        <v/>
      </c>
      <c r="M41" s="5">
        <f>IF(N41&gt;0,"Win",IF(N41&lt;0,"Loss",""))</f>
        <v/>
      </c>
      <c r="N41" s="16">
        <f>IF(AND(F41&lt;&gt;"",G41&lt;&gt;"",H41&lt;&gt;"",D41&lt;&gt;""), IF(E41="Long", (G41-F41)*H41*VLOOKUP(D41,Multipliers!A:B,2,FALSE), (F41-G41)*H41*VLOOKUP(D41,Multipliers!A:B,2,FALSE)), "")</f>
        <v/>
      </c>
      <c r="O41" s="9">
        <f>IF(AND(N41&lt;&gt;"",F41&lt;&gt;"",H41&lt;&gt;"",D41&lt;&gt;""), N41/(F41*H41*VLOOKUP(D41,Multipliers!A:B,2,FALSE)), "")</f>
        <v/>
      </c>
      <c r="P41" s="5">
        <f>P40+N41</f>
        <v/>
      </c>
      <c r="Q41" s="5" t="inlineStr">
        <is>
          <t>Break and Retest</t>
        </is>
      </c>
      <c r="R41" s="5" t="inlineStr">
        <is>
          <t>Imported from Tradovate</t>
        </is>
      </c>
      <c r="S41" s="5" t="inlineStr">
        <is>
          <t>MNQ</t>
        </is>
      </c>
      <c r="T41" s="5" t="n"/>
      <c r="U41" s="5" t="n"/>
      <c r="V41" s="5" t="n"/>
      <c r="W41" s="5" t="n"/>
      <c r="X41" s="5" t="n"/>
      <c r="Y41" s="5" t="n"/>
      <c r="Z41" s="5" t="n"/>
      <c r="AA41" s="5" t="n"/>
    </row>
    <row r="42" ht="15.75" customHeight="1">
      <c r="A42" s="5" t="n">
        <v>47</v>
      </c>
      <c r="B42" s="13" t="n">
        <v>46253</v>
      </c>
      <c r="C42" s="10" t="n">
        <v>0.5233564814814815</v>
      </c>
      <c r="D42" s="5" t="inlineStr">
        <is>
          <t>MNQ</t>
        </is>
      </c>
      <c r="E42" s="5" t="inlineStr">
        <is>
          <t>Short</t>
        </is>
      </c>
      <c r="F42" s="5" t="n">
        <v>29614.75</v>
      </c>
      <c r="G42" s="5" t="n">
        <v>29607</v>
      </c>
      <c r="H42" s="5" t="n">
        <v>3</v>
      </c>
      <c r="I42" s="5" t="n">
        <v>29638.75</v>
      </c>
      <c r="J42" s="5" t="n">
        <v>29607</v>
      </c>
      <c r="K42" s="8">
        <f>IF(AND(I42&lt;&gt;"",J42&lt;&gt;"",F42&lt;&gt;""), (J42-F42)/(F42-I42), "")</f>
        <v/>
      </c>
      <c r="L42" s="8">
        <f>IF(AND(F42&lt;&gt;"",G42&lt;&gt;"",I42&lt;&gt;""), (G42-F42)/(F42-I42), "")</f>
        <v/>
      </c>
      <c r="M42" s="5">
        <f>IF(N42&gt;0,"Win",IF(N42&lt;0,"Loss",""))</f>
        <v/>
      </c>
      <c r="N42" s="16">
        <f>IF(AND(F42&lt;&gt;"",G42&lt;&gt;"",H42&lt;&gt;"",D42&lt;&gt;""), IF(E42="Long", (G42-F42)*H42*VLOOKUP(D42,Multipliers!A:B,2,FALSE), (F42-G42)*H42*VLOOKUP(D42,Multipliers!A:B,2,FALSE)), "")</f>
        <v/>
      </c>
      <c r="O42" s="9">
        <f>IF(AND(N42&lt;&gt;"",F42&lt;&gt;"",H42&lt;&gt;"",D42&lt;&gt;""), N42/(F42*H42*VLOOKUP(D42,Multipliers!A:B,2,FALSE)), "")</f>
        <v/>
      </c>
      <c r="P42" s="5">
        <f>P41+N42</f>
        <v/>
      </c>
      <c r="Q42" s="5" t="inlineStr">
        <is>
          <t>Break and Retest</t>
        </is>
      </c>
      <c r="R42" s="5" t="inlineStr">
        <is>
          <t>Imported from Tradovate</t>
        </is>
      </c>
      <c r="S42" s="5" t="inlineStr">
        <is>
          <t>MNQ</t>
        </is>
      </c>
      <c r="T42" s="5" t="n"/>
      <c r="U42" s="5" t="n"/>
      <c r="V42" s="5" t="n"/>
      <c r="W42" s="5" t="n"/>
      <c r="X42" s="5" t="n"/>
      <c r="Y42" s="5" t="n"/>
      <c r="Z42" s="5" t="n"/>
      <c r="AA42" s="5" t="n"/>
    </row>
    <row r="43" ht="15.75" customHeight="1">
      <c r="A43" s="5" t="n">
        <v>48</v>
      </c>
      <c r="B43" s="13" t="n">
        <v>46253</v>
      </c>
      <c r="C43" s="10" t="n">
        <v>0.6075347222222223</v>
      </c>
      <c r="D43" s="5" t="inlineStr">
        <is>
          <t>MGC</t>
        </is>
      </c>
      <c r="E43" s="5" t="inlineStr">
        <is>
          <t>Short</t>
        </is>
      </c>
      <c r="F43" s="5" t="n">
        <v>4539.5</v>
      </c>
      <c r="G43" s="5" t="n">
        <v>4546.4</v>
      </c>
      <c r="H43" s="5" t="n">
        <v>3</v>
      </c>
      <c r="I43" s="5" t="n">
        <v>4545.5</v>
      </c>
      <c r="J43" s="5" t="n">
        <v>4537.6</v>
      </c>
      <c r="K43" s="8">
        <f>IF(AND(I43&lt;&gt;"",J43&lt;&gt;"",F43&lt;&gt;""), (J43-F43)/(F43-I43), "")</f>
        <v/>
      </c>
      <c r="L43" s="8">
        <f>IF(AND(F43&lt;&gt;"",G43&lt;&gt;"",I43&lt;&gt;""), (G43-F43)/(F43-I43), "")</f>
        <v/>
      </c>
      <c r="M43" s="5">
        <f>IF(N43&gt;0,"Win",IF(N43&lt;0,"Loss",""))</f>
        <v/>
      </c>
      <c r="N43" s="16">
        <f>IF(AND(F43&lt;&gt;"",G43&lt;&gt;"",H43&lt;&gt;"",D43&lt;&gt;""), IF(E43="Long", (G43-F43)*H43*VLOOKUP(D43,Multipliers!A:B,2,FALSE), (F43-G43)*H43*VLOOKUP(D43,Multipliers!A:B,2,FALSE)), "")</f>
        <v/>
      </c>
      <c r="O43" s="9">
        <f>IF(AND(N43&lt;&gt;"",F43&lt;&gt;"",H43&lt;&gt;"",D43&lt;&gt;""), N43/(F43*H43*VLOOKUP(D43,Multipliers!A:B,2,FALSE)), "")</f>
        <v/>
      </c>
      <c r="P43" s="5">
        <f>P42+N43</f>
        <v/>
      </c>
      <c r="Q43" s="5" t="inlineStr">
        <is>
          <t>Break and Retest</t>
        </is>
      </c>
      <c r="R43" s="5" t="inlineStr">
        <is>
          <t>Imported from Tradovate</t>
        </is>
      </c>
      <c r="S43" s="5" t="inlineStr">
        <is>
          <t>MGC</t>
        </is>
      </c>
      <c r="T43" s="5" t="n"/>
      <c r="U43" s="5" t="n"/>
      <c r="V43" s="5" t="n"/>
      <c r="W43" s="5" t="n"/>
      <c r="X43" s="5" t="n"/>
      <c r="Y43" s="5" t="n"/>
      <c r="Z43" s="5" t="n"/>
      <c r="AA43" s="5" t="n"/>
    </row>
    <row r="44" ht="15.75" customHeight="1">
      <c r="A44" s="5" t="n">
        <v>49</v>
      </c>
      <c r="B44" s="13" t="n">
        <v>46253</v>
      </c>
      <c r="C44" s="10" t="n">
        <v>0.6256597222222222</v>
      </c>
      <c r="D44" s="5" t="inlineStr">
        <is>
          <t>MNQ</t>
        </is>
      </c>
      <c r="E44" s="5" t="inlineStr">
        <is>
          <t>Short</t>
        </is>
      </c>
      <c r="F44" s="5" t="n">
        <v>29544.5</v>
      </c>
      <c r="G44" s="5" t="n">
        <v>29564.5</v>
      </c>
      <c r="H44" s="5" t="n">
        <v>3</v>
      </c>
      <c r="I44" s="5" t="n">
        <v>29564.5</v>
      </c>
      <c r="J44" s="5" t="n">
        <v>29540</v>
      </c>
      <c r="K44" s="8">
        <f>IF(AND(I44&lt;&gt;"",J44&lt;&gt;"",F44&lt;&gt;""), (J44-F44)/(F44-I44), "")</f>
        <v/>
      </c>
      <c r="L44" s="8">
        <f>IF(AND(F44&lt;&gt;"",G44&lt;&gt;"",I44&lt;&gt;""), (G44-F44)/(F44-I44), "")</f>
        <v/>
      </c>
      <c r="M44" s="5">
        <f>IF(N44&gt;0,"Win",IF(N44&lt;0,"Loss",""))</f>
        <v/>
      </c>
      <c r="N44" s="16">
        <f>IF(AND(F44&lt;&gt;"",G44&lt;&gt;"",H44&lt;&gt;"",D44&lt;&gt;""), IF(E44="Long", (G44-F44)*H44*VLOOKUP(D44,Multipliers!A:B,2,FALSE), (F44-G44)*H44*VLOOKUP(D44,Multipliers!A:B,2,FALSE)), "")</f>
        <v/>
      </c>
      <c r="O44" s="9">
        <f>IF(AND(N44&lt;&gt;"",F44&lt;&gt;"",H44&lt;&gt;"",D44&lt;&gt;""), N44/(F44*H44*VLOOKUP(D44,Multipliers!A:B,2,FALSE)), "")</f>
        <v/>
      </c>
      <c r="P44" s="5">
        <f>P43+N44</f>
        <v/>
      </c>
      <c r="Q44" s="5" t="inlineStr">
        <is>
          <t>Break and Retest</t>
        </is>
      </c>
      <c r="R44" s="5" t="inlineStr">
        <is>
          <t>Imported from Tradovate</t>
        </is>
      </c>
      <c r="S44" s="5" t="inlineStr">
        <is>
          <t>MNQ</t>
        </is>
      </c>
      <c r="T44" s="5" t="n"/>
      <c r="U44" s="5" t="n"/>
      <c r="V44" s="5" t="n"/>
      <c r="W44" s="5" t="n"/>
      <c r="X44" s="5" t="n"/>
      <c r="Y44" s="5" t="n"/>
      <c r="Z44" s="5" t="n"/>
      <c r="AA44" s="5" t="n"/>
    </row>
    <row r="45" ht="15.75" customHeight="1">
      <c r="A45" s="5" t="n">
        <v>50</v>
      </c>
      <c r="B45" s="13" t="n">
        <v>46254</v>
      </c>
      <c r="C45" s="10" t="n">
        <v>0.4109953703703704</v>
      </c>
      <c r="D45" s="5" t="inlineStr">
        <is>
          <t>MGC</t>
        </is>
      </c>
      <c r="E45" s="5" t="inlineStr">
        <is>
          <t>Long</t>
        </is>
      </c>
      <c r="F45" s="5" t="n">
        <v>4538.74</v>
      </c>
      <c r="G45" s="5" t="n">
        <v>4551.86</v>
      </c>
      <c r="H45" s="5" t="n">
        <v>5</v>
      </c>
      <c r="I45" s="5" t="n">
        <v>4530.8</v>
      </c>
      <c r="J45" s="5" t="n">
        <v>4555.5</v>
      </c>
      <c r="K45" s="8">
        <f>IF(AND(I45&lt;&gt;"",J45&lt;&gt;"",F45&lt;&gt;""), (J45-F45)/(F45-I45), "")</f>
        <v/>
      </c>
      <c r="L45" s="8">
        <f>IF(AND(F45&lt;&gt;"",G45&lt;&gt;"",I45&lt;&gt;""), (G45-F45)/(F45-I45), "")</f>
        <v/>
      </c>
      <c r="M45" s="5">
        <f>IF(N45&gt;0,"Win",IF(N45&lt;0,"Loss",""))</f>
        <v/>
      </c>
      <c r="N45" s="16">
        <f>IF(AND(F45&lt;&gt;"",G45&lt;&gt;"",H45&lt;&gt;"",D45&lt;&gt;""), IF(E45="Long", (G45-F45)*H45*VLOOKUP(D45,Multipliers!A:B,2,FALSE), (F45-G45)*H45*VLOOKUP(D45,Multipliers!A:B,2,FALSE)), "")</f>
        <v/>
      </c>
      <c r="O45" s="9">
        <f>IF(AND(N45&lt;&gt;"",F45&lt;&gt;"",H45&lt;&gt;"",D45&lt;&gt;""), N45/(F45*H45*VLOOKUP(D45,Multipliers!A:B,2,FALSE)), "")</f>
        <v/>
      </c>
      <c r="P45" s="5">
        <f>P44+N45</f>
        <v/>
      </c>
      <c r="Q45" s="5" t="inlineStr">
        <is>
          <t>Break and Retest</t>
        </is>
      </c>
      <c r="R45" s="5" t="inlineStr">
        <is>
          <t>Imported from Tradovate</t>
        </is>
      </c>
      <c r="S45" s="5" t="inlineStr">
        <is>
          <t>MGC</t>
        </is>
      </c>
      <c r="T45" s="5" t="n"/>
      <c r="U45" s="5" t="n"/>
      <c r="V45" s="5" t="n"/>
      <c r="W45" s="5" t="n"/>
      <c r="X45" s="5" t="n"/>
      <c r="Y45" s="5" t="n"/>
      <c r="Z45" s="5" t="n"/>
      <c r="AA45" s="5" t="n"/>
    </row>
    <row r="46" ht="15.75" customHeight="1">
      <c r="A46" s="5" t="n">
        <v>51</v>
      </c>
      <c r="B46" s="13" t="n">
        <v>46254</v>
      </c>
      <c r="C46" s="10" t="n">
        <v>0.420150462962963</v>
      </c>
      <c r="D46" s="5" t="inlineStr">
        <is>
          <t>MNQ</t>
        </is>
      </c>
      <c r="E46" s="5" t="inlineStr">
        <is>
          <t>Long</t>
        </is>
      </c>
      <c r="F46" s="5" t="n">
        <v>29329.5</v>
      </c>
      <c r="G46" s="5" t="n">
        <v>29323.25</v>
      </c>
      <c r="H46" s="5" t="n">
        <v>2</v>
      </c>
      <c r="I46" s="5" t="n">
        <v>29323.5</v>
      </c>
      <c r="J46" s="5" t="n">
        <v>29383.5</v>
      </c>
      <c r="K46" s="8">
        <f>IF(AND(I46&lt;&gt;"",J46&lt;&gt;"",F46&lt;&gt;""), (J46-F46)/(F46-I46), "")</f>
        <v/>
      </c>
      <c r="L46" s="8">
        <f>IF(AND(F46&lt;&gt;"",G46&lt;&gt;"",I46&lt;&gt;""), (G46-F46)/(F46-I46), "")</f>
        <v/>
      </c>
      <c r="M46" s="5">
        <f>IF(N46&gt;0,"Win",IF(N46&lt;0,"Loss",""))</f>
        <v/>
      </c>
      <c r="N46" s="16">
        <f>IF(AND(F46&lt;&gt;"",G46&lt;&gt;"",H46&lt;&gt;"",D46&lt;&gt;""), IF(E46="Long", (G46-F46)*H46*VLOOKUP(D46,Multipliers!A:B,2,FALSE), (F46-G46)*H46*VLOOKUP(D46,Multipliers!A:B,2,FALSE)), "")</f>
        <v/>
      </c>
      <c r="O46" s="9">
        <f>IF(AND(N46&lt;&gt;"",F46&lt;&gt;"",H46&lt;&gt;"",D46&lt;&gt;""), N46/(F46*H46*VLOOKUP(D46,Multipliers!A:B,2,FALSE)), "")</f>
        <v/>
      </c>
      <c r="P46" s="5">
        <f>P45+N46</f>
        <v/>
      </c>
      <c r="Q46" s="5" t="inlineStr">
        <is>
          <t>Break and Retest</t>
        </is>
      </c>
      <c r="R46" s="5" t="inlineStr">
        <is>
          <t>Imported from Tradovate</t>
        </is>
      </c>
      <c r="S46" s="5" t="inlineStr">
        <is>
          <t>MNQ</t>
        </is>
      </c>
      <c r="T46" s="5" t="n"/>
      <c r="U46" s="5" t="n"/>
      <c r="V46" s="5" t="n"/>
      <c r="W46" s="5" t="n"/>
      <c r="X46" s="5" t="n"/>
      <c r="Y46" s="5" t="n"/>
      <c r="Z46" s="5" t="n"/>
      <c r="AA46" s="5" t="n"/>
    </row>
    <row r="47" ht="15.75" customHeight="1">
      <c r="A47" s="5" t="n">
        <v>52</v>
      </c>
      <c r="B47" s="13" t="n">
        <v>46255</v>
      </c>
      <c r="C47" s="10" t="n">
        <v>0.411412037037037</v>
      </c>
      <c r="D47" s="5" t="inlineStr">
        <is>
          <t>MGC</t>
        </is>
      </c>
      <c r="E47" s="5" t="inlineStr">
        <is>
          <t>Long</t>
        </is>
      </c>
      <c r="F47" s="5" t="n">
        <v>4638.6</v>
      </c>
      <c r="G47" s="5" t="n">
        <v>4656.666667</v>
      </c>
      <c r="H47" s="5" t="n">
        <v>3</v>
      </c>
      <c r="I47" s="5" t="n">
        <v>4632</v>
      </c>
      <c r="J47" s="5" t="n">
        <v>4660</v>
      </c>
      <c r="K47" s="8">
        <f>IF(AND(I47&lt;&gt;"",J47&lt;&gt;"",F47&lt;&gt;""), (J47-F47)/(F47-I47), "")</f>
        <v/>
      </c>
      <c r="L47" s="8">
        <f>IF(AND(F47&lt;&gt;"",G47&lt;&gt;"",I47&lt;&gt;""), (G47-F47)/(F47-I47), "")</f>
        <v/>
      </c>
      <c r="M47" s="5">
        <f>IF(N47&gt;0,"Win",IF(N47&lt;0,"Loss",""))</f>
        <v/>
      </c>
      <c r="N47" s="16">
        <f>IF(AND(F47&lt;&gt;"",G47&lt;&gt;"",H47&lt;&gt;"",D47&lt;&gt;""), IF(E47="Long", (G47-F47)*H47*VLOOKUP(D47,Multipliers!A:B,2,FALSE), (F47-G47)*H47*VLOOKUP(D47,Multipliers!A:B,2,FALSE)), "")</f>
        <v/>
      </c>
      <c r="O47" s="9">
        <f>IF(AND(N47&lt;&gt;"",F47&lt;&gt;"",H47&lt;&gt;"",D47&lt;&gt;""), N47/(F47*H47*VLOOKUP(D47,Multipliers!A:B,2,FALSE)), "")</f>
        <v/>
      </c>
      <c r="P47" s="5">
        <f>P46+N47</f>
        <v/>
      </c>
      <c r="Q47" s="5" t="inlineStr">
        <is>
          <t>Break and Retest</t>
        </is>
      </c>
      <c r="R47" s="5" t="inlineStr">
        <is>
          <t>Imported from Tradovate</t>
        </is>
      </c>
      <c r="S47" s="5" t="inlineStr">
        <is>
          <t>MGC</t>
        </is>
      </c>
      <c r="T47" s="5" t="n"/>
      <c r="U47" s="5" t="n"/>
      <c r="V47" s="5" t="n"/>
      <c r="W47" s="5" t="n"/>
      <c r="X47" s="5" t="n"/>
      <c r="Y47" s="5" t="n"/>
      <c r="Z47" s="5" t="n"/>
      <c r="AA47" s="5" t="n"/>
    </row>
    <row r="48" ht="15.75" customHeight="1">
      <c r="A48" s="5" t="n">
        <v>53</v>
      </c>
      <c r="B48" s="13" t="n">
        <v>46257</v>
      </c>
      <c r="C48" s="10" t="n">
        <v>0.8163078703703703</v>
      </c>
      <c r="D48" s="5" t="inlineStr">
        <is>
          <t>MGC</t>
        </is>
      </c>
      <c r="E48" s="5" t="inlineStr">
        <is>
          <t>Long</t>
        </is>
      </c>
      <c r="F48" s="5" t="n">
        <v>4640.8</v>
      </c>
      <c r="G48" s="5" t="n">
        <v>4634.6</v>
      </c>
      <c r="H48" s="5" t="n">
        <v>1</v>
      </c>
      <c r="I48" s="5" t="n">
        <v>4634.8</v>
      </c>
      <c r="J48" s="5" t="n">
        <v>4652.8</v>
      </c>
      <c r="K48" s="8">
        <f>IF(AND(I48&lt;&gt;"",J48&lt;&gt;"",F48&lt;&gt;""), (J48-F48)/(F48-I48), "")</f>
        <v/>
      </c>
      <c r="L48" s="8">
        <f>IF(AND(F48&lt;&gt;"",G48&lt;&gt;"",I48&lt;&gt;""), (G48-F48)/(F48-I48), "")</f>
        <v/>
      </c>
      <c r="M48" s="5">
        <f>IF(N48&gt;0,"Win",IF(N48&lt;0,"Loss",""))</f>
        <v/>
      </c>
      <c r="N48" s="16">
        <f>IF(AND(F48&lt;&gt;"",G48&lt;&gt;"",H48&lt;&gt;"",D48&lt;&gt;""), IF(E48="Long", (G48-F48)*H48*VLOOKUP(D48,Multipliers!A:B,2,FALSE), (F48-G48)*H48*VLOOKUP(D48,Multipliers!A:B,2,FALSE)), "")</f>
        <v/>
      </c>
      <c r="O48" s="9">
        <f>IF(AND(N48&lt;&gt;"",F48&lt;&gt;"",H48&lt;&gt;"",D48&lt;&gt;""), N48/(F48*H48*VLOOKUP(D48,Multipliers!A:B,2,FALSE)), "")</f>
        <v/>
      </c>
      <c r="P48" s="5">
        <f>P47+N48</f>
        <v/>
      </c>
      <c r="Q48" s="5" t="inlineStr">
        <is>
          <t>Break and Retest</t>
        </is>
      </c>
      <c r="R48" s="5" t="inlineStr">
        <is>
          <t>Imported from Tradovate</t>
        </is>
      </c>
      <c r="S48" s="5" t="inlineStr">
        <is>
          <t>MGC</t>
        </is>
      </c>
      <c r="T48" s="5" t="n"/>
      <c r="U48" s="5" t="n"/>
      <c r="V48" s="5" t="n"/>
      <c r="W48" s="5" t="n"/>
      <c r="X48" s="5" t="n"/>
      <c r="Y48" s="5" t="n"/>
      <c r="Z48" s="5" t="n"/>
      <c r="AA48" s="5" t="n"/>
    </row>
    <row r="49" ht="15.75" customHeight="1">
      <c r="A49" s="5" t="n">
        <v>54</v>
      </c>
      <c r="B49" s="13" t="n">
        <v>46257</v>
      </c>
      <c r="C49" s="10" t="n">
        <v>0.8239236111111111</v>
      </c>
      <c r="D49" s="5" t="inlineStr">
        <is>
          <t>MGC</t>
        </is>
      </c>
      <c r="E49" s="5" t="inlineStr">
        <is>
          <t>Long</t>
        </is>
      </c>
      <c r="F49" s="5" t="n">
        <v>4631.1</v>
      </c>
      <c r="G49" s="5" t="n">
        <v>4643.1</v>
      </c>
      <c r="H49" s="5" t="n">
        <v>1</v>
      </c>
      <c r="I49" s="5" t="n">
        <v>4625.1</v>
      </c>
      <c r="J49" s="5" t="n">
        <v>4643.1</v>
      </c>
      <c r="K49" s="8">
        <f>IF(AND(I49&lt;&gt;"",J49&lt;&gt;"",F49&lt;&gt;""), (J49-F49)/(F49-I49), "")</f>
        <v/>
      </c>
      <c r="L49" s="8">
        <f>IF(AND(F49&lt;&gt;"",G49&lt;&gt;"",I49&lt;&gt;""), (G49-F49)/(F49-I49), "")</f>
        <v/>
      </c>
      <c r="M49" s="5">
        <f>IF(N49&gt;0,"Win",IF(N49&lt;0,"Loss",""))</f>
        <v/>
      </c>
      <c r="N49" s="16">
        <f>IF(AND(F49&lt;&gt;"",G49&lt;&gt;"",H49&lt;&gt;"",D49&lt;&gt;""), IF(E49="Long", (G49-F49)*H49*VLOOKUP(D49,Multipliers!A:B,2,FALSE), (F49-G49)*H49*VLOOKUP(D49,Multipliers!A:B,2,FALSE)), "")</f>
        <v/>
      </c>
      <c r="O49" s="9">
        <f>IF(AND(N49&lt;&gt;"",F49&lt;&gt;"",H49&lt;&gt;"",D49&lt;&gt;""), N49/(F49*H49*VLOOKUP(D49,Multipliers!A:B,2,FALSE)), "")</f>
        <v/>
      </c>
      <c r="P49" s="5">
        <f>P48+N49</f>
        <v/>
      </c>
      <c r="Q49" s="5" t="inlineStr">
        <is>
          <t>Break and Retest</t>
        </is>
      </c>
      <c r="R49" s="5" t="inlineStr">
        <is>
          <t>Imported from Tradovate</t>
        </is>
      </c>
      <c r="S49" s="5" t="inlineStr">
        <is>
          <t>MGC</t>
        </is>
      </c>
      <c r="T49" s="5" t="n"/>
      <c r="U49" s="5" t="n"/>
      <c r="V49" s="5" t="inlineStr">
        <is>
          <t>Revenge trade</t>
        </is>
      </c>
      <c r="W49" s="5" t="n"/>
      <c r="X49" s="5" t="n"/>
      <c r="Y49" s="5" t="n"/>
      <c r="Z49" s="5" t="n"/>
      <c r="AA49" s="5" t="n"/>
    </row>
    <row r="50" ht="15.75" customHeight="1">
      <c r="A50" s="5" t="n">
        <v>55</v>
      </c>
      <c r="B50" s="13" t="n">
        <v>46257</v>
      </c>
      <c r="C50" s="10" t="n">
        <v>0.8499305555555555</v>
      </c>
      <c r="D50" s="5" t="inlineStr">
        <is>
          <t>MGC</t>
        </is>
      </c>
      <c r="E50" s="5" t="inlineStr">
        <is>
          <t>Long</t>
        </is>
      </c>
      <c r="F50" s="5" t="n">
        <v>4642.3</v>
      </c>
      <c r="G50" s="5" t="n">
        <v>4636.2</v>
      </c>
      <c r="H50" s="5" t="n">
        <v>1</v>
      </c>
      <c r="I50" s="5" t="n">
        <v>4636.3</v>
      </c>
      <c r="J50" s="5" t="n">
        <v>4654.3</v>
      </c>
      <c r="K50" s="8">
        <f>IF(AND(I50&lt;&gt;"",J50&lt;&gt;"",F50&lt;&gt;""), (J50-F50)/(F50-I50), "")</f>
        <v/>
      </c>
      <c r="L50" s="8">
        <f>IF(AND(F50&lt;&gt;"",G50&lt;&gt;"",I50&lt;&gt;""), (G50-F50)/(F50-I50), "")</f>
        <v/>
      </c>
      <c r="M50" s="5">
        <f>IF(N50&gt;0,"Win",IF(N50&lt;0,"Loss",""))</f>
        <v/>
      </c>
      <c r="N50" s="16">
        <f>IF(AND(F50&lt;&gt;"",G50&lt;&gt;"",H50&lt;&gt;"",D50&lt;&gt;""), IF(E50="Long", (G50-F50)*H50*VLOOKUP(D50,Multipliers!A:B,2,FALSE), (F50-G50)*H50*VLOOKUP(D50,Multipliers!A:B,2,FALSE)), "")</f>
        <v/>
      </c>
      <c r="O50" s="9">
        <f>IF(AND(N50&lt;&gt;"",F50&lt;&gt;"",H50&lt;&gt;"",D50&lt;&gt;""), N50/(F50*H50*VLOOKUP(D50,Multipliers!A:B,2,FALSE)), "")</f>
        <v/>
      </c>
      <c r="P50" s="5">
        <f>P49+N50</f>
        <v/>
      </c>
      <c r="Q50" s="5" t="inlineStr">
        <is>
          <t>Break and Retest</t>
        </is>
      </c>
      <c r="R50" s="5" t="inlineStr">
        <is>
          <t>Imported from Tradovate</t>
        </is>
      </c>
      <c r="S50" s="5" t="inlineStr">
        <is>
          <t>MGC</t>
        </is>
      </c>
      <c r="T50" s="5" t="n"/>
      <c r="U50" s="5" t="n"/>
      <c r="V50" s="5" t="n"/>
      <c r="W50" s="5" t="n"/>
      <c r="X50" s="5" t="n"/>
      <c r="Y50" s="5" t="n"/>
      <c r="Z50" s="5" t="n"/>
      <c r="AA50" s="5" t="n"/>
    </row>
    <row r="51" ht="15.75" customHeight="1">
      <c r="A51" s="5" t="n">
        <v>56</v>
      </c>
      <c r="B51" s="13" t="n">
        <v>46257</v>
      </c>
      <c r="C51" s="10" t="n">
        <v>0.8532175925925926</v>
      </c>
      <c r="D51" s="5" t="inlineStr">
        <is>
          <t>MGC</t>
        </is>
      </c>
      <c r="E51" s="5" t="inlineStr">
        <is>
          <t>Long</t>
        </is>
      </c>
      <c r="F51" s="5" t="n">
        <v>4630.1</v>
      </c>
      <c r="G51" s="5" t="n">
        <v>4641.55</v>
      </c>
      <c r="H51" s="5" t="n">
        <v>2</v>
      </c>
      <c r="I51" s="5" t="n">
        <v>4620.8</v>
      </c>
      <c r="J51" s="5" t="n">
        <v>4643.1</v>
      </c>
      <c r="K51" s="8">
        <f>IF(AND(I51&lt;&gt;"",J51&lt;&gt;"",F51&lt;&gt;""), (J51-F51)/(F51-I51), "")</f>
        <v/>
      </c>
      <c r="L51" s="8">
        <f>IF(AND(F51&lt;&gt;"",G51&lt;&gt;"",I51&lt;&gt;""), (G51-F51)/(F51-I51), "")</f>
        <v/>
      </c>
      <c r="M51" s="5">
        <f>IF(N51&gt;0,"Win",IF(N51&lt;0,"Loss",""))</f>
        <v/>
      </c>
      <c r="N51" s="16">
        <f>IF(AND(F51&lt;&gt;"",G51&lt;&gt;"",H51&lt;&gt;"",D51&lt;&gt;""), IF(E51="Long", (G51-F51)*H51*VLOOKUP(D51,Multipliers!A:B,2,FALSE), (F51-G51)*H51*VLOOKUP(D51,Multipliers!A:B,2,FALSE)), "")</f>
        <v/>
      </c>
      <c r="O51" s="9">
        <f>IF(AND(N51&lt;&gt;"",F51&lt;&gt;"",H51&lt;&gt;"",D51&lt;&gt;""), N51/(F51*H51*VLOOKUP(D51,Multipliers!A:B,2,FALSE)), "")</f>
        <v/>
      </c>
      <c r="P51" s="5">
        <f>P50+N51</f>
        <v/>
      </c>
      <c r="Q51" s="5" t="inlineStr">
        <is>
          <t>Break and Retest</t>
        </is>
      </c>
      <c r="R51" s="5" t="inlineStr">
        <is>
          <t>Imported from Tradovate</t>
        </is>
      </c>
      <c r="S51" s="5" t="inlineStr">
        <is>
          <t>MGC</t>
        </is>
      </c>
      <c r="T51" s="5" t="n"/>
      <c r="U51" s="5" t="n"/>
      <c r="V51" s="5" t="inlineStr">
        <is>
          <t>Revenge trade</t>
        </is>
      </c>
      <c r="W51" s="5" t="n"/>
      <c r="X51" s="5" t="n"/>
      <c r="Y51" s="5" t="n"/>
      <c r="Z51" s="5" t="n"/>
      <c r="AA51" s="5" t="n"/>
    </row>
    <row r="52" ht="15.75" customHeight="1">
      <c r="A52" s="5" t="n">
        <v>57</v>
      </c>
      <c r="B52" s="13" t="n">
        <v>46257</v>
      </c>
      <c r="C52" s="10" t="n">
        <v>0.9566550925925926</v>
      </c>
      <c r="D52" s="5" t="inlineStr">
        <is>
          <t>MGC</t>
        </is>
      </c>
      <c r="E52" s="5" t="inlineStr">
        <is>
          <t>Long</t>
        </is>
      </c>
      <c r="F52" s="5" t="n">
        <v>4663.7</v>
      </c>
      <c r="G52" s="5" t="n">
        <v>4657.4</v>
      </c>
      <c r="H52" s="5" t="n">
        <v>1</v>
      </c>
      <c r="I52" s="5" t="n">
        <v>4657.7</v>
      </c>
      <c r="J52" s="5" t="n">
        <v>4675.7</v>
      </c>
      <c r="K52" s="8">
        <f>IF(AND(I52&lt;&gt;"",J52&lt;&gt;"",F52&lt;&gt;""), (J52-F52)/(F52-I52), "")</f>
        <v/>
      </c>
      <c r="L52" s="8">
        <f>IF(AND(F52&lt;&gt;"",G52&lt;&gt;"",I52&lt;&gt;""), (G52-F52)/(F52-I52), "")</f>
        <v/>
      </c>
      <c r="M52" s="5">
        <f>IF(N52&gt;0,"Win",IF(N52&lt;0,"Loss",""))</f>
        <v/>
      </c>
      <c r="N52" s="16">
        <f>IF(AND(F52&lt;&gt;"",G52&lt;&gt;"",H52&lt;&gt;"",D52&lt;&gt;""), IF(E52="Long", (G52-F52)*H52*VLOOKUP(D52,Multipliers!A:B,2,FALSE), (F52-G52)*H52*VLOOKUP(D52,Multipliers!A:B,2,FALSE)), "")</f>
        <v/>
      </c>
      <c r="O52" s="9">
        <f>IF(AND(N52&lt;&gt;"",F52&lt;&gt;"",H52&lt;&gt;"",D52&lt;&gt;""), N52/(F52*H52*VLOOKUP(D52,Multipliers!A:B,2,FALSE)), "")</f>
        <v/>
      </c>
      <c r="P52" s="5">
        <f>P51+N52</f>
        <v/>
      </c>
      <c r="Q52" s="5" t="inlineStr">
        <is>
          <t>Break and Retest</t>
        </is>
      </c>
      <c r="R52" s="5" t="inlineStr">
        <is>
          <t>Imported from Tradovate</t>
        </is>
      </c>
      <c r="S52" s="5" t="inlineStr">
        <is>
          <t>MGC</t>
        </is>
      </c>
      <c r="T52" s="5" t="n"/>
      <c r="U52" s="5" t="n"/>
      <c r="V52" s="5" t="n"/>
      <c r="W52" s="5" t="n"/>
      <c r="X52" s="5" t="n"/>
      <c r="Y52" s="5" t="n"/>
      <c r="Z52" s="5" t="n"/>
      <c r="AA52" s="5" t="n"/>
    </row>
    <row r="53" ht="15.75" customHeight="1">
      <c r="A53" s="5" t="n">
        <v>58</v>
      </c>
      <c r="B53" s="13" t="n">
        <v>46258</v>
      </c>
      <c r="C53" s="10" t="n">
        <v>0.01273148148148148</v>
      </c>
      <c r="D53" s="5" t="inlineStr">
        <is>
          <t>MGC</t>
        </is>
      </c>
      <c r="E53" s="5" t="inlineStr">
        <is>
          <t>Long</t>
        </is>
      </c>
      <c r="F53" s="5" t="n">
        <v>4695.333333</v>
      </c>
      <c r="G53" s="5" t="n">
        <v>4695.866667</v>
      </c>
      <c r="H53" s="5" t="n">
        <v>3</v>
      </c>
      <c r="I53" s="5" t="n">
        <v>4688.5</v>
      </c>
      <c r="J53" s="5" t="n">
        <v>4696.2</v>
      </c>
      <c r="K53" s="8">
        <f>IF(AND(I53&lt;&gt;"",J53&lt;&gt;"",F53&lt;&gt;""), (J53-F53)/(F53-I53), "")</f>
        <v/>
      </c>
      <c r="L53" s="8">
        <f>IF(AND(F53&lt;&gt;"",G53&lt;&gt;"",I53&lt;&gt;""), (G53-F53)/(F53-I53), "")</f>
        <v/>
      </c>
      <c r="M53" s="5">
        <f>IF(N53&gt;0,"Win",IF(N53&lt;0,"Loss",""))</f>
        <v/>
      </c>
      <c r="N53" s="16">
        <f>IF(AND(F53&lt;&gt;"",G53&lt;&gt;"",H53&lt;&gt;"",D53&lt;&gt;""), IF(E53="Long", (G53-F53)*H53*VLOOKUP(D53,Multipliers!A:B,2,FALSE), (F53-G53)*H53*VLOOKUP(D53,Multipliers!A:B,2,FALSE)), "")</f>
        <v/>
      </c>
      <c r="O53" s="9">
        <f>IF(AND(N53&lt;&gt;"",F53&lt;&gt;"",H53&lt;&gt;"",D53&lt;&gt;""), N53/(F53*H53*VLOOKUP(D53,Multipliers!A:B,2,FALSE)), "")</f>
        <v/>
      </c>
      <c r="P53" s="5">
        <f>P52+N53</f>
        <v/>
      </c>
      <c r="Q53" s="5" t="inlineStr">
        <is>
          <t>Break and Retest</t>
        </is>
      </c>
      <c r="R53" s="5" t="inlineStr">
        <is>
          <t>Imported from Tradovate</t>
        </is>
      </c>
      <c r="S53" s="5" t="inlineStr">
        <is>
          <t>MGC</t>
        </is>
      </c>
      <c r="T53" s="5" t="n"/>
      <c r="U53" s="5" t="n"/>
      <c r="V53" s="5" t="n"/>
      <c r="W53" s="5" t="n"/>
      <c r="X53" s="5" t="n"/>
      <c r="Y53" s="5" t="n"/>
      <c r="Z53" s="5" t="n"/>
      <c r="AA53" s="5" t="n"/>
    </row>
    <row r="54" ht="15.75" customHeight="1">
      <c r="A54" s="5" t="n">
        <v>59</v>
      </c>
      <c r="B54" s="13" t="n">
        <v>46258</v>
      </c>
      <c r="C54" s="10" t="n">
        <v>0.402349537037037</v>
      </c>
      <c r="D54" s="5" t="inlineStr">
        <is>
          <t>MGC</t>
        </is>
      </c>
      <c r="E54" s="5" t="inlineStr">
        <is>
          <t>Long</t>
        </is>
      </c>
      <c r="F54" s="5" t="n">
        <v>4725.3</v>
      </c>
      <c r="G54" s="5" t="n">
        <v>4719.3</v>
      </c>
      <c r="H54" s="5" t="n">
        <v>2</v>
      </c>
      <c r="I54" s="5" t="n">
        <v>4719.3</v>
      </c>
      <c r="J54" s="5" t="n">
        <v>4742.7</v>
      </c>
      <c r="K54" s="8">
        <f>IF(AND(I54&lt;&gt;"",J54&lt;&gt;"",F54&lt;&gt;""), (J54-F54)/(F54-I54), "")</f>
        <v/>
      </c>
      <c r="L54" s="8">
        <f>IF(AND(F54&lt;&gt;"",G54&lt;&gt;"",I54&lt;&gt;""), (G54-F54)/(F54-I54), "")</f>
        <v/>
      </c>
      <c r="M54" s="5">
        <f>IF(N54&gt;0,"Win",IF(N54&lt;0,"Loss",""))</f>
        <v/>
      </c>
      <c r="N54" s="16">
        <f>IF(AND(F54&lt;&gt;"",G54&lt;&gt;"",H54&lt;&gt;"",D54&lt;&gt;""), IF(E54="Long", (G54-F54)*H54*VLOOKUP(D54,Multipliers!A:B,2,FALSE), (F54-G54)*H54*VLOOKUP(D54,Multipliers!A:B,2,FALSE)), "")</f>
        <v/>
      </c>
      <c r="O54" s="9">
        <f>IF(AND(N54&lt;&gt;"",F54&lt;&gt;"",H54&lt;&gt;"",D54&lt;&gt;""), N54/(F54*H54*VLOOKUP(D54,Multipliers!A:B,2,FALSE)), "")</f>
        <v/>
      </c>
      <c r="P54" s="5">
        <f>P53+N54</f>
        <v/>
      </c>
      <c r="Q54" s="5" t="inlineStr">
        <is>
          <t>Break and Retest</t>
        </is>
      </c>
      <c r="R54" s="5" t="inlineStr">
        <is>
          <t>Imported from Tradovate</t>
        </is>
      </c>
      <c r="S54" s="5" t="inlineStr">
        <is>
          <t>MGC</t>
        </is>
      </c>
      <c r="T54" s="5" t="n"/>
      <c r="U54" s="5" t="n"/>
      <c r="V54" s="5" t="inlineStr">
        <is>
          <t>Revenge trade</t>
        </is>
      </c>
      <c r="W54" s="5" t="inlineStr">
        <is>
          <t>FOMO, Ranging, Outside session</t>
        </is>
      </c>
      <c r="X54" s="5" t="n"/>
      <c r="Y54" s="5" t="n"/>
      <c r="Z54" s="5" t="n"/>
      <c r="AA54" s="5" t="n"/>
    </row>
    <row r="55" ht="15.75" customHeight="1">
      <c r="A55" s="5" t="n">
        <v>60</v>
      </c>
      <c r="B55" s="13" t="n">
        <v>46258</v>
      </c>
      <c r="C55" s="10" t="n">
        <v>0.4570601851851852</v>
      </c>
      <c r="D55" s="5" t="inlineStr">
        <is>
          <t>MNQ</t>
        </is>
      </c>
      <c r="E55" s="5" t="inlineStr">
        <is>
          <t>Long</t>
        </is>
      </c>
      <c r="F55" s="5" t="n">
        <v>29081.5</v>
      </c>
      <c r="G55" s="5" t="n">
        <v>29063.75</v>
      </c>
      <c r="H55" s="5" t="n">
        <v>3</v>
      </c>
      <c r="I55" s="5" t="n">
        <v>29063.75</v>
      </c>
      <c r="J55" s="5" t="n">
        <v>29085.25</v>
      </c>
      <c r="K55" s="8">
        <f>IF(AND(I55&lt;&gt;"",J55&lt;&gt;"",F55&lt;&gt;""), (J55-F55)/(F55-I55), "")</f>
        <v/>
      </c>
      <c r="L55" s="8">
        <f>IF(AND(F55&lt;&gt;"",G55&lt;&gt;"",I55&lt;&gt;""), (G55-F55)/(F55-I55), "")</f>
        <v/>
      </c>
      <c r="M55" s="5">
        <f>IF(N55&gt;0,"Win",IF(N55&lt;0,"Loss",""))</f>
        <v/>
      </c>
      <c r="N55" s="16">
        <f>IF(AND(F55&lt;&gt;"",G55&lt;&gt;"",H55&lt;&gt;"",D55&lt;&gt;""), IF(E55="Long", (G55-F55)*H55*VLOOKUP(D55,Multipliers!A:B,2,FALSE), (F55-G55)*H55*VLOOKUP(D55,Multipliers!A:B,2,FALSE)), "")</f>
        <v/>
      </c>
      <c r="O55" s="9">
        <f>IF(AND(N55&lt;&gt;"",F55&lt;&gt;"",H55&lt;&gt;"",D55&lt;&gt;""), N55/(F55*H55*VLOOKUP(D55,Multipliers!A:B,2,FALSE)), "")</f>
        <v/>
      </c>
      <c r="P55" s="5">
        <f>P54+N55</f>
        <v/>
      </c>
      <c r="Q55" s="5" t="inlineStr">
        <is>
          <t>Break and Retest</t>
        </is>
      </c>
      <c r="R55" s="5" t="inlineStr">
        <is>
          <t>Imported from Tradovate</t>
        </is>
      </c>
      <c r="S55" s="5" t="inlineStr">
        <is>
          <t>MNQ</t>
        </is>
      </c>
      <c r="T55" s="5" t="n"/>
      <c r="U55" s="5" t="n"/>
      <c r="V55" s="5" t="n"/>
      <c r="W55" s="5" t="n"/>
      <c r="X55" s="5" t="n"/>
      <c r="Y55" s="5" t="n"/>
      <c r="Z55" s="5" t="n"/>
      <c r="AA55" s="5" t="n"/>
    </row>
    <row r="56" ht="15.75" customHeight="1">
      <c r="A56" s="5" t="n">
        <v>61</v>
      </c>
      <c r="B56" s="13" t="n">
        <v>46258</v>
      </c>
      <c r="C56" s="10" t="n">
        <v>0.4674074074074074</v>
      </c>
      <c r="D56" s="5" t="inlineStr">
        <is>
          <t>MNQ</t>
        </is>
      </c>
      <c r="E56" s="5" t="inlineStr">
        <is>
          <t>Short</t>
        </is>
      </c>
      <c r="F56" s="5" t="n">
        <v>29068.75</v>
      </c>
      <c r="G56" s="5" t="n">
        <v>29092.75</v>
      </c>
      <c r="H56" s="5" t="n">
        <v>5</v>
      </c>
      <c r="I56" s="5" t="n">
        <v>29101.5</v>
      </c>
      <c r="J56" s="5" t="n">
        <v>29044.25</v>
      </c>
      <c r="K56" s="8">
        <f>IF(AND(I56&lt;&gt;"",J56&lt;&gt;"",F56&lt;&gt;""), (J56-F56)/(F56-I56), "")</f>
        <v/>
      </c>
      <c r="L56" s="8">
        <f>IF(AND(F56&lt;&gt;"",G56&lt;&gt;"",I56&lt;&gt;""), (G56-F56)/(F56-I56), "")</f>
        <v/>
      </c>
      <c r="M56" s="5">
        <f>IF(N56&gt;0,"Win",IF(N56&lt;0,"Loss",""))</f>
        <v/>
      </c>
      <c r="N56" s="16">
        <f>IF(AND(F56&lt;&gt;"",G56&lt;&gt;"",H56&lt;&gt;"",D56&lt;&gt;""), IF(E56="Long", (G56-F56)*H56*VLOOKUP(D56,Multipliers!A:B,2,FALSE), (F56-G56)*H56*VLOOKUP(D56,Multipliers!A:B,2,FALSE)), "")</f>
        <v/>
      </c>
      <c r="O56" s="9">
        <f>IF(AND(N56&lt;&gt;"",F56&lt;&gt;"",H56&lt;&gt;"",D56&lt;&gt;""), N56/(F56*H56*VLOOKUP(D56,Multipliers!A:B,2,FALSE)), "")</f>
        <v/>
      </c>
      <c r="P56" s="5">
        <f>P55+N56</f>
        <v/>
      </c>
      <c r="Q56" s="5" t="inlineStr">
        <is>
          <t>Break and Retest</t>
        </is>
      </c>
      <c r="R56" s="5" t="inlineStr">
        <is>
          <t>Imported from Tradovate</t>
        </is>
      </c>
      <c r="S56" s="5" t="inlineStr">
        <is>
          <t>MNQ</t>
        </is>
      </c>
      <c r="T56" s="5" t="n"/>
      <c r="U56" s="5" t="inlineStr"/>
      <c r="V56" s="5" t="inlineStr">
        <is>
          <t>Revenge trade</t>
        </is>
      </c>
      <c r="W56" s="5" t="inlineStr"/>
      <c r="X56" s="5" t="inlineStr">
        <is>
          <t>Trending up</t>
        </is>
      </c>
      <c r="Y56" s="5" t="inlineStr"/>
      <c r="Z56" s="5" t="inlineStr"/>
      <c r="AA56" s="5" t="inlineStr"/>
    </row>
    <row r="57" ht="15.75" customHeight="1">
      <c r="A57" s="5" t="n">
        <v>62</v>
      </c>
      <c r="B57" s="13" t="n">
        <v>46259</v>
      </c>
      <c r="C57" s="10" t="n">
        <v>0.4101388888888889</v>
      </c>
      <c r="D57" s="5" t="inlineStr">
        <is>
          <t>MGC</t>
        </is>
      </c>
      <c r="E57" s="5" t="inlineStr">
        <is>
          <t>Short</t>
        </is>
      </c>
      <c r="F57" s="5" t="n">
        <v>4664</v>
      </c>
      <c r="G57" s="5" t="n">
        <v>4671.5</v>
      </c>
      <c r="H57" s="5" t="n">
        <v>3</v>
      </c>
      <c r="I57" s="5" t="n">
        <v>4671.3</v>
      </c>
      <c r="J57" s="5" t="n">
        <v>4652</v>
      </c>
      <c r="K57" s="8">
        <f>IF(AND(I57&lt;&gt;"",J57&lt;&gt;"",F57&lt;&gt;""), (J57-F57)/(F57-I57), "")</f>
        <v/>
      </c>
      <c r="L57" s="8">
        <f>IF(AND(F57&lt;&gt;"",G57&lt;&gt;"",I57&lt;&gt;""), (G57-F57)/(F57-I57), "")</f>
        <v/>
      </c>
      <c r="M57" s="5">
        <f>IF(N57&gt;0,"Win",IF(N57&lt;0,"Loss",""))</f>
        <v/>
      </c>
      <c r="N57" s="16">
        <f>IF(AND(F57&lt;&gt;"",G57&lt;&gt;"",H57&lt;&gt;"",D57&lt;&gt;""), IF(E57="Long", (G57-F57)*H57*VLOOKUP(D57,Multipliers!A:B,2,FALSE), (F57-G57)*H57*VLOOKUP(D57,Multipliers!A:B,2,FALSE)), "")</f>
        <v/>
      </c>
      <c r="O57" s="9">
        <f>IF(AND(N57&lt;&gt;"",F57&lt;&gt;"",H57&lt;&gt;"",D57&lt;&gt;""), N57/(F57*H57*VLOOKUP(D57,Multipliers!A:B,2,FALSE)), "")</f>
        <v/>
      </c>
      <c r="P57" s="5">
        <f>P56+N57</f>
        <v/>
      </c>
      <c r="Q57" s="5" t="inlineStr">
        <is>
          <t>Break and Retest, Rejection</t>
        </is>
      </c>
      <c r="R57" s="5" t="inlineStr">
        <is>
          <t>Imported from Tradovate</t>
        </is>
      </c>
      <c r="S57" s="5" t="inlineStr">
        <is>
          <t>MGC</t>
        </is>
      </c>
      <c r="T57" s="5" t="n"/>
      <c r="U57" s="5" t="inlineStr"/>
      <c r="V57" s="5" t="inlineStr"/>
      <c r="W57" s="5" t="inlineStr"/>
      <c r="X57" s="5" t="inlineStr"/>
      <c r="Y57" s="5" t="inlineStr"/>
      <c r="Z57" s="5" t="inlineStr"/>
      <c r="AA57" s="5" t="inlineStr"/>
    </row>
    <row r="58" ht="15.75" customHeight="1">
      <c r="A58" s="5" t="n">
        <v>63</v>
      </c>
      <c r="B58" s="13" t="n">
        <v>46259</v>
      </c>
      <c r="C58" s="10" t="n">
        <v>0.4322453703703704</v>
      </c>
      <c r="D58" s="5" t="inlineStr">
        <is>
          <t>MNQ</t>
        </is>
      </c>
      <c r="E58" s="5" t="inlineStr">
        <is>
          <t>Long</t>
        </is>
      </c>
      <c r="F58" s="5" t="n">
        <v>29238.75</v>
      </c>
      <c r="G58" s="5" t="n">
        <v>29229.75</v>
      </c>
      <c r="H58" s="5" t="n">
        <v>5</v>
      </c>
      <c r="I58" s="5" t="n">
        <v>29226.25</v>
      </c>
      <c r="J58" s="5" t="n">
        <v>29286.25</v>
      </c>
      <c r="K58" s="8">
        <f>IF(AND(I58&lt;&gt;"",J58&lt;&gt;"",F58&lt;&gt;""), (J58-F58)/(F58-I58), "")</f>
        <v/>
      </c>
      <c r="L58" s="8">
        <f>IF(AND(F58&lt;&gt;"",G58&lt;&gt;"",I58&lt;&gt;""), (G58-F58)/(F58-I58), "")</f>
        <v/>
      </c>
      <c r="M58" s="5">
        <f>IF(N58&gt;0,"Win",IF(N58&lt;0,"Loss",""))</f>
        <v/>
      </c>
      <c r="N58" s="16">
        <f>IF(AND(F58&lt;&gt;"",G58&lt;&gt;"",H58&lt;&gt;"",D58&lt;&gt;""), IF(E58="Long", (G58-F58)*H58*VLOOKUP(D58,Multipliers!A:B,2,FALSE), (F58-G58)*H58*VLOOKUP(D58,Multipliers!A:B,2,FALSE)), "")</f>
        <v/>
      </c>
      <c r="O58" s="9">
        <f>IF(AND(N58&lt;&gt;"",F58&lt;&gt;"",H58&lt;&gt;"",D58&lt;&gt;""), N58/(F58*H58*VLOOKUP(D58,Multipliers!A:B,2,FALSE)), "")</f>
        <v/>
      </c>
      <c r="P58" s="5">
        <f>P57+N58</f>
        <v/>
      </c>
      <c r="Q58" s="5" t="inlineStr">
        <is>
          <t>Break and Retest</t>
        </is>
      </c>
      <c r="R58" s="5" t="inlineStr">
        <is>
          <t>Imported from Tradovate</t>
        </is>
      </c>
      <c r="S58" s="5" t="inlineStr">
        <is>
          <t>MNQ</t>
        </is>
      </c>
      <c r="T58" s="5" t="n"/>
      <c r="U58" s="5" t="n"/>
      <c r="V58" s="5" t="n"/>
      <c r="W58" s="5" t="n"/>
      <c r="X58" s="5" t="n"/>
      <c r="Y58" s="5" t="n"/>
      <c r="Z58" s="5" t="n"/>
      <c r="AA58" s="5" t="n"/>
    </row>
    <row r="59" ht="15.75" customHeight="1">
      <c r="A59" s="5" t="n">
        <v>64</v>
      </c>
      <c r="B59" s="13" t="n">
        <v>46259</v>
      </c>
      <c r="C59" s="10" t="n">
        <v>0.4391087962962963</v>
      </c>
      <c r="D59" s="5" t="inlineStr">
        <is>
          <t>MNQ</t>
        </is>
      </c>
      <c r="E59" s="5" t="inlineStr">
        <is>
          <t>Short</t>
        </is>
      </c>
      <c r="F59" s="5" t="n">
        <v>29245.5</v>
      </c>
      <c r="G59" s="5" t="n">
        <v>29229.416667</v>
      </c>
      <c r="H59" s="5" t="n">
        <v>3</v>
      </c>
      <c r="I59" s="5" t="n">
        <v>29278</v>
      </c>
      <c r="J59" s="5" t="n">
        <v>29175.25</v>
      </c>
      <c r="K59" s="8">
        <f>IF(AND(I59&lt;&gt;"",J59&lt;&gt;"",F59&lt;&gt;""), (J59-F59)/(F59-I59), "")</f>
        <v/>
      </c>
      <c r="L59" s="8">
        <f>IF(AND(F59&lt;&gt;"",G59&lt;&gt;"",I59&lt;&gt;""), (G59-F59)/(F59-I59), "")</f>
        <v/>
      </c>
      <c r="M59" s="5">
        <f>IF(N59&gt;0,"Win",IF(N59&lt;0,"Loss",""))</f>
        <v/>
      </c>
      <c r="N59" s="16">
        <f>IF(AND(F59&lt;&gt;"",G59&lt;&gt;"",H59&lt;&gt;"",D59&lt;&gt;""), IF(E59="Long", (G59-F59)*H59*VLOOKUP(D59,Multipliers!A:B,2,FALSE), (F59-G59)*H59*VLOOKUP(D59,Multipliers!A:B,2,FALSE)), "")</f>
        <v/>
      </c>
      <c r="O59" s="9">
        <f>IF(AND(N59&lt;&gt;"",F59&lt;&gt;"",H59&lt;&gt;"",D59&lt;&gt;""), N59/(F59*H59*VLOOKUP(D59,Multipliers!A:B,2,FALSE)), "")</f>
        <v/>
      </c>
      <c r="P59" s="5">
        <f>P58+N59</f>
        <v/>
      </c>
      <c r="Q59" s="5" t="inlineStr">
        <is>
          <t>Break and Retest</t>
        </is>
      </c>
      <c r="R59" s="5" t="inlineStr">
        <is>
          <t>Imported from Tradovate</t>
        </is>
      </c>
      <c r="S59" s="5" t="inlineStr">
        <is>
          <t>MNQ</t>
        </is>
      </c>
      <c r="T59" s="5" t="n"/>
      <c r="U59" s="5" t="n"/>
      <c r="V59" s="5" t="inlineStr">
        <is>
          <t>Cut winner early</t>
        </is>
      </c>
      <c r="W59" s="5" t="n"/>
      <c r="X59" s="5" t="n"/>
      <c r="Y59" s="5" t="n"/>
      <c r="Z59" s="5" t="n"/>
      <c r="AA59" s="5" t="n"/>
    </row>
    <row r="60" ht="15.75" customHeight="1">
      <c r="A60" s="5" t="n">
        <v>65</v>
      </c>
      <c r="B60" s="22" t="n">
        <v>46259</v>
      </c>
      <c r="C60" s="10" t="n">
        <v>0.5224537037037037</v>
      </c>
      <c r="D60" s="5" t="inlineStr">
        <is>
          <t>MGC</t>
        </is>
      </c>
      <c r="E60" s="5" t="inlineStr">
        <is>
          <t>Short</t>
        </is>
      </c>
      <c r="F60" s="5" t="n">
        <v>4699.4</v>
      </c>
      <c r="G60" s="5" t="n">
        <v>4699.1</v>
      </c>
      <c r="H60" s="5" t="n">
        <v>3</v>
      </c>
      <c r="I60" s="5" t="n">
        <v>4705.8</v>
      </c>
      <c r="J60" s="5" t="n">
        <v>4699.1</v>
      </c>
      <c r="K60" s="8">
        <f>IF(AND(I60&lt;&gt;"",J60&lt;&gt;"",F60&lt;&gt;""), (J60-F60)/(F60-I60), "")</f>
        <v/>
      </c>
      <c r="L60" s="8">
        <f>IF(AND(F60&lt;&gt;"",G60&lt;&gt;"",I60&lt;&gt;""), (G60-F60)/(F60-I60), "")</f>
        <v/>
      </c>
      <c r="M60" s="5">
        <f>IF(N60&gt;0,"Win",IF(N60&lt;0,"Loss",""))</f>
        <v/>
      </c>
      <c r="N60" s="16">
        <f>IF(AND(F60&lt;&gt;"",G60&lt;&gt;"",H60&lt;&gt;"",D60&lt;&gt;""), IF(E60="Long", (G60-F60)*H60*VLOOKUP(D60,Multipliers!A:B,2,FALSE), (F60-G60)*H60*VLOOKUP(D60,Multipliers!A:B,2,FALSE)), "")</f>
        <v/>
      </c>
      <c r="O60" s="9">
        <f>IF(AND(N60&lt;&gt;"",F60&lt;&gt;"",H60&lt;&gt;"",D60&lt;&gt;""), N60/(F60*H60*VLOOKUP(D60,Multipliers!A:B,2,FALSE)), "")</f>
        <v/>
      </c>
      <c r="P60" s="5">
        <f>P59+N60</f>
        <v/>
      </c>
      <c r="Q60" s="5" t="inlineStr">
        <is>
          <t>Break and Retest</t>
        </is>
      </c>
      <c r="R60" s="5" t="inlineStr">
        <is>
          <t>Imported from Tradovate</t>
        </is>
      </c>
      <c r="S60" s="5" t="inlineStr">
        <is>
          <t>MGC</t>
        </is>
      </c>
      <c r="T60" s="5" t="n"/>
      <c r="U60" s="5" t="n"/>
      <c r="V60" s="5" t="n"/>
      <c r="W60" s="5" t="n"/>
      <c r="X60" s="5" t="n"/>
      <c r="Y60" s="5" t="n"/>
      <c r="Z60" s="5" t="n"/>
      <c r="AA60" s="5" t="n"/>
    </row>
    <row r="61" ht="15.75" customHeight="1">
      <c r="A61" s="5" t="n">
        <v>66</v>
      </c>
      <c r="B61" s="22" t="n">
        <v>46259</v>
      </c>
      <c r="C61" s="10" t="n">
        <v>0.9720717592592593</v>
      </c>
      <c r="D61" s="5" t="inlineStr">
        <is>
          <t>MGC</t>
        </is>
      </c>
      <c r="E61" s="5" t="inlineStr">
        <is>
          <t>Short</t>
        </is>
      </c>
      <c r="F61" s="5" t="n">
        <v>4703.7</v>
      </c>
      <c r="G61" s="5" t="n">
        <v>4703</v>
      </c>
      <c r="H61" s="5" t="n">
        <v>5</v>
      </c>
      <c r="I61" s="5" t="n"/>
      <c r="J61" s="5" t="n">
        <v>4703</v>
      </c>
      <c r="K61" s="8">
        <f>IF(AND(I61&lt;&gt;"",J61&lt;&gt;"",F61&lt;&gt;""), (J61-F61)/(F61-I61), "")</f>
        <v/>
      </c>
      <c r="L61" s="8">
        <f>IF(AND(F61&lt;&gt;"",G61&lt;&gt;"",I61&lt;&gt;""), (G61-F61)/(F61-I61), "")</f>
        <v/>
      </c>
      <c r="M61" s="5">
        <f>IF(N61&gt;0,"Win",IF(N61&lt;0,"Loss",""))</f>
        <v/>
      </c>
      <c r="N61" s="16">
        <f>IF(AND(F61&lt;&gt;"",G61&lt;&gt;"",H61&lt;&gt;"",D61&lt;&gt;""), IF(E61="Long", (G61-F61)*H61*VLOOKUP(D61,Multipliers!A:B,2,FALSE), (F61-G61)*H61*VLOOKUP(D61,Multipliers!A:B,2,FALSE)), "")</f>
        <v/>
      </c>
      <c r="O61" s="9">
        <f>IF(AND(N61&lt;&gt;"",F61&lt;&gt;"",H61&lt;&gt;"",D61&lt;&gt;""), N61/(F61*H61*VLOOKUP(D61,Multipliers!A:B,2,FALSE)), "")</f>
        <v/>
      </c>
      <c r="P61" s="5">
        <f>P60+N61</f>
        <v/>
      </c>
      <c r="Q61" s="5" t="inlineStr">
        <is>
          <t>Break and Retest</t>
        </is>
      </c>
      <c r="R61" s="5" t="inlineStr">
        <is>
          <t>Imported from Tradovate</t>
        </is>
      </c>
      <c r="S61" s="5" t="inlineStr">
        <is>
          <t>MGC</t>
        </is>
      </c>
      <c r="T61" s="5" t="n"/>
      <c r="U61" s="5" t="n"/>
      <c r="V61" s="5" t="n"/>
      <c r="W61" s="5" t="n"/>
      <c r="X61" s="5" t="n"/>
      <c r="Y61" s="5" t="n"/>
      <c r="Z61" s="5" t="n"/>
      <c r="AA61" s="5" t="n"/>
    </row>
    <row r="62" ht="15.75" customHeight="1">
      <c r="A62" s="5" t="n">
        <v>67</v>
      </c>
      <c r="B62" s="22" t="n">
        <v>46260</v>
      </c>
      <c r="C62" s="10" t="n">
        <v>0.4103125</v>
      </c>
      <c r="D62" s="5" t="inlineStr">
        <is>
          <t>MGC</t>
        </is>
      </c>
      <c r="E62" s="5" t="inlineStr">
        <is>
          <t>Long</t>
        </is>
      </c>
      <c r="F62" s="5" t="n">
        <v>4679.6</v>
      </c>
      <c r="G62" s="5" t="n">
        <v>4680.3</v>
      </c>
      <c r="H62" s="5" t="n">
        <v>3</v>
      </c>
      <c r="I62" s="5" t="n">
        <v>4673.7</v>
      </c>
      <c r="J62" s="5" t="n">
        <v>4680.3</v>
      </c>
      <c r="K62" s="8">
        <f>IF(AND(I62&lt;&gt;"",J62&lt;&gt;"",F62&lt;&gt;""), (J62-F62)/(F62-I62), "")</f>
        <v/>
      </c>
      <c r="L62" s="8">
        <f>IF(AND(F62&lt;&gt;"",G62&lt;&gt;"",I62&lt;&gt;""), (G62-F62)/(F62-I62), "")</f>
        <v/>
      </c>
      <c r="M62" s="5">
        <f>IF(N62&gt;0,"Win",IF(N62&lt;0,"Loss",""))</f>
        <v/>
      </c>
      <c r="N62" s="16">
        <f>IF(AND(F62&lt;&gt;"",G62&lt;&gt;"",H62&lt;&gt;"",D62&lt;&gt;""), IF(E62="Long", (G62-F62)*H62*VLOOKUP(D62,Multipliers!A:B,2,FALSE), (F62-G62)*H62*VLOOKUP(D62,Multipliers!A:B,2,FALSE)), "")</f>
        <v/>
      </c>
      <c r="O62" s="9">
        <f>IF(AND(N62&lt;&gt;"",F62&lt;&gt;"",H62&lt;&gt;"",D62&lt;&gt;""), N62/(F62*H62*VLOOKUP(D62,Multipliers!A:B,2,FALSE)), "")</f>
        <v/>
      </c>
      <c r="P62" s="5">
        <f>P61+N62</f>
        <v/>
      </c>
      <c r="Q62" s="5" t="inlineStr">
        <is>
          <t>Break and Retest</t>
        </is>
      </c>
      <c r="R62" s="5" t="inlineStr">
        <is>
          <t>Imported from Tradovate</t>
        </is>
      </c>
      <c r="S62" s="5" t="inlineStr">
        <is>
          <t>MGC</t>
        </is>
      </c>
      <c r="T62" s="5" t="n"/>
      <c r="U62" s="5" t="n"/>
      <c r="V62" s="5" t="inlineStr">
        <is>
          <t>Overtraded</t>
        </is>
      </c>
      <c r="W62" s="5" t="n"/>
      <c r="X62" s="5" t="n"/>
      <c r="Y62" s="5" t="n"/>
      <c r="Z62" s="5" t="n"/>
      <c r="AA62" s="5" t="n"/>
    </row>
    <row r="63" ht="15.75" customHeight="1">
      <c r="A63" s="5" t="n">
        <v>68</v>
      </c>
      <c r="B63" s="22" t="n">
        <v>46260</v>
      </c>
      <c r="C63" s="10" t="n">
        <v>0.4295833333333333</v>
      </c>
      <c r="D63" s="5" t="inlineStr">
        <is>
          <t>MGC</t>
        </is>
      </c>
      <c r="E63" s="5" t="inlineStr">
        <is>
          <t>Short</t>
        </is>
      </c>
      <c r="F63" s="5" t="n">
        <v>4679.5</v>
      </c>
      <c r="G63" s="5" t="n">
        <v>4676.3</v>
      </c>
      <c r="H63" s="5" t="n">
        <v>3</v>
      </c>
      <c r="I63" s="5" t="n">
        <v>4685.5</v>
      </c>
      <c r="J63" s="5" t="n">
        <v>4676.3</v>
      </c>
      <c r="K63" s="8">
        <f>IF(AND(I63&lt;&gt;"",J63&lt;&gt;"",F63&lt;&gt;""), (J63-F63)/(F63-I63), "")</f>
        <v/>
      </c>
      <c r="L63" s="8">
        <f>IF(AND(F63&lt;&gt;"",G63&lt;&gt;"",I63&lt;&gt;""), (G63-F63)/(F63-I63), "")</f>
        <v/>
      </c>
      <c r="M63" s="5">
        <f>IF(N63&gt;0,"Win",IF(N63&lt;0,"Loss",""))</f>
        <v/>
      </c>
      <c r="N63" s="16">
        <f>IF(AND(F63&lt;&gt;"",G63&lt;&gt;"",H63&lt;&gt;"",D63&lt;&gt;""), IF(E63="Long", (G63-F63)*H63*VLOOKUP(D63,Multipliers!A:B,2,FALSE), (F63-G63)*H63*VLOOKUP(D63,Multipliers!A:B,2,FALSE)), "")</f>
        <v/>
      </c>
      <c r="O63" s="9">
        <f>IF(AND(N63&lt;&gt;"",F63&lt;&gt;"",H63&lt;&gt;"",D63&lt;&gt;""), N63/(F63*H63*VLOOKUP(D63,Multipliers!A:B,2,FALSE)), "")</f>
        <v/>
      </c>
      <c r="P63" s="5">
        <f>P62+N63</f>
        <v/>
      </c>
      <c r="Q63" s="5" t="inlineStr">
        <is>
          <t>Break and Retest</t>
        </is>
      </c>
      <c r="R63" s="5" t="inlineStr">
        <is>
          <t>Imported from Tradovate</t>
        </is>
      </c>
      <c r="S63" s="5" t="inlineStr">
        <is>
          <t>MGC</t>
        </is>
      </c>
      <c r="T63" s="5" t="n"/>
      <c r="U63" s="5" t="n"/>
      <c r="V63" s="5" t="inlineStr">
        <is>
          <t>Overtraded</t>
        </is>
      </c>
      <c r="W63" s="5" t="n"/>
      <c r="X63" s="5" t="n"/>
      <c r="Y63" s="5" t="n"/>
      <c r="Z63" s="5" t="n"/>
      <c r="AA63" s="5" t="n"/>
    </row>
    <row r="64" ht="15.75" customHeight="1">
      <c r="A64" s="5" t="n">
        <v>69</v>
      </c>
      <c r="B64" s="22" t="n">
        <v>46260</v>
      </c>
      <c r="C64" s="10" t="n">
        <v>0.4904050925925926</v>
      </c>
      <c r="D64" s="5" t="inlineStr">
        <is>
          <t>MGC</t>
        </is>
      </c>
      <c r="E64" s="5" t="inlineStr">
        <is>
          <t>Long</t>
        </is>
      </c>
      <c r="F64" s="5" t="n">
        <v>4661.7</v>
      </c>
      <c r="G64" s="5" t="n">
        <v>4656.2</v>
      </c>
      <c r="H64" s="5" t="n">
        <v>3</v>
      </c>
      <c r="I64" s="5" t="n">
        <v>4656.2</v>
      </c>
      <c r="J64" s="5" t="n">
        <v>4674.2</v>
      </c>
      <c r="K64" s="8">
        <f>IF(AND(I64&lt;&gt;"",J64&lt;&gt;"",F64&lt;&gt;""), (J64-F64)/(F64-I64), "")</f>
        <v/>
      </c>
      <c r="L64" s="8">
        <f>IF(AND(F64&lt;&gt;"",G64&lt;&gt;"",I64&lt;&gt;""), (G64-F64)/(F64-I64), "")</f>
        <v/>
      </c>
      <c r="M64" s="5">
        <f>IF(N64&gt;0,"Win",IF(N64&lt;0,"Loss",""))</f>
        <v/>
      </c>
      <c r="N64" s="16">
        <f>IF(AND(F64&lt;&gt;"",G64&lt;&gt;"",H64&lt;&gt;"",D64&lt;&gt;""), IF(E64="Long", (G64-F64)*H64*VLOOKUP(D64,Multipliers!A:B,2,FALSE), (F64-G64)*H64*VLOOKUP(D64,Multipliers!A:B,2,FALSE)), "")</f>
        <v/>
      </c>
      <c r="O64" s="9">
        <f>IF(AND(N64&lt;&gt;"",F64&lt;&gt;"",H64&lt;&gt;"",D64&lt;&gt;""), N64/(F64*H64*VLOOKUP(D64,Multipliers!A:B,2,FALSE)), "")</f>
        <v/>
      </c>
      <c r="P64" s="5">
        <f>P63+N64</f>
        <v/>
      </c>
      <c r="Q64" s="5" t="inlineStr">
        <is>
          <t>Break and Retest</t>
        </is>
      </c>
      <c r="R64" s="5" t="inlineStr">
        <is>
          <t>Imported from Tradovate</t>
        </is>
      </c>
      <c r="S64" s="5" t="inlineStr">
        <is>
          <t>MGC</t>
        </is>
      </c>
      <c r="T64" s="5" t="n"/>
      <c r="U64" s="5" t="n"/>
      <c r="V64" s="5" t="inlineStr">
        <is>
          <t>Overtraded</t>
        </is>
      </c>
      <c r="W64" s="5" t="n"/>
      <c r="X64" s="5" t="n"/>
      <c r="Y64" s="5" t="n"/>
      <c r="Z64" s="5" t="n"/>
      <c r="AA64" s="5" t="n"/>
    </row>
    <row r="65" ht="15.75" customHeight="1">
      <c r="A65" s="5" t="n">
        <v>70</v>
      </c>
      <c r="B65" s="22" t="n">
        <v>46260</v>
      </c>
      <c r="C65" s="10" t="n">
        <v>0.4968402777777778</v>
      </c>
      <c r="D65" s="5" t="inlineStr">
        <is>
          <t>MGC</t>
        </is>
      </c>
      <c r="E65" s="5" t="inlineStr">
        <is>
          <t>Short</t>
        </is>
      </c>
      <c r="F65" s="5" t="n">
        <v>4655.8</v>
      </c>
      <c r="G65" s="5" t="n">
        <v>4652.1</v>
      </c>
      <c r="H65" s="5" t="n">
        <v>5</v>
      </c>
      <c r="I65" s="5" t="n"/>
      <c r="J65" s="5" t="n">
        <v>4652.1</v>
      </c>
      <c r="K65" s="8">
        <f>IF(AND(I65&lt;&gt;"",J65&lt;&gt;"",F65&lt;&gt;""), (J65-F65)/(F65-I65), "")</f>
        <v/>
      </c>
      <c r="L65" s="8">
        <f>IF(AND(F65&lt;&gt;"",G65&lt;&gt;"",I65&lt;&gt;""), (G65-F65)/(F65-I65), "")</f>
        <v/>
      </c>
      <c r="M65" s="5">
        <f>IF(N65&gt;0,"Win",IF(N65&lt;0,"Loss",""))</f>
        <v/>
      </c>
      <c r="N65" s="16">
        <f>IF(AND(F65&lt;&gt;"",G65&lt;&gt;"",H65&lt;&gt;"",D65&lt;&gt;""), IF(E65="Long", (G65-F65)*H65*VLOOKUP(D65,Multipliers!A:B,2,FALSE), (F65-G65)*H65*VLOOKUP(D65,Multipliers!A:B,2,FALSE)), "")</f>
        <v/>
      </c>
      <c r="O65" s="9">
        <f>IF(AND(N65&lt;&gt;"",F65&lt;&gt;"",H65&lt;&gt;"",D65&lt;&gt;""), N65/(F65*H65*VLOOKUP(D65,Multipliers!A:B,2,FALSE)), "")</f>
        <v/>
      </c>
      <c r="P65" s="5">
        <f>P64+N65</f>
        <v/>
      </c>
      <c r="Q65" s="5" t="inlineStr">
        <is>
          <t>Break and Retest</t>
        </is>
      </c>
      <c r="R65" s="5" t="inlineStr">
        <is>
          <t>Imported from Tradovate</t>
        </is>
      </c>
      <c r="S65" s="5" t="inlineStr">
        <is>
          <t>MGC</t>
        </is>
      </c>
      <c r="T65" s="5" t="n"/>
      <c r="U65" s="5" t="n"/>
      <c r="V65" s="5" t="inlineStr">
        <is>
          <t>Revenge trade, Overtraded</t>
        </is>
      </c>
      <c r="W65" s="5" t="n"/>
      <c r="X65" s="5" t="n"/>
      <c r="Y65" s="5" t="n"/>
      <c r="Z65" s="5" t="n"/>
      <c r="AA65" s="5" t="n"/>
    </row>
    <row r="66" ht="15.75" customHeight="1">
      <c r="A66" s="5" t="n">
        <v>71</v>
      </c>
      <c r="B66" s="22" t="n">
        <v>46260</v>
      </c>
      <c r="C66" s="10" t="n">
        <v>0.5494791666666666</v>
      </c>
      <c r="D66" s="5" t="inlineStr">
        <is>
          <t>MGC</t>
        </is>
      </c>
      <c r="E66" s="5" t="inlineStr">
        <is>
          <t>Short</t>
        </is>
      </c>
      <c r="F66" s="5" t="n">
        <v>4649.2</v>
      </c>
      <c r="G66" s="5" t="n">
        <v>4657.7</v>
      </c>
      <c r="H66" s="5" t="n">
        <v>3</v>
      </c>
      <c r="I66" s="5" t="n">
        <v>4661</v>
      </c>
      <c r="J66" s="5" t="n">
        <v>4649.1</v>
      </c>
      <c r="K66" s="8">
        <f>IF(AND(I66&lt;&gt;"",J66&lt;&gt;"",F66&lt;&gt;""), (J66-F66)/(F66-I66), "")</f>
        <v/>
      </c>
      <c r="L66" s="8">
        <f>IF(AND(F66&lt;&gt;"",G66&lt;&gt;"",I66&lt;&gt;""), (G66-F66)/(F66-I66), "")</f>
        <v/>
      </c>
      <c r="M66" s="5">
        <f>IF(N66&gt;0,"Win",IF(N66&lt;0,"Loss",""))</f>
        <v/>
      </c>
      <c r="N66" s="16">
        <f>IF(AND(F66&lt;&gt;"",G66&lt;&gt;"",H66&lt;&gt;"",D66&lt;&gt;""), IF(E66="Long", (G66-F66)*H66*VLOOKUP(D66,Multipliers!A:B,2,FALSE), (F66-G66)*H66*VLOOKUP(D66,Multipliers!A:B,2,FALSE)), "")</f>
        <v/>
      </c>
      <c r="O66" s="9">
        <f>IF(AND(N66&lt;&gt;"",F66&lt;&gt;"",H66&lt;&gt;"",D66&lt;&gt;""), N66/(F66*H66*VLOOKUP(D66,Multipliers!A:B,2,FALSE)), "")</f>
        <v/>
      </c>
      <c r="P66" s="5">
        <f>P65+N66</f>
        <v/>
      </c>
      <c r="Q66" s="5" t="inlineStr">
        <is>
          <t>Break and Retest</t>
        </is>
      </c>
      <c r="R66" s="5" t="inlineStr">
        <is>
          <t>Imported from Tradovate</t>
        </is>
      </c>
      <c r="S66" s="5" t="inlineStr">
        <is>
          <t>MGC</t>
        </is>
      </c>
      <c r="T66" s="5" t="n"/>
      <c r="U66" s="5" t="n"/>
      <c r="V66" s="5" t="inlineStr">
        <is>
          <t>Overtraded</t>
        </is>
      </c>
      <c r="W66" s="5" t="n"/>
      <c r="X66" s="5" t="n"/>
      <c r="Y66" s="5" t="n"/>
      <c r="Z66" s="5" t="n"/>
      <c r="AA66" s="5" t="n"/>
    </row>
    <row r="67" ht="15.75" customHeight="1">
      <c r="A67" s="5" t="n">
        <v>72</v>
      </c>
      <c r="B67" s="22" t="n">
        <v>46260</v>
      </c>
      <c r="C67" s="10" t="n">
        <v>0.8296875</v>
      </c>
      <c r="D67" s="5" t="inlineStr">
        <is>
          <t>MNQ</t>
        </is>
      </c>
      <c r="E67" s="5" t="inlineStr">
        <is>
          <t>Long</t>
        </is>
      </c>
      <c r="F67" s="5" t="n">
        <v>29614.5</v>
      </c>
      <c r="G67" s="5" t="n">
        <v>29655.25</v>
      </c>
      <c r="H67" s="5" t="n">
        <v>1</v>
      </c>
      <c r="I67" s="5" t="n">
        <v>29595.25</v>
      </c>
      <c r="J67" s="5" t="n">
        <v>29655.25</v>
      </c>
      <c r="K67" s="8">
        <f>IF(AND(I67&lt;&gt;"",J67&lt;&gt;"",F67&lt;&gt;""), (J67-F67)/(F67-I67), "")</f>
        <v/>
      </c>
      <c r="L67" s="8">
        <f>IF(AND(F67&lt;&gt;"",G67&lt;&gt;"",I67&lt;&gt;""), (G67-F67)/(F67-I67), "")</f>
        <v/>
      </c>
      <c r="M67" s="5">
        <f>IF(N67&gt;0,"Win",IF(N67&lt;0,"Loss",""))</f>
        <v/>
      </c>
      <c r="N67" s="16">
        <f>IF(AND(F67&lt;&gt;"",G67&lt;&gt;"",H67&lt;&gt;"",D67&lt;&gt;""), IF(E67="Long", (G67-F67)*H67*VLOOKUP(D67,Multipliers!A:B,2,FALSE), (F67-G67)*H67*VLOOKUP(D67,Multipliers!A:B,2,FALSE)), "")</f>
        <v/>
      </c>
      <c r="O67" s="9">
        <f>IF(AND(N67&lt;&gt;"",F67&lt;&gt;"",H67&lt;&gt;"",D67&lt;&gt;""), N67/(F67*H67*VLOOKUP(D67,Multipliers!A:B,2,FALSE)), "")</f>
        <v/>
      </c>
      <c r="P67" s="5">
        <f>P66+N67</f>
        <v/>
      </c>
      <c r="Q67" s="5" t="inlineStr">
        <is>
          <t>Break and Retest</t>
        </is>
      </c>
      <c r="R67" s="5" t="inlineStr">
        <is>
          <t>Imported from Tradovate</t>
        </is>
      </c>
      <c r="S67" s="5" t="inlineStr">
        <is>
          <t>MNQ</t>
        </is>
      </c>
      <c r="T67" s="5" t="n"/>
      <c r="U67" s="5" t="n"/>
      <c r="V67" s="5" t="inlineStr">
        <is>
          <t>Overtraded</t>
        </is>
      </c>
      <c r="W67" s="5" t="n"/>
      <c r="X67" s="5" t="n"/>
      <c r="Y67" s="5" t="n"/>
      <c r="Z67" s="5" t="n"/>
      <c r="AA67" s="5" t="n"/>
    </row>
    <row r="68" ht="15.75" customHeight="1">
      <c r="A68" s="5" t="n">
        <v>73</v>
      </c>
      <c r="B68" s="22" t="n">
        <v>46260</v>
      </c>
      <c r="C68" s="10" t="n">
        <v>0.8367476851851852</v>
      </c>
      <c r="D68" s="5" t="inlineStr">
        <is>
          <t>MNQ</t>
        </is>
      </c>
      <c r="E68" s="5" t="inlineStr">
        <is>
          <t>Long</t>
        </is>
      </c>
      <c r="F68" s="5" t="n">
        <v>29613.5</v>
      </c>
      <c r="G68" s="5" t="n">
        <v>29593.25</v>
      </c>
      <c r="H68" s="5" t="n">
        <v>2</v>
      </c>
      <c r="I68" s="5" t="n">
        <v>29593.5</v>
      </c>
      <c r="J68" s="5" t="n">
        <v>29653.5</v>
      </c>
      <c r="K68" s="8">
        <f>IF(AND(I68&lt;&gt;"",J68&lt;&gt;"",F68&lt;&gt;""), (J68-F68)/(F68-I68), "")</f>
        <v/>
      </c>
      <c r="L68" s="8">
        <f>IF(AND(F68&lt;&gt;"",G68&lt;&gt;"",I68&lt;&gt;""), (G68-F68)/(F68-I68), "")</f>
        <v/>
      </c>
      <c r="M68" s="5">
        <f>IF(N68&gt;0,"Win",IF(N68&lt;0,"Loss",""))</f>
        <v/>
      </c>
      <c r="N68" s="16">
        <f>IF(AND(F68&lt;&gt;"",G68&lt;&gt;"",H68&lt;&gt;"",D68&lt;&gt;""), IF(E68="Long", (G68-F68)*H68*VLOOKUP(D68,Multipliers!A:B,2,FALSE), (F68-G68)*H68*VLOOKUP(D68,Multipliers!A:B,2,FALSE)), "")</f>
        <v/>
      </c>
      <c r="O68" s="9">
        <f>IF(AND(N68&lt;&gt;"",F68&lt;&gt;"",H68&lt;&gt;"",D68&lt;&gt;""), N68/(F68*H68*VLOOKUP(D68,Multipliers!A:B,2,FALSE)), "")</f>
        <v/>
      </c>
      <c r="P68" s="5">
        <f>P67+N68</f>
        <v/>
      </c>
      <c r="Q68" s="5" t="inlineStr">
        <is>
          <t>Break and Retest</t>
        </is>
      </c>
      <c r="R68" s="5" t="inlineStr">
        <is>
          <t>Imported from Tradovate</t>
        </is>
      </c>
      <c r="S68" s="5" t="inlineStr">
        <is>
          <t>MNQ</t>
        </is>
      </c>
      <c r="T68" s="5" t="n"/>
      <c r="U68" s="5" t="n"/>
      <c r="V68" s="5" t="inlineStr">
        <is>
          <t>Overtraded</t>
        </is>
      </c>
      <c r="W68" s="5" t="n"/>
      <c r="X68" s="5" t="n"/>
      <c r="Y68" s="5" t="n"/>
      <c r="Z68" s="5" t="n"/>
      <c r="AA68" s="5" t="n"/>
    </row>
    <row r="69" ht="15.75" customHeight="1">
      <c r="A69" s="5" t="n">
        <v>74</v>
      </c>
      <c r="B69" s="22" t="n">
        <v>46260</v>
      </c>
      <c r="C69" s="10" t="n">
        <v>0.8785763888888889</v>
      </c>
      <c r="D69" s="5" t="inlineStr">
        <is>
          <t>MNQ</t>
        </is>
      </c>
      <c r="E69" s="5" t="inlineStr">
        <is>
          <t>Long</t>
        </is>
      </c>
      <c r="F69" s="5" t="n">
        <v>29467.25</v>
      </c>
      <c r="G69" s="5" t="n">
        <v>29447.25</v>
      </c>
      <c r="H69" s="5" t="n">
        <v>3</v>
      </c>
      <c r="I69" s="5" t="n">
        <v>29429.75</v>
      </c>
      <c r="J69" s="5" t="n">
        <v>29509.75</v>
      </c>
      <c r="K69" s="8">
        <f>IF(AND(I69&lt;&gt;"",J69&lt;&gt;"",F69&lt;&gt;""), (J69-F69)/(F69-I69), "")</f>
        <v/>
      </c>
      <c r="L69" s="8">
        <f>IF(AND(F69&lt;&gt;"",G69&lt;&gt;"",I69&lt;&gt;""), (G69-F69)/(F69-I69), "")</f>
        <v/>
      </c>
      <c r="M69" s="5">
        <f>IF(N69&gt;0,"Win",IF(N69&lt;0,"Loss",""))</f>
        <v/>
      </c>
      <c r="N69" s="16">
        <f>IF(AND(F69&lt;&gt;"",G69&lt;&gt;"",H69&lt;&gt;"",D69&lt;&gt;""), IF(E69="Long", (G69-F69)*H69*VLOOKUP(D69,Multipliers!A:B,2,FALSE), (F69-G69)*H69*VLOOKUP(D69,Multipliers!A:B,2,FALSE)), "")</f>
        <v/>
      </c>
      <c r="O69" s="9">
        <f>IF(AND(N69&lt;&gt;"",F69&lt;&gt;"",H69&lt;&gt;"",D69&lt;&gt;""), N69/(F69*H69*VLOOKUP(D69,Multipliers!A:B,2,FALSE)), "")</f>
        <v/>
      </c>
      <c r="P69" s="5">
        <f>P68+N69</f>
        <v/>
      </c>
      <c r="Q69" s="5" t="inlineStr">
        <is>
          <t>Break and Retest</t>
        </is>
      </c>
      <c r="R69" s="5" t="inlineStr">
        <is>
          <t>Imported from Tradovate</t>
        </is>
      </c>
      <c r="S69" s="5" t="inlineStr">
        <is>
          <t>MNQ</t>
        </is>
      </c>
      <c r="T69" s="5" t="n"/>
      <c r="U69" s="5" t="n"/>
      <c r="V69" s="5" t="inlineStr">
        <is>
          <t>Overtraded</t>
        </is>
      </c>
      <c r="W69" s="5" t="n"/>
      <c r="X69" s="5" t="n"/>
      <c r="Y69" s="5" t="n"/>
      <c r="Z69" s="5" t="n"/>
      <c r="AA69" s="5" t="n"/>
    </row>
    <row r="70" ht="15.75" customHeight="1">
      <c r="A70" s="5" t="n">
        <v>75</v>
      </c>
      <c r="B70" s="22" t="n">
        <v>46260</v>
      </c>
      <c r="C70" s="10" t="n">
        <v>0.8864467592592593</v>
      </c>
      <c r="D70" s="5" t="inlineStr">
        <is>
          <t>MNQ</t>
        </is>
      </c>
      <c r="E70" s="5" t="inlineStr">
        <is>
          <t>Long</t>
        </is>
      </c>
      <c r="F70" s="5" t="n">
        <v>29484.354167</v>
      </c>
      <c r="G70" s="5" t="n">
        <v>29496.958333</v>
      </c>
      <c r="H70" s="5" t="n">
        <v>12</v>
      </c>
      <c r="I70" s="5" t="n">
        <v>29429.75</v>
      </c>
      <c r="J70" s="5" t="n">
        <v>29508</v>
      </c>
      <c r="K70" s="8">
        <f>IF(AND(I70&lt;&gt;"",J70&lt;&gt;"",F70&lt;&gt;""), (J70-F70)/(F70-I70), "")</f>
        <v/>
      </c>
      <c r="L70" s="8">
        <f>IF(AND(F70&lt;&gt;"",G70&lt;&gt;"",I70&lt;&gt;""), (G70-F70)/(F70-I70), "")</f>
        <v/>
      </c>
      <c r="M70" s="5">
        <f>IF(N70&gt;0,"Win",IF(N70&lt;0,"Loss",""))</f>
        <v/>
      </c>
      <c r="N70" s="16">
        <f>IF(AND(F70&lt;&gt;"",G70&lt;&gt;"",H70&lt;&gt;"",D70&lt;&gt;""), IF(E70="Long", (G70-F70)*H70*VLOOKUP(D70,Multipliers!A:B,2,FALSE), (F70-G70)*H70*VLOOKUP(D70,Multipliers!A:B,2,FALSE)), "")</f>
        <v/>
      </c>
      <c r="O70" s="9">
        <f>IF(AND(N70&lt;&gt;"",F70&lt;&gt;"",H70&lt;&gt;"",D70&lt;&gt;""), N70/(F70*H70*VLOOKUP(D70,Multipliers!A:B,2,FALSE)), "")</f>
        <v/>
      </c>
      <c r="P70" s="5">
        <f>P69+N70</f>
        <v/>
      </c>
      <c r="Q70" s="5" t="inlineStr">
        <is>
          <t>Break and Retest</t>
        </is>
      </c>
      <c r="R70" s="5" t="inlineStr">
        <is>
          <t>Imported from Tradovate</t>
        </is>
      </c>
      <c r="S70" s="5" t="inlineStr">
        <is>
          <t>MNQ</t>
        </is>
      </c>
      <c r="T70" s="5" t="n"/>
      <c r="U70" s="5" t="n"/>
      <c r="V70" s="5" t="inlineStr">
        <is>
          <t>Oversized, Revenge trade, Overtraded</t>
        </is>
      </c>
      <c r="W70" s="5" t="n"/>
      <c r="X70" s="5" t="n"/>
      <c r="Y70" s="5" t="n"/>
      <c r="Z70" s="5" t="n"/>
      <c r="AA70" s="5" t="n"/>
    </row>
    <row r="71" ht="15.75" customHeight="1">
      <c r="A71" s="5" t="n">
        <v>76</v>
      </c>
      <c r="B71" s="22" t="n">
        <v>46260</v>
      </c>
      <c r="C71" s="10" t="n">
        <v>0.8938194444444445</v>
      </c>
      <c r="D71" s="5" t="inlineStr">
        <is>
          <t>MNQ</t>
        </is>
      </c>
      <c r="E71" s="5" t="inlineStr">
        <is>
          <t>Long</t>
        </is>
      </c>
      <c r="F71" s="5" t="n">
        <v>29504.25</v>
      </c>
      <c r="G71" s="5" t="n">
        <v>29514.75</v>
      </c>
      <c r="H71" s="5" t="n">
        <v>2</v>
      </c>
      <c r="I71" s="5" t="n"/>
      <c r="J71" s="5" t="n">
        <v>29514.75</v>
      </c>
      <c r="K71" s="8">
        <f>IF(AND(I71&lt;&gt;"",J71&lt;&gt;"",F71&lt;&gt;""), (J71-F71)/(F71-I71), "")</f>
        <v/>
      </c>
      <c r="L71" s="8">
        <f>IF(AND(F71&lt;&gt;"",G71&lt;&gt;"",I71&lt;&gt;""), (G71-F71)/(F71-I71), "")</f>
        <v/>
      </c>
      <c r="M71" s="5">
        <f>IF(N71&gt;0,"Win",IF(N71&lt;0,"Loss",""))</f>
        <v/>
      </c>
      <c r="N71" s="16">
        <f>IF(AND(F71&lt;&gt;"",G71&lt;&gt;"",H71&lt;&gt;"",D71&lt;&gt;""), IF(E71="Long", (G71-F71)*H71*VLOOKUP(D71,Multipliers!A:B,2,FALSE), (F71-G71)*H71*VLOOKUP(D71,Multipliers!A:B,2,FALSE)), "")</f>
        <v/>
      </c>
      <c r="O71" s="9">
        <f>IF(AND(N71&lt;&gt;"",F71&lt;&gt;"",H71&lt;&gt;"",D71&lt;&gt;""), N71/(F71*H71*VLOOKUP(D71,Multipliers!A:B,2,FALSE)), "")</f>
        <v/>
      </c>
      <c r="P71" s="5">
        <f>P70+N71</f>
        <v/>
      </c>
      <c r="Q71" s="5" t="inlineStr">
        <is>
          <t>Break and Retest</t>
        </is>
      </c>
      <c r="R71" s="5" t="inlineStr">
        <is>
          <t>Imported from Tradovate</t>
        </is>
      </c>
      <c r="S71" s="5" t="inlineStr">
        <is>
          <t>MNQ</t>
        </is>
      </c>
      <c r="T71" s="5" t="n"/>
      <c r="U71" s="5" t="n"/>
      <c r="V71" s="5" t="inlineStr">
        <is>
          <t>Overtraded</t>
        </is>
      </c>
      <c r="W71" s="5" t="n"/>
      <c r="X71" s="5" t="n"/>
      <c r="Y71" s="5" t="n"/>
      <c r="Z71" s="5" t="n"/>
      <c r="AA71" s="5" t="n"/>
    </row>
    <row r="72" ht="15.75" customHeight="1">
      <c r="A72" s="5" t="n">
        <v>77</v>
      </c>
      <c r="B72" s="22" t="n">
        <v>46260</v>
      </c>
      <c r="C72" s="10" t="n">
        <v>0.8998263888888889</v>
      </c>
      <c r="D72" s="5" t="inlineStr">
        <is>
          <t>MNQ</t>
        </is>
      </c>
      <c r="E72" s="5" t="inlineStr">
        <is>
          <t>Long</t>
        </is>
      </c>
      <c r="F72" s="5" t="n">
        <v>29515.5</v>
      </c>
      <c r="G72" s="5" t="n">
        <v>29530.25</v>
      </c>
      <c r="H72" s="5" t="n">
        <v>3</v>
      </c>
      <c r="I72" s="5" t="n"/>
      <c r="J72" s="5" t="n">
        <v>29530.25</v>
      </c>
      <c r="K72" s="8">
        <f>IF(AND(I72&lt;&gt;"",J72&lt;&gt;"",F72&lt;&gt;""), (J72-F72)/(F72-I72), "")</f>
        <v/>
      </c>
      <c r="L72" s="8">
        <f>IF(AND(F72&lt;&gt;"",G72&lt;&gt;"",I72&lt;&gt;""), (G72-F72)/(F72-I72), "")</f>
        <v/>
      </c>
      <c r="M72" s="5">
        <f>IF(N72&gt;0,"Win",IF(N72&lt;0,"Loss",""))</f>
        <v/>
      </c>
      <c r="N72" s="16">
        <f>IF(AND(F72&lt;&gt;"",G72&lt;&gt;"",H72&lt;&gt;"",D72&lt;&gt;""), IF(E72="Long", (G72-F72)*H72*VLOOKUP(D72,Multipliers!A:B,2,FALSE), (F72-G72)*H72*VLOOKUP(D72,Multipliers!A:B,2,FALSE)), "")</f>
        <v/>
      </c>
      <c r="O72" s="9">
        <f>IF(AND(N72&lt;&gt;"",F72&lt;&gt;"",H72&lt;&gt;"",D72&lt;&gt;""), N72/(F72*H72*VLOOKUP(D72,Multipliers!A:B,2,FALSE)), "")</f>
        <v/>
      </c>
      <c r="P72" s="5">
        <f>P71+N72</f>
        <v/>
      </c>
      <c r="Q72" s="5" t="inlineStr">
        <is>
          <t>Break and Retest</t>
        </is>
      </c>
      <c r="R72" s="5" t="inlineStr">
        <is>
          <t>Imported from Tradovate</t>
        </is>
      </c>
      <c r="S72" s="5" t="inlineStr">
        <is>
          <t>MNQ</t>
        </is>
      </c>
      <c r="T72" s="5" t="n"/>
      <c r="U72" s="5" t="n"/>
      <c r="V72" s="5" t="inlineStr">
        <is>
          <t>Overtraded</t>
        </is>
      </c>
      <c r="W72" s="5" t="n"/>
      <c r="X72" s="5" t="n"/>
      <c r="Y72" s="5" t="n"/>
      <c r="Z72" s="5" t="n"/>
      <c r="AA72" s="5" t="n"/>
    </row>
    <row r="73" ht="15.75" customHeight="1">
      <c r="A73" s="5" t="n">
        <v>78</v>
      </c>
      <c r="B73" s="22" t="n">
        <v>46260</v>
      </c>
      <c r="C73" s="10" t="n">
        <v>0.9321412037037037</v>
      </c>
      <c r="D73" s="5" t="inlineStr">
        <is>
          <t>MNQ</t>
        </is>
      </c>
      <c r="E73" s="5" t="inlineStr">
        <is>
          <t>Short</t>
        </is>
      </c>
      <c r="F73" s="5" t="n">
        <v>29534</v>
      </c>
      <c r="G73" s="5" t="n">
        <v>29529</v>
      </c>
      <c r="H73" s="5" t="n">
        <v>5</v>
      </c>
      <c r="I73" s="5" t="n">
        <v>29549</v>
      </c>
      <c r="J73" s="5" t="n">
        <v>29529</v>
      </c>
      <c r="K73" s="8">
        <f>IF(AND(I73&lt;&gt;"",J73&lt;&gt;"",F73&lt;&gt;""), (J73-F73)/(F73-I73), "")</f>
        <v/>
      </c>
      <c r="L73" s="8">
        <f>IF(AND(F73&lt;&gt;"",G73&lt;&gt;"",I73&lt;&gt;""), (G73-F73)/(F73-I73), "")</f>
        <v/>
      </c>
      <c r="M73" s="5">
        <f>IF(N73&gt;0,"Win",IF(N73&lt;0,"Loss",""))</f>
        <v/>
      </c>
      <c r="N73" s="16">
        <f>IF(AND(F73&lt;&gt;"",G73&lt;&gt;"",H73&lt;&gt;"",D73&lt;&gt;""), IF(E73="Long", (G73-F73)*H73*VLOOKUP(D73,Multipliers!A:B,2,FALSE), (F73-G73)*H73*VLOOKUP(D73,Multipliers!A:B,2,FALSE)), "")</f>
        <v/>
      </c>
      <c r="O73" s="9">
        <f>IF(AND(N73&lt;&gt;"",F73&lt;&gt;"",H73&lt;&gt;"",D73&lt;&gt;""), N73/(F73*H73*VLOOKUP(D73,Multipliers!A:B,2,FALSE)), "")</f>
        <v/>
      </c>
      <c r="P73" s="5">
        <f>P72+N73</f>
        <v/>
      </c>
      <c r="Q73" s="5" t="inlineStr">
        <is>
          <t>Break and Retest</t>
        </is>
      </c>
      <c r="R73" s="5" t="inlineStr">
        <is>
          <t>Imported from Tradovate</t>
        </is>
      </c>
      <c r="S73" s="5" t="inlineStr">
        <is>
          <t>MNQ</t>
        </is>
      </c>
      <c r="T73" s="5" t="n"/>
      <c r="U73" s="5" t="n"/>
      <c r="V73" s="5" t="inlineStr">
        <is>
          <t>Overtraded</t>
        </is>
      </c>
      <c r="W73" s="5" t="n"/>
      <c r="X73" s="5" t="n"/>
      <c r="Y73" s="5" t="n"/>
      <c r="Z73" s="5" t="n"/>
      <c r="AA73" s="5" t="n"/>
    </row>
    <row r="74" ht="15.75" customHeight="1">
      <c r="A74" s="5" t="n">
        <v>79</v>
      </c>
      <c r="B74" s="22" t="n">
        <v>46261</v>
      </c>
      <c r="C74" s="10" t="n">
        <v>0.4055324074074074</v>
      </c>
      <c r="D74" s="5" t="inlineStr">
        <is>
          <t>MGC</t>
        </is>
      </c>
      <c r="E74" s="5" t="inlineStr">
        <is>
          <t>Short</t>
        </is>
      </c>
      <c r="F74" s="5" t="n">
        <v>4633.6</v>
      </c>
      <c r="G74" s="5" t="n">
        <v>4621.6</v>
      </c>
      <c r="H74" s="5" t="n">
        <v>3</v>
      </c>
      <c r="I74" s="5" t="n">
        <v>4639.6</v>
      </c>
      <c r="J74" s="5" t="n">
        <v>4621.6</v>
      </c>
      <c r="K74" s="8">
        <f>IF(AND(I74&lt;&gt;"",J74&lt;&gt;"",F74&lt;&gt;""), (J74-F74)/(F74-I74), "")</f>
        <v/>
      </c>
      <c r="L74" s="8">
        <f>IF(AND(F74&lt;&gt;"",G74&lt;&gt;"",I74&lt;&gt;""), (G74-F74)/(F74-I74), "")</f>
        <v/>
      </c>
      <c r="M74" s="5">
        <f>IF(N74&gt;0,"Win",IF(N74&lt;0,"Loss",""))</f>
        <v/>
      </c>
      <c r="N74" s="16">
        <f>IF(AND(F74&lt;&gt;"",G74&lt;&gt;"",H74&lt;&gt;"",D74&lt;&gt;""), IF(E74="Long", (G74-F74)*H74*VLOOKUP(D74,Multipliers!A:B,2,FALSE), (F74-G74)*H74*VLOOKUP(D74,Multipliers!A:B,2,FALSE)), "")</f>
        <v/>
      </c>
      <c r="O74" s="9">
        <f>IF(AND(N74&lt;&gt;"",F74&lt;&gt;"",H74&lt;&gt;"",D74&lt;&gt;""), N74/(F74*H74*VLOOKUP(D74,Multipliers!A:B,2,FALSE)), "")</f>
        <v/>
      </c>
      <c r="P74" s="5">
        <f>P73+N74</f>
        <v/>
      </c>
      <c r="Q74" s="5" t="inlineStr">
        <is>
          <t>Break and Retest</t>
        </is>
      </c>
      <c r="R74" s="5" t="inlineStr">
        <is>
          <t>Imported from Tradovate</t>
        </is>
      </c>
      <c r="S74" s="5" t="inlineStr">
        <is>
          <t>MGC</t>
        </is>
      </c>
      <c r="T74" s="5" t="n"/>
      <c r="U74" s="5" t="inlineStr">
        <is>
          <t>https://www.tradingview.com/x/ThCH9HRj/</t>
        </is>
      </c>
      <c r="V74" s="5" t="inlineStr">
        <is>
          <t>Overtraded</t>
        </is>
      </c>
      <c r="W74" s="5" t="inlineStr"/>
      <c r="X74" s="5" t="inlineStr"/>
      <c r="Y74" s="5" t="inlineStr"/>
      <c r="Z74" s="5" t="inlineStr"/>
      <c r="AA74" s="5" t="inlineStr"/>
    </row>
    <row r="75" ht="15.75" customHeight="1">
      <c r="A75" s="5" t="n">
        <v>80</v>
      </c>
      <c r="B75" s="22" t="n">
        <v>46261</v>
      </c>
      <c r="C75" s="10" t="n">
        <v>0.4289351851851852</v>
      </c>
      <c r="D75" s="5" t="inlineStr">
        <is>
          <t>MGC</t>
        </is>
      </c>
      <c r="E75" s="5" t="inlineStr">
        <is>
          <t>Short</t>
        </is>
      </c>
      <c r="F75" s="5" t="n">
        <v>4635.2</v>
      </c>
      <c r="G75" s="5" t="n">
        <v>4633.4</v>
      </c>
      <c r="H75" s="5" t="n">
        <v>3</v>
      </c>
      <c r="I75" s="5" t="n">
        <v>4641.2</v>
      </c>
      <c r="J75" s="5" t="n">
        <v>4633.4</v>
      </c>
      <c r="K75" s="8">
        <f>IF(AND(I75&lt;&gt;"",J75&lt;&gt;"",F75&lt;&gt;""), (J75-F75)/(F75-I75), "")</f>
        <v/>
      </c>
      <c r="L75" s="8">
        <f>IF(AND(F75&lt;&gt;"",G75&lt;&gt;"",I75&lt;&gt;""), (G75-F75)/(F75-I75), "")</f>
        <v/>
      </c>
      <c r="M75" s="5">
        <f>IF(N75&gt;0,"Win",IF(N75&lt;0,"Loss",""))</f>
        <v/>
      </c>
      <c r="N75" s="16">
        <f>IF(AND(F75&lt;&gt;"",G75&lt;&gt;"",H75&lt;&gt;"",D75&lt;&gt;""), IF(E75="Long", (G75-F75)*H75*VLOOKUP(D75,Multipliers!A:B,2,FALSE), (F75-G75)*H75*VLOOKUP(D75,Multipliers!A:B,2,FALSE)), "")</f>
        <v/>
      </c>
      <c r="O75" s="9">
        <f>IF(AND(N75&lt;&gt;"",F75&lt;&gt;"",H75&lt;&gt;"",D75&lt;&gt;""), N75/(F75*H75*VLOOKUP(D75,Multipliers!A:B,2,FALSE)), "")</f>
        <v/>
      </c>
      <c r="P75" s="5">
        <f>P74+N75</f>
        <v/>
      </c>
      <c r="Q75" s="5" t="inlineStr">
        <is>
          <t>Break and Retest</t>
        </is>
      </c>
      <c r="R75" s="5" t="inlineStr">
        <is>
          <t>Imported from Tradovate</t>
        </is>
      </c>
      <c r="S75" s="5" t="inlineStr">
        <is>
          <t>MGC</t>
        </is>
      </c>
      <c r="T75" s="5" t="n"/>
      <c r="U75" s="5" t="inlineStr">
        <is>
          <t>https://www.tradingview.com/x/ThCH9HRj/</t>
        </is>
      </c>
      <c r="V75" s="5" t="inlineStr"/>
      <c r="W75" s="5" t="inlineStr"/>
      <c r="X75" s="5" t="inlineStr"/>
      <c r="Y75" s="5" t="inlineStr"/>
      <c r="Z75" s="5" t="inlineStr"/>
      <c r="AA75" s="5" t="inlineStr"/>
    </row>
    <row r="76" ht="15.75" customHeight="1">
      <c r="A76" s="5" t="n">
        <v>81</v>
      </c>
      <c r="B76" s="22" t="n">
        <v>46262</v>
      </c>
      <c r="C76" s="10" t="n">
        <v>0.4231597222222222</v>
      </c>
      <c r="D76" s="5" t="inlineStr">
        <is>
          <t>MGC</t>
        </is>
      </c>
      <c r="E76" s="5" t="inlineStr">
        <is>
          <t>Short</t>
        </is>
      </c>
      <c r="F76" s="5" t="n">
        <v>4629.7</v>
      </c>
      <c r="G76" s="5" t="n">
        <v>4608.4</v>
      </c>
      <c r="H76" s="5" t="n">
        <v>2</v>
      </c>
      <c r="I76" s="5" t="n">
        <v>4635.8</v>
      </c>
      <c r="J76" s="5" t="n">
        <v>4609</v>
      </c>
      <c r="K76" s="8">
        <f>IF(AND(I76&lt;&gt;"",J76&lt;&gt;"",F76&lt;&gt;""), (J76-F76)/(F76-I76), "")</f>
        <v/>
      </c>
      <c r="L76" s="8">
        <f>IF(AND(F76&lt;&gt;"",G76&lt;&gt;"",I76&lt;&gt;""), (G76-F76)/(F76-I76), "")</f>
        <v/>
      </c>
      <c r="M76" s="5">
        <f>IF(N76&gt;0,"Win",IF(N76&lt;0,"Loss",""))</f>
        <v/>
      </c>
      <c r="N76" s="16">
        <f>IF(AND(F76&lt;&gt;"",G76&lt;&gt;"",H76&lt;&gt;"",D76&lt;&gt;""), IF(E76="Long", (G76-F76)*H76*VLOOKUP(D76,Multipliers!A:B,2,FALSE), (F76-G76)*H76*VLOOKUP(D76,Multipliers!A:B,2,FALSE)), "")</f>
        <v/>
      </c>
      <c r="O76" s="9">
        <f>IF(AND(N76&lt;&gt;"",F76&lt;&gt;"",H76&lt;&gt;"",D76&lt;&gt;""), N76/(F76*H76*VLOOKUP(D76,Multipliers!A:B,2,FALSE)), "")</f>
        <v/>
      </c>
      <c r="P76" s="5">
        <f>P75+N76</f>
        <v/>
      </c>
      <c r="Q76" s="5" t="inlineStr">
        <is>
          <t>Break and Retest</t>
        </is>
      </c>
      <c r="R76" s="5" t="inlineStr">
        <is>
          <t>Imported from Tradovate</t>
        </is>
      </c>
      <c r="S76" s="5" t="inlineStr">
        <is>
          <t>MGC</t>
        </is>
      </c>
      <c r="T76" s="5" t="n"/>
      <c r="U76" s="5" t="inlineStr"/>
      <c r="V76" s="5" t="inlineStr"/>
      <c r="W76" s="5" t="inlineStr"/>
      <c r="X76" s="5" t="inlineStr"/>
      <c r="Y76" s="5" t="inlineStr"/>
      <c r="Z76" s="5" t="inlineStr"/>
      <c r="AA76" s="5" t="inlineStr"/>
    </row>
    <row r="77" ht="15.75" customHeight="1">
      <c r="A77" s="5" t="n">
        <v>82</v>
      </c>
      <c r="B77" s="22" t="n">
        <v>46262</v>
      </c>
      <c r="C77" s="10" t="n">
        <v>0.4344212962962963</v>
      </c>
      <c r="D77" s="5" t="inlineStr">
        <is>
          <t>MNQ</t>
        </is>
      </c>
      <c r="E77" s="5" t="inlineStr">
        <is>
          <t>Short</t>
        </is>
      </c>
      <c r="F77" s="5" t="n">
        <v>29642.25</v>
      </c>
      <c r="G77" s="5" t="n">
        <v>29608.75</v>
      </c>
      <c r="H77" s="5" t="n">
        <v>2</v>
      </c>
      <c r="I77" s="5" t="n">
        <v>29684</v>
      </c>
      <c r="J77" s="5" t="n">
        <v>29608.25</v>
      </c>
      <c r="K77" s="8">
        <f>IF(AND(I77&lt;&gt;"",J77&lt;&gt;"",F77&lt;&gt;""), (J77-F77)/(F77-I77), "")</f>
        <v/>
      </c>
      <c r="L77" s="8">
        <f>IF(AND(F77&lt;&gt;"",G77&lt;&gt;"",I77&lt;&gt;""), (G77-F77)/(F77-I77), "")</f>
        <v/>
      </c>
      <c r="M77" s="5">
        <f>IF(N77&gt;0,"Win",IF(N77&lt;0,"Loss",""))</f>
        <v/>
      </c>
      <c r="N77" s="16">
        <f>IF(AND(F77&lt;&gt;"",G77&lt;&gt;"",H77&lt;&gt;"",D77&lt;&gt;""), IF(E77="Long", (G77-F77)*H77*VLOOKUP(D77,Multipliers!A:B,2,FALSE), (F77-G77)*H77*VLOOKUP(D77,Multipliers!A:B,2,FALSE)), "")</f>
        <v/>
      </c>
      <c r="O77" s="9">
        <f>IF(AND(N77&lt;&gt;"",F77&lt;&gt;"",H77&lt;&gt;"",D77&lt;&gt;""), N77/(F77*H77*VLOOKUP(D77,Multipliers!A:B,2,FALSE)), "")</f>
        <v/>
      </c>
      <c r="P77" s="5">
        <f>P76+N77</f>
        <v/>
      </c>
      <c r="Q77" s="5" t="inlineStr">
        <is>
          <t>Rejection</t>
        </is>
      </c>
      <c r="R77" s="5" t="inlineStr">
        <is>
          <t>Imported from Tradovate</t>
        </is>
      </c>
      <c r="S77" s="5" t="inlineStr">
        <is>
          <t>MNQ</t>
        </is>
      </c>
      <c r="T77" s="5" t="n"/>
      <c r="U77" s="5" t="inlineStr"/>
      <c r="V77" s="5" t="inlineStr">
        <is>
          <t>Cut winner early</t>
        </is>
      </c>
      <c r="W77" s="5" t="inlineStr"/>
      <c r="X77" s="5" t="inlineStr"/>
      <c r="Y77" s="5" t="inlineStr"/>
      <c r="Z77" s="5" t="inlineStr"/>
      <c r="AA77" s="5" t="inlineStr"/>
    </row>
    <row r="78" ht="15.75" customHeight="1">
      <c r="A78" s="5" t="n">
        <v>83</v>
      </c>
      <c r="B78" s="22" t="n">
        <v>46262</v>
      </c>
      <c r="C78" s="10" t="n">
        <v>0.4447569444444445</v>
      </c>
      <c r="D78" s="5" t="inlineStr">
        <is>
          <t>MNQ</t>
        </is>
      </c>
      <c r="E78" s="5" t="inlineStr">
        <is>
          <t>Short</t>
        </is>
      </c>
      <c r="F78" s="5" t="n">
        <v>29692.25</v>
      </c>
      <c r="G78" s="5" t="n">
        <v>29717.75</v>
      </c>
      <c r="H78" s="5" t="n">
        <v>2</v>
      </c>
      <c r="I78" s="5" t="n">
        <v>29717.5</v>
      </c>
      <c r="J78" s="5" t="n">
        <v>29647</v>
      </c>
      <c r="K78" s="8">
        <f>IF(AND(I78&lt;&gt;"",J78&lt;&gt;"",F78&lt;&gt;""), (J78-F78)/(F78-I78), "")</f>
        <v/>
      </c>
      <c r="L78" s="8">
        <f>IF(AND(F78&lt;&gt;"",G78&lt;&gt;"",I78&lt;&gt;""), (G78-F78)/(F78-I78), "")</f>
        <v/>
      </c>
      <c r="M78" s="5">
        <f>IF(N78&gt;0,"Win",IF(N78&lt;0,"Loss",""))</f>
        <v/>
      </c>
      <c r="N78" s="16">
        <f>IF(AND(F78&lt;&gt;"",G78&lt;&gt;"",H78&lt;&gt;"",D78&lt;&gt;""), IF(E78="Long", (G78-F78)*H78*VLOOKUP(D78,Multipliers!A:B,2,FALSE), (F78-G78)*H78*VLOOKUP(D78,Multipliers!A:B,2,FALSE)), "")</f>
        <v/>
      </c>
      <c r="O78" s="9">
        <f>IF(AND(N78&lt;&gt;"",F78&lt;&gt;"",H78&lt;&gt;"",D78&lt;&gt;""), N78/(F78*H78*VLOOKUP(D78,Multipliers!A:B,2,FALSE)), "")</f>
        <v/>
      </c>
      <c r="P78" s="5">
        <f>P77+N78</f>
        <v/>
      </c>
      <c r="Q78" s="5" t="inlineStr">
        <is>
          <t>Break and Retest</t>
        </is>
      </c>
      <c r="R78" s="5" t="inlineStr">
        <is>
          <t>Imported from Tradovate</t>
        </is>
      </c>
      <c r="S78" s="5" t="inlineStr">
        <is>
          <t>MNQ</t>
        </is>
      </c>
      <c r="T78" s="5" t="n"/>
      <c r="U78" s="5" t="n"/>
      <c r="V78" s="5" t="n"/>
      <c r="W78" s="5" t="n"/>
      <c r="X78" s="5" t="n"/>
      <c r="Y78" s="5" t="n"/>
      <c r="Z78" s="5" t="n"/>
      <c r="AA78" s="5" t="n"/>
    </row>
    <row r="79" ht="15.75" customHeight="1">
      <c r="A79" s="5" t="n">
        <v>84</v>
      </c>
      <c r="B79" s="22" t="n">
        <v>46262</v>
      </c>
      <c r="C79" s="10" t="n">
        <v>0.4671759259259259</v>
      </c>
      <c r="D79" s="5" t="inlineStr">
        <is>
          <t>MNQ</t>
        </is>
      </c>
      <c r="E79" s="5" t="inlineStr">
        <is>
          <t>Short</t>
        </is>
      </c>
      <c r="F79" s="5" t="n">
        <v>29747.5</v>
      </c>
      <c r="G79" s="5" t="n">
        <v>29749.75</v>
      </c>
      <c r="H79" s="5" t="n">
        <v>3</v>
      </c>
      <c r="I79" s="5" t="n">
        <v>29759.75</v>
      </c>
      <c r="J79" s="5" t="n"/>
      <c r="K79" s="8">
        <f>IF(AND(I79&lt;&gt;"",J79&lt;&gt;"",F79&lt;&gt;""), (J79-F79)/(F79-I79), "")</f>
        <v/>
      </c>
      <c r="L79" s="8">
        <f>IF(AND(F79&lt;&gt;"",G79&lt;&gt;"",I79&lt;&gt;""), (G79-F79)/(F79-I79), "")</f>
        <v/>
      </c>
      <c r="M79" s="5">
        <f>IF(N79&gt;0,"Win",IF(N79&lt;0,"Loss",""))</f>
        <v/>
      </c>
      <c r="N79" s="16">
        <f>IF(AND(F79&lt;&gt;"",G79&lt;&gt;"",H79&lt;&gt;"",D79&lt;&gt;""), IF(E79="Long", (G79-F79)*H79*VLOOKUP(D79,Multipliers!A:B,2,FALSE), (F79-G79)*H79*VLOOKUP(D79,Multipliers!A:B,2,FALSE)), "")</f>
        <v/>
      </c>
      <c r="O79" s="9">
        <f>IF(AND(N79&lt;&gt;"",F79&lt;&gt;"",H79&lt;&gt;"",D79&lt;&gt;""), N79/(F79*H79*VLOOKUP(D79,Multipliers!A:B,2,FALSE)), "")</f>
        <v/>
      </c>
      <c r="P79" s="5">
        <f>P78+N79</f>
        <v/>
      </c>
      <c r="Q79" s="5" t="inlineStr">
        <is>
          <t>Break and Retest</t>
        </is>
      </c>
      <c r="R79" s="5" t="inlineStr">
        <is>
          <t>Imported from Tradovate</t>
        </is>
      </c>
      <c r="S79" s="5" t="inlineStr">
        <is>
          <t>MNQ</t>
        </is>
      </c>
      <c r="T79" s="5" t="n"/>
      <c r="U79" s="5" t="n"/>
      <c r="V79" s="5" t="n"/>
      <c r="W79" s="5" t="n"/>
      <c r="X79" s="5" t="n"/>
      <c r="Y79" s="5" t="n"/>
      <c r="Z79" s="5" t="n"/>
      <c r="AA79" s="5" t="n"/>
    </row>
    <row r="80" ht="15.75" customHeight="1">
      <c r="A80" s="5" t="n">
        <v>85</v>
      </c>
      <c r="B80" s="22" t="n">
        <v>46262</v>
      </c>
      <c r="C80" s="10" t="n">
        <v>0.5370833333333334</v>
      </c>
      <c r="D80" s="5" t="inlineStr">
        <is>
          <t>MNQ</t>
        </is>
      </c>
      <c r="E80" s="5" t="inlineStr">
        <is>
          <t>Long</t>
        </is>
      </c>
      <c r="F80" s="5" t="n">
        <v>29537.25</v>
      </c>
      <c r="G80" s="5" t="n">
        <v>29510.25</v>
      </c>
      <c r="H80" s="5" t="n">
        <v>3</v>
      </c>
      <c r="I80" s="5" t="n">
        <v>29510.25</v>
      </c>
      <c r="J80" s="5" t="n">
        <v>29557.75</v>
      </c>
      <c r="K80" s="8">
        <f>IF(AND(I80&lt;&gt;"",J80&lt;&gt;"",F80&lt;&gt;""), (J80-F80)/(F80-I80), "")</f>
        <v/>
      </c>
      <c r="L80" s="8">
        <f>IF(AND(F80&lt;&gt;"",G80&lt;&gt;"",I80&lt;&gt;""), (G80-F80)/(F80-I80), "")</f>
        <v/>
      </c>
      <c r="M80" s="5">
        <f>IF(N80&gt;0,"Win",IF(N80&lt;0,"Loss",""))</f>
        <v/>
      </c>
      <c r="N80" s="16">
        <f>IF(AND(F80&lt;&gt;"",G80&lt;&gt;"",H80&lt;&gt;"",D80&lt;&gt;""), IF(E80="Long", (G80-F80)*H80*VLOOKUP(D80,Multipliers!A:B,2,FALSE), (F80-G80)*H80*VLOOKUP(D80,Multipliers!A:B,2,FALSE)), "")</f>
        <v/>
      </c>
      <c r="O80" s="9">
        <f>IF(AND(N80&lt;&gt;"",F80&lt;&gt;"",H80&lt;&gt;"",D80&lt;&gt;""), N80/(F80*H80*VLOOKUP(D80,Multipliers!A:B,2,FALSE)), "")</f>
        <v/>
      </c>
      <c r="P80" s="5">
        <f>P79+N80</f>
        <v/>
      </c>
      <c r="Q80" s="5" t="inlineStr">
        <is>
          <t>Break and Retest</t>
        </is>
      </c>
      <c r="R80" s="5" t="inlineStr">
        <is>
          <t>Imported from Tradovate</t>
        </is>
      </c>
      <c r="S80" s="5" t="inlineStr">
        <is>
          <t>MNQ</t>
        </is>
      </c>
      <c r="T80" s="5" t="n"/>
      <c r="U80" s="5" t="n"/>
      <c r="V80" s="5" t="n"/>
      <c r="W80" s="5" t="n"/>
      <c r="X80" s="5" t="n"/>
      <c r="Y80" s="5" t="n"/>
      <c r="Z80" s="5" t="n"/>
      <c r="AA80" s="5" t="n"/>
    </row>
    <row r="81" ht="15.75" customHeight="1">
      <c r="A81" s="5" t="n">
        <v>86</v>
      </c>
      <c r="B81" s="22" t="n">
        <v>46264</v>
      </c>
      <c r="C81" s="10" t="n">
        <v>0.7525925925925926</v>
      </c>
      <c r="D81" s="5" t="inlineStr">
        <is>
          <t>MGC</t>
        </is>
      </c>
      <c r="E81" s="5" t="inlineStr">
        <is>
          <t>Long</t>
        </is>
      </c>
      <c r="F81" s="5" t="n">
        <v>4499.6</v>
      </c>
      <c r="G81" s="5" t="n">
        <v>4506.233333</v>
      </c>
      <c r="H81" s="5" t="n">
        <v>3</v>
      </c>
      <c r="I81" s="5" t="n">
        <v>4482.5</v>
      </c>
      <c r="J81" s="5" t="n">
        <v>4506.5</v>
      </c>
      <c r="K81" s="8">
        <f>IF(AND(I81&lt;&gt;"",J81&lt;&gt;"",F81&lt;&gt;""), (J81-F81)/(F81-I81), "")</f>
        <v/>
      </c>
      <c r="L81" s="8">
        <f>IF(AND(F81&lt;&gt;"",G81&lt;&gt;"",I81&lt;&gt;""), (G81-F81)/(F81-I81), "")</f>
        <v/>
      </c>
      <c r="M81" s="5">
        <f>IF(N81&gt;0,"Win",IF(N81&lt;0,"Loss",""))</f>
        <v/>
      </c>
      <c r="N81" s="16">
        <f>IF(AND(F81&lt;&gt;"",G81&lt;&gt;"",H81&lt;&gt;"",D81&lt;&gt;""), IF(E81="Long", (G81-F81)*H81*VLOOKUP(D81,Multipliers!A:B,2,FALSE), (F81-G81)*H81*VLOOKUP(D81,Multipliers!A:B,2,FALSE)), "")</f>
        <v/>
      </c>
      <c r="O81" s="9">
        <f>IF(AND(N81&lt;&gt;"",F81&lt;&gt;"",H81&lt;&gt;"",D81&lt;&gt;""), N81/(F81*H81*VLOOKUP(D81,Multipliers!A:B,2,FALSE)), "")</f>
        <v/>
      </c>
      <c r="P81" s="5">
        <f>P80+N81</f>
        <v/>
      </c>
      <c r="Q81" s="5" t="inlineStr">
        <is>
          <t>Gap up</t>
        </is>
      </c>
      <c r="R81" s="5" t="inlineStr">
        <is>
          <t>Imported from Tradovate</t>
        </is>
      </c>
      <c r="S81" s="5" t="inlineStr">
        <is>
          <t>MGC</t>
        </is>
      </c>
      <c r="T81" s="5" t="n"/>
      <c r="U81" s="5" t="inlineStr"/>
      <c r="V81" s="5" t="inlineStr"/>
      <c r="W81" s="5" t="inlineStr"/>
      <c r="X81" s="5" t="inlineStr"/>
      <c r="Y81" s="5" t="inlineStr"/>
      <c r="Z81" s="5" t="inlineStr"/>
      <c r="AA81" s="5" t="inlineStr"/>
    </row>
    <row r="82" ht="15.75" customHeight="1">
      <c r="A82" s="5" t="n">
        <v>87</v>
      </c>
      <c r="B82" s="22" t="n">
        <v>46264</v>
      </c>
      <c r="C82" s="10" t="n">
        <v>0.7696064814814815</v>
      </c>
      <c r="D82" s="5" t="inlineStr">
        <is>
          <t>MGC</t>
        </is>
      </c>
      <c r="E82" s="5" t="inlineStr">
        <is>
          <t>Short</t>
        </is>
      </c>
      <c r="F82" s="5" t="n">
        <v>4508.933333</v>
      </c>
      <c r="G82" s="5" t="n">
        <v>4508.1</v>
      </c>
      <c r="H82" s="5" t="n">
        <v>3</v>
      </c>
      <c r="I82" s="5" t="n">
        <v>4521.7</v>
      </c>
      <c r="J82" s="5" t="n">
        <v>4508.2</v>
      </c>
      <c r="K82" s="8">
        <f>IF(AND(I82&lt;&gt;"",J82&lt;&gt;"",F82&lt;&gt;""), (J82-F82)/(F82-I82), "")</f>
        <v/>
      </c>
      <c r="L82" s="8">
        <f>IF(AND(F82&lt;&gt;"",G82&lt;&gt;"",I82&lt;&gt;""), (G82-F82)/(F82-I82), "")</f>
        <v/>
      </c>
      <c r="M82" s="5">
        <f>IF(N82&gt;0,"Win",IF(N82&lt;0,"Loss",""))</f>
        <v/>
      </c>
      <c r="N82" s="16">
        <f>IF(AND(F82&lt;&gt;"",G82&lt;&gt;"",H82&lt;&gt;"",D82&lt;&gt;""), IF(E82="Long", (G82-F82)*H82*VLOOKUP(D82,Multipliers!A:B,2,FALSE), (F82-G82)*H82*VLOOKUP(D82,Multipliers!A:B,2,FALSE)), "")</f>
        <v/>
      </c>
      <c r="O82" s="9">
        <f>IF(AND(N82&lt;&gt;"",F82&lt;&gt;"",H82&lt;&gt;"",D82&lt;&gt;""), N82/(F82*H82*VLOOKUP(D82,Multipliers!A:B,2,FALSE)), "")</f>
        <v/>
      </c>
      <c r="P82" s="5">
        <f>P81+N82</f>
        <v/>
      </c>
      <c r="Q82" s="5" t="inlineStr">
        <is>
          <t>ZTH Indicator</t>
        </is>
      </c>
      <c r="R82" s="5" t="inlineStr">
        <is>
          <t>Imported from Tradovate</t>
        </is>
      </c>
      <c r="S82" s="5" t="inlineStr">
        <is>
          <t>MGC</t>
        </is>
      </c>
      <c r="T82" s="5" t="n"/>
      <c r="U82" s="5" t="inlineStr"/>
      <c r="V82" s="5" t="inlineStr"/>
      <c r="W82" s="5" t="inlineStr"/>
      <c r="X82" s="5" t="inlineStr"/>
      <c r="Y82" s="5" t="inlineStr"/>
      <c r="Z82" s="5" t="inlineStr"/>
      <c r="AA82" s="5" t="inlineStr"/>
    </row>
    <row r="83" ht="15.75" customHeight="1">
      <c r="A83" s="5" t="n">
        <v>88</v>
      </c>
      <c r="B83" s="22" t="n">
        <v>46265</v>
      </c>
      <c r="C83" s="10" t="n">
        <v>0.004861111111111111</v>
      </c>
      <c r="D83" s="5" t="inlineStr">
        <is>
          <t>MGC</t>
        </is>
      </c>
      <c r="E83" s="5" t="inlineStr">
        <is>
          <t>Short</t>
        </is>
      </c>
      <c r="F83" s="5" t="n">
        <v>4468.4</v>
      </c>
      <c r="G83" s="5" t="n">
        <v>4466.833333</v>
      </c>
      <c r="H83" s="5" t="n">
        <v>3</v>
      </c>
      <c r="I83" s="5" t="n">
        <v>4472.6</v>
      </c>
      <c r="J83" s="5" t="n">
        <v>4466.7</v>
      </c>
      <c r="K83" s="8">
        <f>IF(AND(I83&lt;&gt;"",J83&lt;&gt;"",F83&lt;&gt;""), (J83-F83)/(F83-I83), "")</f>
        <v/>
      </c>
      <c r="L83" s="8">
        <f>IF(AND(F83&lt;&gt;"",G83&lt;&gt;"",I83&lt;&gt;""), (G83-F83)/(F83-I83), "")</f>
        <v/>
      </c>
      <c r="M83" s="5">
        <f>IF(N83&gt;0,"Win",IF(N83&lt;0,"Loss",""))</f>
        <v/>
      </c>
      <c r="N83" s="16">
        <f>IF(AND(F83&lt;&gt;"",G83&lt;&gt;"",H83&lt;&gt;"",D83&lt;&gt;""), IF(E83="Long", (G83-F83)*H83*VLOOKUP(D83,Multipliers!A:B,2,FALSE), (F83-G83)*H83*VLOOKUP(D83,Multipliers!A:B,2,FALSE)), "")</f>
        <v/>
      </c>
      <c r="O83" s="9">
        <f>IF(AND(N83&lt;&gt;"",F83&lt;&gt;"",H83&lt;&gt;"",D83&lt;&gt;""), N83/(F83*H83*VLOOKUP(D83,Multipliers!A:B,2,FALSE)), "")</f>
        <v/>
      </c>
      <c r="P83" s="5">
        <f>P82+N83</f>
        <v/>
      </c>
      <c r="Q83" s="5" t="inlineStr">
        <is>
          <t>Break and Retest</t>
        </is>
      </c>
      <c r="R83" s="5" t="inlineStr">
        <is>
          <t>Imported from Tradovate</t>
        </is>
      </c>
      <c r="S83" s="5" t="inlineStr">
        <is>
          <t>MGC</t>
        </is>
      </c>
      <c r="T83" s="5" t="n"/>
      <c r="U83" s="5" t="n"/>
      <c r="V83" s="5" t="n"/>
      <c r="W83" s="5" t="n"/>
      <c r="X83" s="5" t="n"/>
      <c r="Y83" s="5" t="n"/>
      <c r="Z83" s="5" t="n"/>
      <c r="AA83" s="5" t="n"/>
    </row>
    <row r="84" ht="15.75" customHeight="1">
      <c r="A84" s="5" t="n">
        <v>89</v>
      </c>
      <c r="B84" s="22" t="n">
        <v>46264</v>
      </c>
      <c r="C84" s="10" t="n">
        <v>0.8926157407407408</v>
      </c>
      <c r="D84" s="5" t="inlineStr">
        <is>
          <t>MGC</t>
        </is>
      </c>
      <c r="E84" s="5" t="inlineStr">
        <is>
          <t>Short</t>
        </is>
      </c>
      <c r="F84" s="5" t="n">
        <v>4495.4</v>
      </c>
      <c r="G84" s="5" t="n">
        <v>4493.3</v>
      </c>
      <c r="H84" s="5" t="n">
        <v>2</v>
      </c>
      <c r="I84" s="5" t="n">
        <v>4502.9</v>
      </c>
      <c r="J84" s="5" t="n">
        <v>4493.3</v>
      </c>
      <c r="K84" s="8">
        <f>IF(AND(I84&lt;&gt;"",J84&lt;&gt;"",F84&lt;&gt;""), (J84-F84)/(F84-I84), "")</f>
        <v/>
      </c>
      <c r="L84" s="8">
        <f>IF(AND(F84&lt;&gt;"",G84&lt;&gt;"",I84&lt;&gt;""), (G84-F84)/(F84-I84), "")</f>
        <v/>
      </c>
      <c r="M84" s="5">
        <f>IF(N84&gt;0,"Win",IF(N84&lt;0,"Loss",""))</f>
        <v/>
      </c>
      <c r="N84" s="16">
        <f>IF(AND(F84&lt;&gt;"",G84&lt;&gt;"",H84&lt;&gt;"",D84&lt;&gt;""), IF(E84="Long", (G84-F84)*H84*VLOOKUP(D84,Multipliers!A:B,2,FALSE), (F84-G84)*H84*VLOOKUP(D84,Multipliers!A:B,2,FALSE)), "")</f>
        <v/>
      </c>
      <c r="O84" s="9">
        <f>IF(AND(N84&lt;&gt;"",F84&lt;&gt;"",H84&lt;&gt;"",D84&lt;&gt;""), N84/(F84*H84*VLOOKUP(D84,Multipliers!A:B,2,FALSE)), "")</f>
        <v/>
      </c>
      <c r="P84" s="5">
        <f>P83+N84</f>
        <v/>
      </c>
      <c r="Q84" s="5" t="inlineStr">
        <is>
          <t>Break and Retest</t>
        </is>
      </c>
      <c r="R84" s="5" t="inlineStr">
        <is>
          <t>Imported from Tradovate</t>
        </is>
      </c>
      <c r="S84" s="5" t="inlineStr">
        <is>
          <t>MGC</t>
        </is>
      </c>
      <c r="T84" s="5" t="n"/>
      <c r="U84" s="5" t="n"/>
      <c r="V84" s="5" t="inlineStr">
        <is>
          <t>Oversized</t>
        </is>
      </c>
      <c r="W84" s="5" t="n"/>
      <c r="X84" s="5" t="n"/>
      <c r="Y84" s="5" t="n"/>
      <c r="Z84" s="5" t="n"/>
      <c r="AA84" s="5" t="n"/>
    </row>
    <row r="85" ht="15.75" customHeight="1">
      <c r="A85" s="5" t="n">
        <v>90</v>
      </c>
      <c r="B85" s="22" t="n">
        <v>46264</v>
      </c>
      <c r="C85" s="10" t="n">
        <v>0.9793518518518518</v>
      </c>
      <c r="D85" s="5" t="inlineStr">
        <is>
          <t>MGC</t>
        </is>
      </c>
      <c r="E85" s="5" t="inlineStr">
        <is>
          <t>Short</t>
        </is>
      </c>
      <c r="F85" s="5" t="n">
        <v>4472.833333</v>
      </c>
      <c r="G85" s="5" t="n">
        <v>4469.211111</v>
      </c>
      <c r="H85" s="5" t="n">
        <v>9</v>
      </c>
      <c r="I85" s="5" t="n">
        <v>4479.8</v>
      </c>
      <c r="J85" s="5" t="n">
        <v>4466.7</v>
      </c>
      <c r="K85" s="8">
        <f>IF(AND(I85&lt;&gt;"",J85&lt;&gt;"",F85&lt;&gt;""), (J85-F85)/(F85-I85), "")</f>
        <v/>
      </c>
      <c r="L85" s="8">
        <f>IF(AND(F85&lt;&gt;"",G85&lt;&gt;"",I85&lt;&gt;""), (G85-F85)/(F85-I85), "")</f>
        <v/>
      </c>
      <c r="M85" s="5">
        <f>IF(N85&gt;0,"Win",IF(N85&lt;0,"Loss",""))</f>
        <v/>
      </c>
      <c r="N85" s="16">
        <f>IF(AND(F85&lt;&gt;"",G85&lt;&gt;"",H85&lt;&gt;"",D85&lt;&gt;""), IF(E85="Long", (G85-F85)*H85*VLOOKUP(D85,Multipliers!A:B,2,FALSE), (F85-G85)*H85*VLOOKUP(D85,Multipliers!A:B,2,FALSE)), "")</f>
        <v/>
      </c>
      <c r="O85" s="9">
        <f>IF(AND(N85&lt;&gt;"",F85&lt;&gt;"",H85&lt;&gt;"",D85&lt;&gt;""), N85/(F85*H85*VLOOKUP(D85,Multipliers!A:B,2,FALSE)), "")</f>
        <v/>
      </c>
      <c r="P85" s="5">
        <f>P84+N85</f>
        <v/>
      </c>
      <c r="Q85" s="5" t="inlineStr">
        <is>
          <t>ZTH Indicator</t>
        </is>
      </c>
      <c r="R85" s="5" t="inlineStr">
        <is>
          <t>Imported from Tradovate</t>
        </is>
      </c>
      <c r="S85" s="5" t="inlineStr">
        <is>
          <t>MGC</t>
        </is>
      </c>
      <c r="T85" s="5" t="n"/>
      <c r="U85" s="5" t="inlineStr"/>
      <c r="V85" s="5" t="inlineStr">
        <is>
          <t>Oversized</t>
        </is>
      </c>
      <c r="W85" s="5" t="inlineStr"/>
      <c r="X85" s="5" t="inlineStr"/>
      <c r="Y85" s="5" t="inlineStr"/>
      <c r="Z85" s="5" t="inlineStr"/>
      <c r="AA85" s="5" t="inlineStr"/>
    </row>
    <row r="86" ht="15.75" customHeight="1">
      <c r="A86" s="5" t="n">
        <v>91</v>
      </c>
      <c r="B86" s="22" t="n">
        <v>46265</v>
      </c>
      <c r="C86" s="10" t="n">
        <v>0.007673611111111111</v>
      </c>
      <c r="D86" s="5" t="inlineStr">
        <is>
          <t>MGC</t>
        </is>
      </c>
      <c r="E86" s="5" t="inlineStr">
        <is>
          <t>Long</t>
        </is>
      </c>
      <c r="F86" s="5" t="n">
        <v>4466.7</v>
      </c>
      <c r="G86" s="5" t="n">
        <v>4468.233333</v>
      </c>
      <c r="H86" s="5" t="n">
        <v>3</v>
      </c>
      <c r="I86" s="5" t="n"/>
      <c r="J86" s="5" t="n">
        <v>4469</v>
      </c>
      <c r="K86" s="8">
        <f>IF(AND(I86&lt;&gt;"",J86&lt;&gt;"",F86&lt;&gt;""), (J86-F86)/(F86-I86), "")</f>
        <v/>
      </c>
      <c r="L86" s="8">
        <f>IF(AND(F86&lt;&gt;"",G86&lt;&gt;"",I86&lt;&gt;""), (G86-F86)/(F86-I86), "")</f>
        <v/>
      </c>
      <c r="M86" s="5">
        <f>IF(N86&gt;0,"Win",IF(N86&lt;0,"Loss",""))</f>
        <v/>
      </c>
      <c r="N86" s="16">
        <f>IF(AND(F86&lt;&gt;"",G86&lt;&gt;"",H86&lt;&gt;"",D86&lt;&gt;""), IF(E86="Long", (G86-F86)*H86*VLOOKUP(D86,Multipliers!A:B,2,FALSE), (F86-G86)*H86*VLOOKUP(D86,Multipliers!A:B,2,FALSE)), "")</f>
        <v/>
      </c>
      <c r="O86" s="9">
        <f>IF(AND(N86&lt;&gt;"",F86&lt;&gt;"",H86&lt;&gt;"",D86&lt;&gt;""), N86/(F86*H86*VLOOKUP(D86,Multipliers!A:B,2,FALSE)), "")</f>
        <v/>
      </c>
      <c r="P86" s="5">
        <f>P85+N86</f>
        <v/>
      </c>
      <c r="Q86" s="5" t="inlineStr">
        <is>
          <t>Break and Retest</t>
        </is>
      </c>
      <c r="R86" s="5" t="inlineStr">
        <is>
          <t>Imported from Tradovate</t>
        </is>
      </c>
      <c r="S86" s="5" t="inlineStr">
        <is>
          <t>MGC</t>
        </is>
      </c>
      <c r="T86" s="5" t="n"/>
      <c r="U86" s="5" t="n"/>
      <c r="V86" s="5" t="inlineStr">
        <is>
          <t>Overtraded</t>
        </is>
      </c>
      <c r="W86" s="5" t="n"/>
      <c r="X86" s="5" t="n"/>
      <c r="Y86" s="5" t="n"/>
      <c r="Z86" s="5" t="n"/>
      <c r="AA86" s="5" t="n"/>
    </row>
    <row r="87" ht="15.75" customHeight="1">
      <c r="A87" s="5" t="n">
        <v>93</v>
      </c>
      <c r="B87" s="22" t="n">
        <v>46265</v>
      </c>
      <c r="C87" s="10" t="n">
        <v>0.4046875</v>
      </c>
      <c r="D87" s="5" t="inlineStr">
        <is>
          <t>MNQ</t>
        </is>
      </c>
      <c r="E87" s="5" t="inlineStr">
        <is>
          <t>Short</t>
        </is>
      </c>
      <c r="F87" s="5" t="n">
        <v>29429</v>
      </c>
      <c r="G87" s="5" t="n">
        <v>29395.5</v>
      </c>
      <c r="H87" s="5" t="n">
        <v>2</v>
      </c>
      <c r="I87" s="5" t="n">
        <v>29454</v>
      </c>
      <c r="J87" s="5" t="n">
        <v>29395.5</v>
      </c>
      <c r="K87" s="8">
        <f>IF(AND(I88&lt;&gt;"",J88&lt;&gt;"",F88&lt;&gt;""), (J88-F88)/(F88-I88), "")</f>
        <v/>
      </c>
      <c r="L87" s="8">
        <f>IF(AND(F88&lt;&gt;"",G88&lt;&gt;"",I88&lt;&gt;""), (G88-F88)/(F88-I88), "")</f>
        <v/>
      </c>
      <c r="M87" s="5">
        <f>IF(N88&gt;0,"Win",IF(N88&lt;0,"Loss",""))</f>
        <v/>
      </c>
      <c r="N87" s="16">
        <f>IF(AND(F88&lt;&gt;"",G88&lt;&gt;"",H88&lt;&gt;"",D88&lt;&gt;""), IF(E88="Long", (G88-F88)*H88*VLOOKUP(D88,Multipliers!A:B,2,FALSE), (F88-G88)*H88*VLOOKUP(D88,Multipliers!A:B,2,FALSE)), "")</f>
        <v/>
      </c>
      <c r="O87" s="9">
        <f>IF(AND(N88&lt;&gt;"",F88&lt;&gt;"",H88&lt;&gt;"",D88&lt;&gt;""), N88/(F88*H88*VLOOKUP(D88,Multipliers!A:B,2,FALSE)), "")</f>
        <v/>
      </c>
      <c r="P87" s="5">
        <f>P86+N87</f>
        <v/>
      </c>
      <c r="Q87" s="5" t="inlineStr">
        <is>
          <t>Break and Retest</t>
        </is>
      </c>
      <c r="R87" s="5" t="inlineStr">
        <is>
          <t>Imported from Tradovate</t>
        </is>
      </c>
      <c r="S87" s="11" t="inlineStr">
        <is>
          <t>MNQ</t>
        </is>
      </c>
      <c r="T87" s="11" t="n"/>
      <c r="U87" s="5" t="n"/>
      <c r="V87" s="5" t="inlineStr">
        <is>
          <t>Overtraded</t>
        </is>
      </c>
      <c r="W87" s="5" t="n"/>
      <c r="X87" s="5" t="n"/>
      <c r="Y87" s="5" t="n"/>
      <c r="Z87" s="5" t="n"/>
      <c r="AA87" s="5" t="n"/>
    </row>
    <row r="88" ht="15.75" customHeight="1">
      <c r="A88" s="5" t="n">
        <v>94</v>
      </c>
      <c r="B88" s="22" t="n">
        <v>46265</v>
      </c>
      <c r="C88" s="10" t="n">
        <v>0.4141898148148148</v>
      </c>
      <c r="D88" s="5" t="inlineStr">
        <is>
          <t>MNQ</t>
        </is>
      </c>
      <c r="E88" s="5" t="inlineStr">
        <is>
          <t>Long</t>
        </is>
      </c>
      <c r="F88" s="5" t="n">
        <v>29460.75</v>
      </c>
      <c r="G88" s="5" t="n">
        <v>29439.25</v>
      </c>
      <c r="H88" s="5" t="n">
        <v>3</v>
      </c>
      <c r="I88" s="5" t="n">
        <v>29439.25</v>
      </c>
      <c r="J88" s="5" t="n">
        <v>29468</v>
      </c>
      <c r="K88" s="8">
        <f>IF(AND(I89&lt;&gt;"",J89&lt;&gt;"",F89&lt;&gt;""), (J89-F89)/(F89-I89), "")</f>
        <v/>
      </c>
      <c r="L88" s="8">
        <f>IF(AND(F89&lt;&gt;"",G89&lt;&gt;"",I89&lt;&gt;""), (G89-F89)/(F89-I89), "")</f>
        <v/>
      </c>
      <c r="M88" s="5">
        <f>IF(N89&gt;0,"Win",IF(N89&lt;0,"Loss",""))</f>
        <v/>
      </c>
      <c r="N88" s="16">
        <f>IF(AND(F89&lt;&gt;"",G89&lt;&gt;"",H89&lt;&gt;"",D89&lt;&gt;""), IF(E89="Long", (G89-F89)*H89*VLOOKUP(D89,Multipliers!A:B,2,FALSE), (F89-G89)*H89*VLOOKUP(D89,Multipliers!A:B,2,FALSE)), "")</f>
        <v/>
      </c>
      <c r="O88" s="9">
        <f>IF(AND(N89&lt;&gt;"",F89&lt;&gt;"",H89&lt;&gt;"",D89&lt;&gt;""), N89/(F89*H89*VLOOKUP(D89,Multipliers!A:B,2,FALSE)), "")</f>
        <v/>
      </c>
      <c r="P88" s="5">
        <f>P87+N88</f>
        <v/>
      </c>
      <c r="Q88" s="5" t="inlineStr">
        <is>
          <t>Break and Retest</t>
        </is>
      </c>
      <c r="R88" s="5" t="inlineStr">
        <is>
          <t>Imported from Tradovate</t>
        </is>
      </c>
      <c r="S88" s="5" t="inlineStr">
        <is>
          <t>MNQ</t>
        </is>
      </c>
      <c r="T88" s="5" t="n"/>
      <c r="U88" s="5" t="n"/>
      <c r="V88" s="5" t="inlineStr">
        <is>
          <t>Overtraded</t>
        </is>
      </c>
      <c r="W88" s="5" t="n"/>
      <c r="X88" s="5" t="n"/>
      <c r="Y88" s="5" t="n"/>
      <c r="Z88" s="5" t="n"/>
      <c r="AA88" s="5" t="n"/>
    </row>
    <row r="89" ht="15.75" customHeight="1">
      <c r="A89" s="5" t="n">
        <v>96</v>
      </c>
      <c r="B89" s="22" t="n">
        <v>46265</v>
      </c>
      <c r="C89" s="10" t="n">
        <v>0.4248032407407407</v>
      </c>
      <c r="D89" s="5" t="inlineStr">
        <is>
          <t>MNQ</t>
        </is>
      </c>
      <c r="E89" s="5" t="inlineStr">
        <is>
          <t>Short</t>
        </is>
      </c>
      <c r="F89" s="5" t="n">
        <v>29395</v>
      </c>
      <c r="G89" s="5" t="n">
        <v>29415</v>
      </c>
      <c r="H89" s="5" t="n">
        <v>3</v>
      </c>
      <c r="I89" s="5" t="n">
        <v>29415</v>
      </c>
      <c r="J89" s="5" t="n">
        <v>29394</v>
      </c>
      <c r="K89" s="8">
        <f>IF(AND(I91&lt;&gt;"",J91&lt;&gt;"",F91&lt;&gt;""), (J91-F91)/(F91-I91), "")</f>
        <v/>
      </c>
      <c r="L89" s="8">
        <f>IF(AND(F91&lt;&gt;"",G91&lt;&gt;"",I91&lt;&gt;""), (G91-F91)/(F91-I91), "")</f>
        <v/>
      </c>
      <c r="M89" s="5">
        <f>IF(N91&gt;0,"Win",IF(N91&lt;0,"Loss",""))</f>
        <v/>
      </c>
      <c r="N89" s="16">
        <f>IF(AND(F91&lt;&gt;"",G91&lt;&gt;"",H91&lt;&gt;"",D91&lt;&gt;""), IF(E91="Long", (G91-F91)*H91*VLOOKUP(D91,Multipliers!A:B,2,FALSE), (F91-G91)*H91*VLOOKUP(D91,Multipliers!A:B,2,FALSE)), "")</f>
        <v/>
      </c>
      <c r="O89" s="9">
        <f>IF(AND(N91&lt;&gt;"",F91&lt;&gt;"",H91&lt;&gt;"",D91&lt;&gt;""), N91/(F91*H91*VLOOKUP(D91,Multipliers!A:B,2,FALSE)), "")</f>
        <v/>
      </c>
      <c r="P89" s="5">
        <f>P88+N89</f>
        <v/>
      </c>
      <c r="Q89" s="5" t="inlineStr">
        <is>
          <t>Break and Retest</t>
        </is>
      </c>
      <c r="R89" s="5" t="inlineStr">
        <is>
          <t>Imported from Tradovate</t>
        </is>
      </c>
      <c r="S89" s="5" t="inlineStr">
        <is>
          <t>MNQ</t>
        </is>
      </c>
      <c r="T89" s="5" t="n"/>
      <c r="U89" s="5" t="n"/>
      <c r="V89" s="5" t="inlineStr">
        <is>
          <t>Revenge trade, Overtraded</t>
        </is>
      </c>
      <c r="W89" s="5" t="n"/>
      <c r="X89" s="5" t="n"/>
      <c r="Y89" s="5" t="n"/>
      <c r="Z89" s="5" t="n"/>
      <c r="AA89" s="5" t="n"/>
    </row>
    <row r="90" ht="15.75" customHeight="1">
      <c r="A90" s="5" t="n">
        <v>97</v>
      </c>
      <c r="B90" s="22" t="n">
        <v>46265</v>
      </c>
      <c r="C90" s="10" t="n">
        <v>0.4452083333333333</v>
      </c>
      <c r="D90" s="5" t="inlineStr">
        <is>
          <t>MNQ</t>
        </is>
      </c>
      <c r="E90" s="5" t="inlineStr">
        <is>
          <t>Long</t>
        </is>
      </c>
      <c r="F90" s="5" t="n">
        <v>29410</v>
      </c>
      <c r="G90" s="5" t="n">
        <v>29435</v>
      </c>
      <c r="H90" s="5" t="n">
        <v>5</v>
      </c>
      <c r="I90" s="5" t="n">
        <v>29400</v>
      </c>
      <c r="J90" s="5" t="n">
        <v>29435</v>
      </c>
      <c r="K90" s="8">
        <f>IF(AND(I92&lt;&gt;"",J92&lt;&gt;"",F92&lt;&gt;""), (J92-F92)/(F92-I92), "")</f>
        <v/>
      </c>
      <c r="L90" s="8">
        <f>IF(AND(F92&lt;&gt;"",G92&lt;&gt;"",I92&lt;&gt;""), (G92-F92)/(F92-I92), "")</f>
        <v/>
      </c>
      <c r="M90" s="5">
        <f>IF(N92&gt;0,"Win",IF(N92&lt;0,"Loss",""))</f>
        <v/>
      </c>
      <c r="N90" s="16">
        <f>IF(AND(F92&lt;&gt;"",G92&lt;&gt;"",H92&lt;&gt;"",D92&lt;&gt;""), IF(E92="Long", (G92-F92)*H92*VLOOKUP(D92,Multipliers!A:B,2,FALSE), (F92-G92)*H92*VLOOKUP(D92,Multipliers!A:B,2,FALSE)), "")</f>
        <v/>
      </c>
      <c r="O90" s="9">
        <f>IF(AND(N92&lt;&gt;"",F92&lt;&gt;"",H92&lt;&gt;"",D92&lt;&gt;""), N92/(F92*H92*VLOOKUP(D92,Multipliers!A:B,2,FALSE)), "")</f>
        <v/>
      </c>
      <c r="P90" s="5">
        <f>P89+N90</f>
        <v/>
      </c>
      <c r="Q90" s="5" t="inlineStr">
        <is>
          <t>Break and Retest</t>
        </is>
      </c>
      <c r="R90" s="5" t="inlineStr">
        <is>
          <t>Imported from Tradovate</t>
        </is>
      </c>
      <c r="S90" s="5" t="inlineStr">
        <is>
          <t>MNQ</t>
        </is>
      </c>
      <c r="T90" s="5" t="n"/>
      <c r="U90" s="5" t="n"/>
      <c r="V90" s="5" t="inlineStr">
        <is>
          <t>Overtraded</t>
        </is>
      </c>
      <c r="W90" s="5" t="n"/>
      <c r="X90" s="5" t="n"/>
      <c r="Y90" s="5" t="n"/>
      <c r="Z90" s="5" t="n"/>
      <c r="AA90" s="5" t="n"/>
    </row>
    <row r="91" ht="15.75" customHeight="1">
      <c r="A91" s="5" t="n">
        <v>98</v>
      </c>
      <c r="B91" s="22" t="n">
        <v>46265</v>
      </c>
      <c r="C91" s="10" t="n">
        <v>0.4496643518518518</v>
      </c>
      <c r="D91" s="5" t="inlineStr">
        <is>
          <t>MNQ</t>
        </is>
      </c>
      <c r="E91" s="5" t="inlineStr">
        <is>
          <t>Long</t>
        </is>
      </c>
      <c r="F91" s="5" t="n">
        <v>29408.5</v>
      </c>
      <c r="G91" s="5" t="n">
        <v>29399.75</v>
      </c>
      <c r="H91" s="5" t="n">
        <v>5</v>
      </c>
      <c r="I91" s="5" t="n">
        <v>29392.75</v>
      </c>
      <c r="J91" s="5" t="n">
        <v>29443.25</v>
      </c>
      <c r="K91" s="8">
        <f>IF(AND(I93&lt;&gt;"",J93&lt;&gt;"",F93&lt;&gt;""), (J93-F93)/(F93-I93), "")</f>
        <v/>
      </c>
      <c r="L91" s="8">
        <f>IF(AND(F93&lt;&gt;"",G93&lt;&gt;"",I93&lt;&gt;""), (G93-F93)/(F93-I93), "")</f>
        <v/>
      </c>
      <c r="M91" s="5">
        <f>IF(N93&gt;0,"Win",IF(N93&lt;0,"Loss",""))</f>
        <v/>
      </c>
      <c r="N91" s="16">
        <f>IF(AND(F93&lt;&gt;"",G93&lt;&gt;"",H93&lt;&gt;"",D93&lt;&gt;""), IF(E93="Long", (G93-F93)*H93*VLOOKUP(D93,Multipliers!A:B,2,FALSE), (F93-G93)*H93*VLOOKUP(D93,Multipliers!A:B,2,FALSE)), "")</f>
        <v/>
      </c>
      <c r="O91" s="9">
        <f>IF(AND(N93&lt;&gt;"",F93&lt;&gt;"",H93&lt;&gt;"",D93&lt;&gt;""), N93/(F93*H93*VLOOKUP(D93,Multipliers!A:B,2,FALSE)), "")</f>
        <v/>
      </c>
      <c r="P91" s="5">
        <f>P90+N91</f>
        <v/>
      </c>
      <c r="Q91" s="5" t="inlineStr">
        <is>
          <t>Break and Retest</t>
        </is>
      </c>
      <c r="R91" s="5" t="inlineStr">
        <is>
          <t>Imported from Tradovate</t>
        </is>
      </c>
      <c r="S91" s="5" t="inlineStr">
        <is>
          <t>MNQ</t>
        </is>
      </c>
      <c r="T91" s="5" t="n"/>
      <c r="U91" s="5" t="n"/>
      <c r="V91" s="5" t="inlineStr">
        <is>
          <t>Overtraded</t>
        </is>
      </c>
      <c r="W91" s="5" t="n"/>
      <c r="X91" s="5" t="n"/>
      <c r="Y91" s="5" t="n"/>
      <c r="Z91" s="5" t="n"/>
      <c r="AA91" s="5" t="n"/>
    </row>
    <row r="92" ht="15.75" customHeight="1">
      <c r="A92" s="5" t="n">
        <v>99</v>
      </c>
      <c r="B92" s="22" t="n">
        <v>46265</v>
      </c>
      <c r="C92" s="10" t="n">
        <v>0.4505324074074074</v>
      </c>
      <c r="D92" s="5" t="inlineStr">
        <is>
          <t>MNQ</t>
        </is>
      </c>
      <c r="E92" s="5" t="inlineStr">
        <is>
          <t>Long</t>
        </is>
      </c>
      <c r="F92" s="5" t="n">
        <v>29401.5</v>
      </c>
      <c r="G92" s="5" t="n">
        <v>29392</v>
      </c>
      <c r="H92" s="5" t="n">
        <v>3</v>
      </c>
      <c r="I92" s="5" t="n">
        <v>29392.75</v>
      </c>
      <c r="J92" s="5" t="n">
        <v>29443.25</v>
      </c>
      <c r="K92" s="8">
        <f>IF(AND(I94&lt;&gt;"",J94&lt;&gt;"",F94&lt;&gt;""), (J94-F94)/(F94-I94), "")</f>
        <v/>
      </c>
      <c r="L92" s="8">
        <f>IF(AND(F94&lt;&gt;"",G94&lt;&gt;"",I94&lt;&gt;""), (G94-F94)/(F94-I94), "")</f>
        <v/>
      </c>
      <c r="M92" s="5">
        <f>IF(N94&gt;0,"Win",IF(N94&lt;0,"Loss",""))</f>
        <v/>
      </c>
      <c r="N92" s="16">
        <f>IF(AND(F94&lt;&gt;"",G94&lt;&gt;"",H94&lt;&gt;"",D94&lt;&gt;""), IF(E94="Long", (G94-F94)*H94*VLOOKUP(D94,Multipliers!A:B,2,FALSE), (F94-G94)*H94*VLOOKUP(D94,Multipliers!A:B,2,FALSE)), "")</f>
        <v/>
      </c>
      <c r="O92" s="9">
        <f>IF(AND(N94&lt;&gt;"",F94&lt;&gt;"",H94&lt;&gt;"",D94&lt;&gt;""), N94/(F94*H94*VLOOKUP(D94,Multipliers!A:B,2,FALSE)), "")</f>
        <v/>
      </c>
      <c r="P92" s="5">
        <f>P91+N92</f>
        <v/>
      </c>
      <c r="Q92" s="5" t="inlineStr">
        <is>
          <t>Break and Retest</t>
        </is>
      </c>
      <c r="R92" s="5" t="inlineStr">
        <is>
          <t>Imported from Tradovate</t>
        </is>
      </c>
      <c r="S92" s="5" t="inlineStr">
        <is>
          <t>MNQ</t>
        </is>
      </c>
      <c r="T92" s="5" t="n"/>
      <c r="U92" s="5" t="n"/>
      <c r="V92" s="5" t="inlineStr">
        <is>
          <t>Overtraded</t>
        </is>
      </c>
      <c r="W92" s="5" t="n"/>
      <c r="X92" s="5" t="n"/>
      <c r="Y92" s="5" t="n"/>
      <c r="Z92" s="5" t="n"/>
      <c r="AA92" s="5" t="n"/>
    </row>
    <row r="93" ht="15.75" customHeight="1">
      <c r="A93" s="5" t="n">
        <v>100</v>
      </c>
      <c r="B93" s="22" t="n">
        <v>46265</v>
      </c>
      <c r="C93" s="10" t="n">
        <v>0.4174305555555556</v>
      </c>
      <c r="D93" s="5" t="inlineStr">
        <is>
          <t>MGC</t>
        </is>
      </c>
      <c r="E93" s="5" t="inlineStr">
        <is>
          <t>Short</t>
        </is>
      </c>
      <c r="F93" s="5" t="n">
        <v>4472.7</v>
      </c>
      <c r="G93" s="5" t="n">
        <v>4475.3</v>
      </c>
      <c r="H93" s="5" t="n">
        <v>3</v>
      </c>
      <c r="I93" s="5" t="n">
        <v>4479.7</v>
      </c>
      <c r="J93" s="5" t="n"/>
      <c r="K93" s="8">
        <f>IF(AND(I95&lt;&gt;"",J95&lt;&gt;"",F95&lt;&gt;""), (J95-F95)/(F95-I95), "")</f>
        <v/>
      </c>
      <c r="L93" s="8">
        <f>IF(AND(F95&lt;&gt;"",G95&lt;&gt;"",I95&lt;&gt;""), (G95-F95)/(F95-I95), "")</f>
        <v/>
      </c>
      <c r="M93" s="5">
        <f>IF(N95&gt;0,"Win",IF(N95&lt;0,"Loss",""))</f>
        <v/>
      </c>
      <c r="N93" s="16">
        <f>IF(AND(F95&lt;&gt;"",G95&lt;&gt;"",H95&lt;&gt;"",D95&lt;&gt;""), IF(E95="Long", (G95-F95)*H95*VLOOKUP(D95,Multipliers!A:B,2,FALSE), (F95-G95)*H95*VLOOKUP(D95,Multipliers!A:B,2,FALSE)), "")</f>
        <v/>
      </c>
      <c r="O93" s="9">
        <f>IF(AND(N95&lt;&gt;"",F95&lt;&gt;"",H95&lt;&gt;"",D95&lt;&gt;""), N95/(F95*H95*VLOOKUP(D95,Multipliers!A:B,2,FALSE)), "")</f>
        <v/>
      </c>
      <c r="P93" s="5">
        <f>P92+N93</f>
        <v/>
      </c>
      <c r="Q93" s="5" t="inlineStr">
        <is>
          <t>Break and Retest</t>
        </is>
      </c>
      <c r="R93" s="5" t="inlineStr">
        <is>
          <t>Imported from Tradovate</t>
        </is>
      </c>
      <c r="S93" s="5" t="inlineStr">
        <is>
          <t>MGC</t>
        </is>
      </c>
      <c r="T93" s="5" t="n"/>
      <c r="U93" s="5" t="n"/>
      <c r="V93" s="5" t="inlineStr">
        <is>
          <t>Overtraded</t>
        </is>
      </c>
      <c r="W93" s="5" t="n"/>
      <c r="X93" s="5" t="n"/>
      <c r="Y93" s="5" t="n"/>
      <c r="Z93" s="5" t="n"/>
      <c r="AA93" s="5" t="n"/>
    </row>
    <row r="94" ht="15.75" customHeight="1">
      <c r="A94" s="5" t="n">
        <v>101</v>
      </c>
      <c r="B94" s="22" t="n">
        <v>46265</v>
      </c>
      <c r="C94" s="10" t="n">
        <v>0.4366087962962963</v>
      </c>
      <c r="D94" s="5" t="inlineStr">
        <is>
          <t>MGC</t>
        </is>
      </c>
      <c r="E94" s="5" t="inlineStr">
        <is>
          <t>Short</t>
        </is>
      </c>
      <c r="F94" s="5" t="n">
        <v>4472.8</v>
      </c>
      <c r="G94" s="5" t="n">
        <v>4477</v>
      </c>
      <c r="H94" s="5" t="n">
        <v>3</v>
      </c>
      <c r="I94" s="5" t="n">
        <v>4476.9</v>
      </c>
      <c r="J94" s="5" t="n">
        <v>4464.8</v>
      </c>
      <c r="K94" s="8">
        <f>IF(AND(I96&lt;&gt;"",J96&lt;&gt;"",F96&lt;&gt;""), (J96-F96)/(F96-I96), "")</f>
        <v/>
      </c>
      <c r="L94" s="8">
        <f>IF(AND(F96&lt;&gt;"",G96&lt;&gt;"",I96&lt;&gt;""), (G96-F96)/(F96-I96), "")</f>
        <v/>
      </c>
      <c r="M94" s="5">
        <f>IF(N96&gt;0,"Win",IF(N96&lt;0,"Loss",""))</f>
        <v/>
      </c>
      <c r="N94" s="16">
        <f>IF(AND(F96&lt;&gt;"",G96&lt;&gt;"",H96&lt;&gt;"",D96&lt;&gt;""), IF(E96="Long", (G96-F96)*H96*VLOOKUP(D96,Multipliers!A:B,2,FALSE), (F96-G96)*H96*VLOOKUP(D96,Multipliers!A:B,2,FALSE)), "")</f>
        <v/>
      </c>
      <c r="O94" s="9">
        <f>IF(AND(N96&lt;&gt;"",F96&lt;&gt;"",H96&lt;&gt;"",D96&lt;&gt;""), N96/(F96*H96*VLOOKUP(D96,Multipliers!A:B,2,FALSE)), "")</f>
        <v/>
      </c>
      <c r="P94" s="5">
        <f>P93+N94</f>
        <v/>
      </c>
      <c r="Q94" s="5" t="inlineStr">
        <is>
          <t>Break and Retest</t>
        </is>
      </c>
      <c r="R94" s="5" t="inlineStr">
        <is>
          <t>Imported from Tradovate</t>
        </is>
      </c>
      <c r="S94" s="5" t="inlineStr">
        <is>
          <t>MGC</t>
        </is>
      </c>
      <c r="T94" s="5" t="n"/>
      <c r="U94" s="5" t="n"/>
      <c r="V94" s="5" t="inlineStr">
        <is>
          <t>Overtraded</t>
        </is>
      </c>
      <c r="W94" s="5" t="n"/>
      <c r="X94" s="5" t="n"/>
      <c r="Y94" s="5" t="n"/>
      <c r="Z94" s="5" t="n"/>
      <c r="AA94" s="5" t="n"/>
    </row>
    <row r="95" ht="15.75" customHeight="1">
      <c r="A95" s="5" t="n">
        <v>102</v>
      </c>
      <c r="B95" s="22" t="n">
        <v>46265</v>
      </c>
      <c r="C95" s="10" t="n">
        <v>0.4551273148148148</v>
      </c>
      <c r="D95" s="5" t="inlineStr">
        <is>
          <t>MGC</t>
        </is>
      </c>
      <c r="E95" s="5" t="inlineStr">
        <is>
          <t>Short</t>
        </is>
      </c>
      <c r="F95" s="5" t="n">
        <v>4483.6</v>
      </c>
      <c r="G95" s="5" t="n">
        <v>4478.2</v>
      </c>
      <c r="H95" s="5" t="n">
        <v>2</v>
      </c>
      <c r="I95" s="5" t="n">
        <v>4487.8</v>
      </c>
      <c r="J95" s="5" t="n">
        <v>4478.2</v>
      </c>
      <c r="K95" s="8">
        <f>IF(AND(I97&lt;&gt;"",J97&lt;&gt;"",F97&lt;&gt;""), (J97-F97)/(F97-I97), "")</f>
        <v/>
      </c>
      <c r="L95" s="8">
        <f>IF(AND(F97&lt;&gt;"",G97&lt;&gt;"",I97&lt;&gt;""), (G97-F97)/(F97-I97), "")</f>
        <v/>
      </c>
      <c r="M95" s="5">
        <f>IF(N97&gt;0,"Win",IF(N97&lt;0,"Loss",""))</f>
        <v/>
      </c>
      <c r="N95" s="16">
        <f>IF(AND(F97&lt;&gt;"",G97&lt;&gt;"",H97&lt;&gt;"",D97&lt;&gt;""), IF(E97="Long", (G97-F97)*H97*VLOOKUP(D97,Multipliers!A:B,2,FALSE), (F97-G97)*H97*VLOOKUP(D97,Multipliers!A:B,2,FALSE)), "")</f>
        <v/>
      </c>
      <c r="O95" s="9">
        <f>IF(AND(N97&lt;&gt;"",F97&lt;&gt;"",H97&lt;&gt;"",D97&lt;&gt;""), N97/(F97*H97*VLOOKUP(D97,Multipliers!A:B,2,FALSE)), "")</f>
        <v/>
      </c>
      <c r="P95" s="5">
        <f>P94+N95</f>
        <v/>
      </c>
      <c r="Q95" s="5" t="inlineStr">
        <is>
          <t>Break and Retest</t>
        </is>
      </c>
      <c r="R95" s="5" t="inlineStr">
        <is>
          <t>Imported from Tradovate</t>
        </is>
      </c>
      <c r="S95" s="5" t="inlineStr">
        <is>
          <t>MGC</t>
        </is>
      </c>
      <c r="T95" s="5" t="n"/>
      <c r="U95" s="5" t="n"/>
      <c r="V95" s="5" t="inlineStr">
        <is>
          <t>Overtraded</t>
        </is>
      </c>
      <c r="W95" s="5" t="n"/>
      <c r="X95" s="5" t="n"/>
      <c r="Y95" s="5" t="n"/>
      <c r="Z95" s="5" t="n"/>
      <c r="AA95" s="5" t="n"/>
    </row>
    <row r="96" ht="15.75" customHeight="1">
      <c r="A96" s="5" t="n">
        <v>103</v>
      </c>
      <c r="B96" s="22" t="n">
        <v>46265</v>
      </c>
      <c r="C96" s="10" t="n">
        <v>0.02815972222222222</v>
      </c>
      <c r="D96" s="5" t="inlineStr">
        <is>
          <t>MGC</t>
        </is>
      </c>
      <c r="E96" s="5" t="inlineStr">
        <is>
          <t>Short</t>
        </is>
      </c>
      <c r="F96" s="5" t="n">
        <v>4468.233333</v>
      </c>
      <c r="G96" s="5" t="n">
        <v>4473.6</v>
      </c>
      <c r="H96" s="5" t="n">
        <v>3</v>
      </c>
      <c r="I96" s="5" t="n">
        <v>4473.5</v>
      </c>
      <c r="J96" s="5" t="n">
        <v>4467.8</v>
      </c>
      <c r="K96" s="8">
        <f>IF(AND(I96&lt;&gt;"",J96&lt;&gt;"",F96&lt;&gt;""), (J96-F96)/(F96-I96), "")</f>
        <v/>
      </c>
      <c r="L96" s="8">
        <f>IF(AND(F96&lt;&gt;"",G96&lt;&gt;"",I96&lt;&gt;""), (G96-F96)/(F96-I96), "")</f>
        <v/>
      </c>
      <c r="M96" s="5">
        <f>IF(N96&gt;0,"Win",IF(N96&lt;0,"Loss",""))</f>
        <v/>
      </c>
      <c r="N96" s="16">
        <f>IF(AND(F96&lt;&gt;"",G96&lt;&gt;"",H96&lt;&gt;"",D96&lt;&gt;""), IF(E96="Long", (G96-F96)*H96*VLOOKUP(D96,Multipliers!A:B,2,FALSE), (F96-G96)*H96*VLOOKUP(D96,Multipliers!A:B,2,FALSE)), "")</f>
        <v/>
      </c>
      <c r="O96" s="9">
        <f>IF(AND(N96&lt;&gt;"",F96&lt;&gt;"",H96&lt;&gt;"",D96&lt;&gt;""), N96/(F96*H96*VLOOKUP(D96,Multipliers!A:B,2,FALSE)), "")</f>
        <v/>
      </c>
      <c r="P96" s="5">
        <f>P95+N96</f>
        <v/>
      </c>
      <c r="Q96" s="5" t="inlineStr">
        <is>
          <t>Break and Retest</t>
        </is>
      </c>
      <c r="R96" s="5" t="inlineStr">
        <is>
          <t>Imported from Tradovate</t>
        </is>
      </c>
      <c r="S96" s="5" t="inlineStr">
        <is>
          <t>MGC</t>
        </is>
      </c>
      <c r="T96" s="5" t="n"/>
      <c r="U96" s="5" t="n"/>
      <c r="V96" s="5" t="inlineStr">
        <is>
          <t>Overtraded</t>
        </is>
      </c>
      <c r="W96" s="5" t="n"/>
      <c r="X96" s="5" t="n"/>
      <c r="Y96" s="5" t="n"/>
      <c r="Z96" s="5" t="n"/>
      <c r="AA96" s="5" t="n"/>
    </row>
    <row r="97" ht="15.75" customHeight="1">
      <c r="A97" s="5" t="n">
        <v>104</v>
      </c>
      <c r="B97" s="22" t="n">
        <v>46265</v>
      </c>
      <c r="C97" s="10" t="n">
        <v>0.9342361111111112</v>
      </c>
      <c r="D97" s="5" t="inlineStr">
        <is>
          <t>MGC</t>
        </is>
      </c>
      <c r="E97" s="5" t="inlineStr">
        <is>
          <t>Long</t>
        </is>
      </c>
      <c r="F97" s="5" t="n">
        <v>4491.8</v>
      </c>
      <c r="G97" s="5" t="n">
        <v>4490.2</v>
      </c>
      <c r="H97" s="5" t="n">
        <v>1</v>
      </c>
      <c r="I97" s="5" t="n">
        <v>4490.4</v>
      </c>
      <c r="J97" s="5" t="n">
        <v>4506.4</v>
      </c>
      <c r="K97" s="8">
        <f>IF(AND(I97&lt;&gt;"",J97&lt;&gt;"",F97&lt;&gt;""), (J97-F97)/(F97-I97), "")</f>
        <v/>
      </c>
      <c r="L97" s="8">
        <f>IF(AND(F97&lt;&gt;"",G97&lt;&gt;"",I97&lt;&gt;""), (G97-F97)/(F97-I97), "")</f>
        <v/>
      </c>
      <c r="M97" s="5">
        <f>IF(N97&gt;0,"Win",IF(N97&lt;0,"Loss",""))</f>
        <v/>
      </c>
      <c r="N97" s="16">
        <f>IF(AND(F97&lt;&gt;"",G97&lt;&gt;"",H97&lt;&gt;"",D97&lt;&gt;""), IF(E97="Long", (G97-F97)*H97*VLOOKUP(D97,Multipliers!A:B,2,FALSE), (F97-G97)*H97*VLOOKUP(D97,Multipliers!A:B,2,FALSE)), "")</f>
        <v/>
      </c>
      <c r="O97" s="9">
        <f>IF(AND(N97&lt;&gt;"",F97&lt;&gt;"",H97&lt;&gt;"",D97&lt;&gt;""), N97/(F97*H97*VLOOKUP(D97,Multipliers!A:B,2,FALSE)), "")</f>
        <v/>
      </c>
      <c r="P97" s="5">
        <f>P96+N97</f>
        <v/>
      </c>
      <c r="Q97" s="5" t="inlineStr">
        <is>
          <t>Break and Retest</t>
        </is>
      </c>
      <c r="R97" s="5" t="inlineStr">
        <is>
          <t>Imported from Tradovate</t>
        </is>
      </c>
      <c r="S97" s="5" t="inlineStr">
        <is>
          <t>MGC</t>
        </is>
      </c>
      <c r="T97" s="5" t="n"/>
      <c r="U97" s="5" t="n"/>
      <c r="V97" s="5" t="inlineStr">
        <is>
          <t>Overtraded</t>
        </is>
      </c>
      <c r="W97" s="5" t="n"/>
      <c r="X97" s="5" t="n"/>
      <c r="Y97" s="5" t="n"/>
      <c r="Z97" s="5" t="n"/>
      <c r="AA97" s="5" t="n"/>
    </row>
    <row r="98" ht="15.75" customHeight="1">
      <c r="A98" s="5" t="n">
        <v>105</v>
      </c>
      <c r="B98" s="22" t="n">
        <v>46265</v>
      </c>
      <c r="C98" s="10" t="n">
        <v>0.9349537037037037</v>
      </c>
      <c r="D98" s="5" t="inlineStr">
        <is>
          <t>MGC</t>
        </is>
      </c>
      <c r="E98" s="5" t="inlineStr">
        <is>
          <t>Long</t>
        </is>
      </c>
      <c r="F98" s="5" t="n">
        <v>4490.5</v>
      </c>
      <c r="G98" s="5" t="n">
        <v>4484.5</v>
      </c>
      <c r="H98" s="5" t="n">
        <v>1</v>
      </c>
      <c r="I98" s="5" t="n">
        <v>4484.5</v>
      </c>
      <c r="J98" s="5" t="n">
        <v>4506.4</v>
      </c>
      <c r="K98" s="8">
        <f>IF(AND(I98&lt;&gt;"",J98&lt;&gt;"",F98&lt;&gt;""), (J98-F98)/(F98-I98), "")</f>
        <v/>
      </c>
      <c r="L98" s="8">
        <f>IF(AND(F98&lt;&gt;"",G98&lt;&gt;"",I98&lt;&gt;""), (G98-F98)/(F98-I98), "")</f>
        <v/>
      </c>
      <c r="M98" s="5">
        <f>IF(N98&gt;0,"Win",IF(N98&lt;0,"Loss",""))</f>
        <v/>
      </c>
      <c r="N98" s="16">
        <f>IF(AND(F98&lt;&gt;"",G98&lt;&gt;"",H98&lt;&gt;"",D98&lt;&gt;""), IF(E98="Long", (G98-F98)*H98*VLOOKUP(D98,Multipliers!A:B,2,FALSE), (F98-G98)*H98*VLOOKUP(D98,Multipliers!A:B,2,FALSE)), "")</f>
        <v/>
      </c>
      <c r="O98" s="9">
        <f>IF(AND(N98&lt;&gt;"",F98&lt;&gt;"",H98&lt;&gt;"",D98&lt;&gt;""), N98/(F98*H98*VLOOKUP(D98,Multipliers!A:B,2,FALSE)), "")</f>
        <v/>
      </c>
      <c r="P98" s="5">
        <f>P97+N98</f>
        <v/>
      </c>
      <c r="Q98" s="5" t="inlineStr">
        <is>
          <t>Break and Retest</t>
        </is>
      </c>
      <c r="R98" s="5" t="inlineStr">
        <is>
          <t>Imported from Tradovate</t>
        </is>
      </c>
      <c r="S98" s="5" t="inlineStr">
        <is>
          <t>MGC</t>
        </is>
      </c>
      <c r="T98" s="5" t="n"/>
      <c r="U98" s="5" t="n"/>
      <c r="V98" s="5" t="inlineStr">
        <is>
          <t>Revenge trade, Overtraded</t>
        </is>
      </c>
      <c r="W98" s="5" t="n"/>
      <c r="X98" s="5" t="n"/>
      <c r="Y98" s="5" t="n"/>
      <c r="Z98" s="5" t="n"/>
      <c r="AA98" s="5" t="n"/>
    </row>
    <row r="99" ht="15.75" customHeight="1">
      <c r="A99" s="5" t="n">
        <v>106</v>
      </c>
      <c r="B99" s="22" t="n">
        <v>46265</v>
      </c>
      <c r="C99" s="10" t="n">
        <v>0.9497569444444445</v>
      </c>
      <c r="D99" s="5" t="inlineStr">
        <is>
          <t>MGC</t>
        </is>
      </c>
      <c r="E99" s="5" t="inlineStr">
        <is>
          <t>Short</t>
        </is>
      </c>
      <c r="F99" s="5" t="n">
        <v>4481</v>
      </c>
      <c r="G99" s="5" t="n">
        <v>4487</v>
      </c>
      <c r="H99" s="5" t="n">
        <v>3</v>
      </c>
      <c r="I99" s="5" t="n">
        <v>4487</v>
      </c>
      <c r="J99" s="5" t="n">
        <v>4469</v>
      </c>
      <c r="K99" s="8">
        <f>IF(AND(I99&lt;&gt;"",J99&lt;&gt;"",F99&lt;&gt;""), (J99-F99)/(F99-I99), "")</f>
        <v/>
      </c>
      <c r="L99" s="8">
        <f>IF(AND(F99&lt;&gt;"",G99&lt;&gt;"",I99&lt;&gt;""), (G99-F99)/(F99-I99), "")</f>
        <v/>
      </c>
      <c r="M99" s="5">
        <f>IF(N99&gt;0,"Win",IF(N99&lt;0,"Loss",""))</f>
        <v/>
      </c>
      <c r="N99" s="16">
        <f>IF(AND(F99&lt;&gt;"",G99&lt;&gt;"",H99&lt;&gt;"",D99&lt;&gt;""), IF(E99="Long", (G99-F99)*H99*VLOOKUP(D99,Multipliers!A:B,2,FALSE), (F99-G99)*H99*VLOOKUP(D99,Multipliers!A:B,2,FALSE)), "")</f>
        <v/>
      </c>
      <c r="O99" s="9">
        <f>IF(AND(N99&lt;&gt;"",F99&lt;&gt;"",H99&lt;&gt;"",D99&lt;&gt;""), N99/(F99*H99*VLOOKUP(D99,Multipliers!A:B,2,FALSE)), "")</f>
        <v/>
      </c>
      <c r="P99" s="5">
        <f>P98+N99</f>
        <v/>
      </c>
      <c r="Q99" s="5" t="inlineStr">
        <is>
          <t>Break and Retest</t>
        </is>
      </c>
      <c r="R99" s="5" t="inlineStr">
        <is>
          <t>Imported from Tradovate</t>
        </is>
      </c>
      <c r="S99" s="5" t="inlineStr">
        <is>
          <t>MGC</t>
        </is>
      </c>
      <c r="T99" s="5" t="n"/>
      <c r="U99" s="5" t="n"/>
      <c r="V99" s="5" t="inlineStr">
        <is>
          <t>Overtraded</t>
        </is>
      </c>
      <c r="W99" s="5" t="n"/>
      <c r="X99" s="5" t="n"/>
      <c r="Y99" s="5" t="n"/>
      <c r="Z99" s="5" t="n"/>
      <c r="AA99" s="5" t="n"/>
    </row>
    <row r="100" ht="15.75" customHeight="1">
      <c r="A100" s="5" t="n">
        <v>107</v>
      </c>
      <c r="B100" s="22" t="n">
        <v>46265</v>
      </c>
      <c r="C100" s="10" t="n">
        <v>0.9588310185185185</v>
      </c>
      <c r="D100" s="5" t="inlineStr">
        <is>
          <t>MGC</t>
        </is>
      </c>
      <c r="E100" s="5" t="inlineStr">
        <is>
          <t>Short</t>
        </is>
      </c>
      <c r="F100" s="5" t="n">
        <v>4488.4</v>
      </c>
      <c r="G100" s="5" t="n">
        <v>4484.566667</v>
      </c>
      <c r="H100" s="5" t="n">
        <v>6</v>
      </c>
      <c r="I100" s="5" t="n">
        <v>4495.2</v>
      </c>
      <c r="J100" s="5" t="n">
        <v>4483</v>
      </c>
      <c r="K100" s="8">
        <f>IF(AND(I100&lt;&gt;"",J100&lt;&gt;"",F100&lt;&gt;""), (J100-F100)/(F100-I100), "")</f>
        <v/>
      </c>
      <c r="L100" s="8">
        <f>IF(AND(F100&lt;&gt;"",G100&lt;&gt;"",I100&lt;&gt;""), (G100-F100)/(F100-I100), "")</f>
        <v/>
      </c>
      <c r="M100" s="5">
        <f>IF(N100&gt;0,"Win",IF(N100&lt;0,"Loss",""))</f>
        <v/>
      </c>
      <c r="N100" s="16">
        <f>IF(AND(F100&lt;&gt;"",G100&lt;&gt;"",H100&lt;&gt;"",D100&lt;&gt;""), IF(E100="Long", (G100-F100)*H100*VLOOKUP(D100,Multipliers!A:B,2,FALSE), (F100-G100)*H100*VLOOKUP(D100,Multipliers!A:B,2,FALSE)), "")</f>
        <v/>
      </c>
      <c r="O100" s="9">
        <f>IF(AND(N100&lt;&gt;"",F100&lt;&gt;"",H100&lt;&gt;"",D100&lt;&gt;""), N100/(F100*H100*VLOOKUP(D100,Multipliers!A:B,2,FALSE)), "")</f>
        <v/>
      </c>
      <c r="P100" s="5">
        <f>P99+N100</f>
        <v/>
      </c>
      <c r="Q100" s="5" t="inlineStr">
        <is>
          <t>Break and Retest</t>
        </is>
      </c>
      <c r="R100" s="5" t="inlineStr">
        <is>
          <t>Imported from Tradovate</t>
        </is>
      </c>
      <c r="S100" s="5" t="inlineStr">
        <is>
          <t>MGC</t>
        </is>
      </c>
      <c r="T100" s="5" t="n"/>
      <c r="U100" s="5" t="n"/>
      <c r="V100" s="5" t="inlineStr">
        <is>
          <t>Revenge trade, Overtraded</t>
        </is>
      </c>
      <c r="W100" s="5" t="n"/>
      <c r="X100" s="5" t="n"/>
      <c r="Y100" s="5" t="n"/>
      <c r="Z100" s="5" t="n"/>
      <c r="AA100" s="5" t="n"/>
    </row>
    <row r="101" ht="15.75" customHeight="1">
      <c r="A101" s="5" t="n">
        <v>108</v>
      </c>
      <c r="B101" s="22" t="n">
        <v>46265</v>
      </c>
      <c r="C101" s="10" t="n">
        <v>0.9992939814814815</v>
      </c>
      <c r="D101" s="5" t="inlineStr">
        <is>
          <t>MGC</t>
        </is>
      </c>
      <c r="E101" s="5" t="inlineStr">
        <is>
          <t>Short</t>
        </is>
      </c>
      <c r="F101" s="5" t="n">
        <v>4486.7</v>
      </c>
      <c r="G101" s="5" t="n">
        <v>4484.2</v>
      </c>
      <c r="H101" s="5" t="n">
        <v>2</v>
      </c>
      <c r="I101" s="5" t="n">
        <v>4489.6</v>
      </c>
      <c r="J101" s="5" t="n">
        <v>4483.5</v>
      </c>
      <c r="K101" s="8">
        <f>IF(AND(I101&lt;&gt;"",J101&lt;&gt;"",F101&lt;&gt;""), (J101-F101)/(F101-I101), "")</f>
        <v/>
      </c>
      <c r="L101" s="8">
        <f>IF(AND(F101&lt;&gt;"",G101&lt;&gt;"",I101&lt;&gt;""), (G101-F101)/(F101-I101), "")</f>
        <v/>
      </c>
      <c r="M101" s="5">
        <f>IF(N101&gt;0,"Win",IF(N101&lt;0,"Loss",""))</f>
        <v/>
      </c>
      <c r="N101" s="16">
        <f>IF(AND(F101&lt;&gt;"",G101&lt;&gt;"",H101&lt;&gt;"",D101&lt;&gt;""), IF(E101="Long", (G101-F101)*H101*VLOOKUP(D101,Multipliers!A:B,2,FALSE), (F101-G101)*H101*VLOOKUP(D101,Multipliers!A:B,2,FALSE)), "")</f>
        <v/>
      </c>
      <c r="O101" s="9">
        <f>IF(AND(N101&lt;&gt;"",F101&lt;&gt;"",H101&lt;&gt;"",D101&lt;&gt;""), N101/(F101*H101*VLOOKUP(D101,Multipliers!A:B,2,FALSE)), "")</f>
        <v/>
      </c>
      <c r="P101" s="5">
        <f>P100+N101</f>
        <v/>
      </c>
      <c r="Q101" s="5" t="inlineStr">
        <is>
          <t>Break and Retest</t>
        </is>
      </c>
      <c r="R101" s="5" t="inlineStr">
        <is>
          <t>Imported from Tradovate</t>
        </is>
      </c>
      <c r="S101" s="5" t="inlineStr">
        <is>
          <t>MGC</t>
        </is>
      </c>
      <c r="T101" s="5" t="n"/>
      <c r="U101" s="5" t="n"/>
      <c r="V101" s="5" t="inlineStr">
        <is>
          <t>Overtraded</t>
        </is>
      </c>
      <c r="W101" s="5" t="n"/>
      <c r="X101" s="5" t="n"/>
      <c r="Y101" s="5" t="n"/>
      <c r="Z101" s="5" t="n"/>
      <c r="AA101" s="5" t="n"/>
    </row>
    <row r="102" ht="15.75" customHeight="1">
      <c r="A102" s="5" t="n">
        <v>109</v>
      </c>
      <c r="B102" s="22" t="n">
        <v>46266</v>
      </c>
      <c r="C102" s="10" t="n">
        <v>0.4359375</v>
      </c>
      <c r="D102" s="5" t="inlineStr">
        <is>
          <t>MGC</t>
        </is>
      </c>
      <c r="E102" s="5" t="inlineStr">
        <is>
          <t>Short</t>
        </is>
      </c>
      <c r="F102" s="5" t="n">
        <v>4417.466667</v>
      </c>
      <c r="G102" s="5" t="n">
        <v>4416.433333</v>
      </c>
      <c r="H102" s="5" t="n">
        <v>3</v>
      </c>
      <c r="I102" s="5" t="n">
        <v>4427.6</v>
      </c>
      <c r="J102" s="5" t="n">
        <v>4416.1</v>
      </c>
      <c r="K102" s="8">
        <f>IF(AND(I102&lt;&gt;"",J102&lt;&gt;"",F102&lt;&gt;""), (J102-F102)/(F102-I102), "")</f>
        <v/>
      </c>
      <c r="L102" s="8">
        <f>IF(AND(F102&lt;&gt;"",G102&lt;&gt;"",I102&lt;&gt;""), (G102-F102)/(F102-I102), "")</f>
        <v/>
      </c>
      <c r="M102" s="5">
        <f>IF(N102&gt;0,"Win",IF(N102&lt;0,"Loss",""))</f>
        <v/>
      </c>
      <c r="N102" s="16">
        <f>IF(AND(F102&lt;&gt;"",G102&lt;&gt;"",H102&lt;&gt;"",D102&lt;&gt;""), IF(E102="Long", (G102-F102)*H102*VLOOKUP(D102,Multipliers!A:B,2,FALSE), (F102-G102)*H102*VLOOKUP(D102,Multipliers!A:B,2,FALSE)), "")</f>
        <v/>
      </c>
      <c r="O102" s="9">
        <f>IF(AND(N102&lt;&gt;"",F102&lt;&gt;"",H102&lt;&gt;"",D102&lt;&gt;""), N102/(F102*H102*VLOOKUP(D102,Multipliers!A:B,2,FALSE)), "")</f>
        <v/>
      </c>
      <c r="P102" s="5">
        <f>P101+N102</f>
        <v/>
      </c>
      <c r="Q102" s="5" t="inlineStr">
        <is>
          <t>Break and Retest</t>
        </is>
      </c>
      <c r="R102" s="5" t="inlineStr">
        <is>
          <t>Imported from Tradovate</t>
        </is>
      </c>
      <c r="S102" s="5" t="inlineStr">
        <is>
          <t>MGC</t>
        </is>
      </c>
      <c r="T102" s="5" t="n"/>
      <c r="U102" s="5" t="n"/>
      <c r="V102" s="5" t="inlineStr">
        <is>
          <t>Overtraded</t>
        </is>
      </c>
      <c r="W102" s="5" t="n"/>
      <c r="X102" s="5" t="n"/>
      <c r="Y102" s="5" t="n"/>
      <c r="Z102" s="5" t="n"/>
      <c r="AA102" s="5" t="n"/>
    </row>
    <row r="103" ht="15.75" customHeight="1">
      <c r="A103" s="5" t="n">
        <v>110</v>
      </c>
      <c r="B103" s="22" t="n">
        <v>46266</v>
      </c>
      <c r="C103" s="10" t="n">
        <v>0.4439236111111111</v>
      </c>
      <c r="D103" s="5" t="inlineStr">
        <is>
          <t>MNQ</t>
        </is>
      </c>
      <c r="E103" s="5" t="inlineStr">
        <is>
          <t>Long</t>
        </is>
      </c>
      <c r="F103" s="5" t="n">
        <v>29207.3</v>
      </c>
      <c r="G103" s="5" t="n">
        <v>29255.5</v>
      </c>
      <c r="H103" s="5" t="n">
        <v>5</v>
      </c>
      <c r="I103" s="5" t="n">
        <v>29206</v>
      </c>
      <c r="J103" s="5" t="n">
        <v>29255.5</v>
      </c>
      <c r="K103" s="8">
        <f>IF(AND(I103&lt;&gt;"",J103&lt;&gt;"",F103&lt;&gt;""), (J103-F103)/(F103-I103), "")</f>
        <v/>
      </c>
      <c r="L103" s="8">
        <f>IF(AND(F103&lt;&gt;"",G103&lt;&gt;"",I103&lt;&gt;""), (G103-F103)/(F103-I103), "")</f>
        <v/>
      </c>
      <c r="M103" s="5">
        <f>IF(N103&gt;0,"Win",IF(N103&lt;0,"Loss",""))</f>
        <v/>
      </c>
      <c r="N103" s="16">
        <f>IF(AND(F103&lt;&gt;"",G103&lt;&gt;"",H103&lt;&gt;"",D103&lt;&gt;""), IF(E103="Long", (G103-F103)*H103*VLOOKUP(D103,Multipliers!A:B,2,FALSE), (F103-G103)*H103*VLOOKUP(D103,Multipliers!A:B,2,FALSE)), "")</f>
        <v/>
      </c>
      <c r="O103" s="9">
        <f>IF(AND(N103&lt;&gt;"",F103&lt;&gt;"",H103&lt;&gt;"",D103&lt;&gt;""), N103/(F103*H103*VLOOKUP(D103,Multipliers!A:B,2,FALSE)), "")</f>
        <v/>
      </c>
      <c r="P103" s="5">
        <f>P102+N103</f>
        <v/>
      </c>
      <c r="Q103" s="5" t="inlineStr">
        <is>
          <t>Break and Retest</t>
        </is>
      </c>
      <c r="R103" s="5" t="inlineStr">
        <is>
          <t>Imported from Tradovate</t>
        </is>
      </c>
      <c r="S103" s="5" t="inlineStr">
        <is>
          <t>MNQ</t>
        </is>
      </c>
      <c r="T103" s="5" t="n"/>
      <c r="U103" s="5" t="n"/>
      <c r="V103" s="5" t="inlineStr">
        <is>
          <t>Revenge trade, Overtraded</t>
        </is>
      </c>
      <c r="W103" s="5" t="n"/>
      <c r="X103" s="5" t="n"/>
      <c r="Y103" s="5" t="n"/>
      <c r="Z103" s="5" t="n"/>
      <c r="AA103" s="5" t="n"/>
    </row>
    <row r="104" ht="15.75" customHeight="1">
      <c r="A104" s="5" t="n">
        <v>111</v>
      </c>
      <c r="B104" s="22" t="n">
        <v>46266</v>
      </c>
      <c r="C104" s="10" t="n">
        <v>0.001550925925925926</v>
      </c>
      <c r="D104" s="5" t="inlineStr">
        <is>
          <t>MGC</t>
        </is>
      </c>
      <c r="E104" s="5" t="inlineStr">
        <is>
          <t>Short</t>
        </is>
      </c>
      <c r="F104" s="5" t="n">
        <v>4486.4</v>
      </c>
      <c r="G104" s="5" t="n">
        <v>4484.9</v>
      </c>
      <c r="H104" s="5" t="n">
        <v>1</v>
      </c>
      <c r="I104" s="5" t="n">
        <v>4489.6</v>
      </c>
      <c r="J104" s="5" t="n">
        <v>4483.5</v>
      </c>
      <c r="K104" s="8">
        <f>IF(AND(I104&lt;&gt;"",J104&lt;&gt;"",F104&lt;&gt;""), (J104-F104)/(F104-I104), "")</f>
        <v/>
      </c>
      <c r="L104" s="8">
        <f>IF(AND(F104&lt;&gt;"",G104&lt;&gt;"",I104&lt;&gt;""), (G104-F104)/(F104-I104), "")</f>
        <v/>
      </c>
      <c r="M104" s="5">
        <f>IF(N104&gt;0,"Win",IF(N104&lt;0,"Loss",""))</f>
        <v/>
      </c>
      <c r="N104" s="16">
        <f>IF(AND(F104&lt;&gt;"",G104&lt;&gt;"",H104&lt;&gt;"",D104&lt;&gt;""), IF(E104="Long", (G104-F104)*H104*VLOOKUP(D104,Multipliers!A:B,2,FALSE), (F104-G104)*H104*VLOOKUP(D104,Multipliers!A:B,2,FALSE)), "")</f>
        <v/>
      </c>
      <c r="O104" s="9">
        <f>IF(AND(N104&lt;&gt;"",F104&lt;&gt;"",H104&lt;&gt;"",D104&lt;&gt;""), N104/(F104*H104*VLOOKUP(D104,Multipliers!A:B,2,FALSE)), "")</f>
        <v/>
      </c>
      <c r="P104" s="5">
        <f>P103+N104</f>
        <v/>
      </c>
      <c r="Q104" s="5" t="inlineStr">
        <is>
          <t>Break and Retest</t>
        </is>
      </c>
      <c r="R104" s="5" t="inlineStr">
        <is>
          <t>Imported from Tradovate</t>
        </is>
      </c>
      <c r="S104" s="5" t="inlineStr">
        <is>
          <t>MGC</t>
        </is>
      </c>
      <c r="T104" s="5" t="n"/>
      <c r="U104" s="5" t="n"/>
      <c r="V104" s="5" t="inlineStr">
        <is>
          <t>Overtraded</t>
        </is>
      </c>
      <c r="W104" s="5" t="n"/>
      <c r="X104" s="5" t="n"/>
      <c r="Y104" s="5" t="n"/>
      <c r="Z104" s="5" t="n"/>
      <c r="AA104" s="5" t="n"/>
    </row>
    <row r="105" ht="15.75" customHeight="1">
      <c r="A105" s="5" t="n">
        <v>112</v>
      </c>
      <c r="B105" s="22" t="n">
        <v>46266</v>
      </c>
      <c r="C105" s="10" t="n">
        <v>0.4781944444444444</v>
      </c>
      <c r="D105" s="5" t="inlineStr">
        <is>
          <t>MNQ</t>
        </is>
      </c>
      <c r="E105" s="5" t="inlineStr">
        <is>
          <t>Long</t>
        </is>
      </c>
      <c r="F105" s="5" t="n">
        <v>29207.75</v>
      </c>
      <c r="G105" s="5" t="n">
        <v>29232.75</v>
      </c>
      <c r="H105" s="5" t="n">
        <v>1</v>
      </c>
      <c r="I105" s="5" t="n">
        <v>29202.5</v>
      </c>
      <c r="J105" s="5" t="n">
        <v>29245.25</v>
      </c>
      <c r="K105" s="8">
        <f>IF(AND(I105&lt;&gt;"",J105&lt;&gt;"",F105&lt;&gt;""), (J105-F105)/(F105-I105), "")</f>
        <v/>
      </c>
      <c r="L105" s="8">
        <f>IF(AND(F105&lt;&gt;"",G105&lt;&gt;"",I105&lt;&gt;""), (G105-F105)/(F105-I105), "")</f>
        <v/>
      </c>
      <c r="M105" s="5">
        <f>IF(N105&gt;0,"Win",IF(N105&lt;0,"Loss",""))</f>
        <v/>
      </c>
      <c r="N105" s="16">
        <f>IF(AND(F105&lt;&gt;"",G105&lt;&gt;"",H105&lt;&gt;"",D105&lt;&gt;""), IF(E105="Long", (G105-F105)*H105*VLOOKUP(D105,Multipliers!A:B,2,FALSE), (F105-G105)*H105*VLOOKUP(D105,Multipliers!A:B,2,FALSE)), "")</f>
        <v/>
      </c>
      <c r="O105" s="9">
        <f>IF(AND(N105&lt;&gt;"",F105&lt;&gt;"",H105&lt;&gt;"",D105&lt;&gt;""), N105/(F105*H105*VLOOKUP(D105,Multipliers!A:B,2,FALSE)), "")</f>
        <v/>
      </c>
      <c r="P105" s="5">
        <f>P104+N105</f>
        <v/>
      </c>
      <c r="Q105" s="5" t="inlineStr">
        <is>
          <t>Break and Retest</t>
        </is>
      </c>
      <c r="R105" s="5" t="inlineStr">
        <is>
          <t>Imported from Tradovate</t>
        </is>
      </c>
      <c r="S105" s="5" t="inlineStr">
        <is>
          <t>MNQ</t>
        </is>
      </c>
      <c r="T105" s="5" t="n"/>
      <c r="U105" s="5" t="n"/>
      <c r="V105" s="5" t="inlineStr">
        <is>
          <t>Overtraded</t>
        </is>
      </c>
      <c r="W105" s="5" t="n"/>
      <c r="X105" s="5" t="n"/>
      <c r="Y105" s="5" t="n"/>
      <c r="Z105" s="5" t="n"/>
      <c r="AA105" s="5" t="n"/>
    </row>
    <row r="106" ht="15.75" customHeight="1">
      <c r="A106" s="5" t="n">
        <v>113</v>
      </c>
      <c r="B106" s="22" t="n">
        <v>46266</v>
      </c>
      <c r="C106" s="10" t="n">
        <v>0.5175694444444444</v>
      </c>
      <c r="D106" s="5" t="inlineStr">
        <is>
          <t>MNQ</t>
        </is>
      </c>
      <c r="E106" s="5" t="inlineStr">
        <is>
          <t>Long</t>
        </is>
      </c>
      <c r="F106" s="5" t="n">
        <v>29201</v>
      </c>
      <c r="G106" s="5" t="n">
        <v>29181.25</v>
      </c>
      <c r="H106" s="5" t="n">
        <v>2</v>
      </c>
      <c r="I106" s="5" t="n">
        <v>29181.75</v>
      </c>
      <c r="J106" s="5" t="n">
        <v>29201.75</v>
      </c>
      <c r="K106" s="8">
        <f>IF(AND(I106&lt;&gt;"",J106&lt;&gt;"",F106&lt;&gt;""), (J106-F106)/(F106-I106), "")</f>
        <v/>
      </c>
      <c r="L106" s="8">
        <f>IF(AND(F106&lt;&gt;"",G106&lt;&gt;"",I106&lt;&gt;""), (G106-F106)/(F106-I106), "")</f>
        <v/>
      </c>
      <c r="M106" s="5">
        <f>IF(N106&gt;0,"Win",IF(N106&lt;0,"Loss",""))</f>
        <v/>
      </c>
      <c r="N106" s="16">
        <f>IF(AND(F106&lt;&gt;"",G106&lt;&gt;"",H106&lt;&gt;"",D106&lt;&gt;""), IF(E106="Long", (G106-F106)*H106*VLOOKUP(D106,Multipliers!A:B,2,FALSE), (F106-G106)*H106*VLOOKUP(D106,Multipliers!A:B,2,FALSE)), "")</f>
        <v/>
      </c>
      <c r="O106" s="9">
        <f>IF(AND(N106&lt;&gt;"",F106&lt;&gt;"",H106&lt;&gt;"",D106&lt;&gt;""), N106/(F106*H106*VLOOKUP(D106,Multipliers!A:B,2,FALSE)), "")</f>
        <v/>
      </c>
      <c r="P106" s="5">
        <f>P105+N106</f>
        <v/>
      </c>
      <c r="Q106" s="5" t="inlineStr">
        <is>
          <t>Break and Retest</t>
        </is>
      </c>
      <c r="R106" s="5" t="inlineStr">
        <is>
          <t>Imported from Tradovate</t>
        </is>
      </c>
      <c r="S106" s="5" t="inlineStr">
        <is>
          <t>MNQ</t>
        </is>
      </c>
      <c r="T106" s="5" t="n"/>
      <c r="U106" s="5" t="n"/>
      <c r="V106" s="5" t="inlineStr">
        <is>
          <t>Overtraded</t>
        </is>
      </c>
      <c r="W106" s="5" t="n"/>
      <c r="X106" s="5" t="n"/>
      <c r="Y106" s="5" t="n"/>
      <c r="Z106" s="5" t="n"/>
      <c r="AA106" s="5" t="n"/>
    </row>
    <row r="107" ht="15.75" customHeight="1">
      <c r="A107" s="5" t="n">
        <v>114</v>
      </c>
      <c r="B107" s="22" t="n">
        <v>46260</v>
      </c>
      <c r="C107" s="10" t="n">
        <v>0.9356944444444445</v>
      </c>
      <c r="D107" s="5" t="inlineStr">
        <is>
          <t>MNQ</t>
        </is>
      </c>
      <c r="E107" s="5" t="inlineStr">
        <is>
          <t>Short</t>
        </is>
      </c>
      <c r="F107" s="5" t="n">
        <v>29535</v>
      </c>
      <c r="G107" s="5" t="n">
        <v>29546.5</v>
      </c>
      <c r="H107" s="5" t="n">
        <v>2</v>
      </c>
      <c r="I107" s="5" t="n">
        <v>29545</v>
      </c>
      <c r="J107" s="5" t="n">
        <v>29514.75</v>
      </c>
      <c r="K107" s="8">
        <f>IF(AND(I107&lt;&gt;"",J107&lt;&gt;"",F107&lt;&gt;""), (J107-F107)/(F107-I107), "")</f>
        <v/>
      </c>
      <c r="L107" s="8">
        <f>IF(AND(F107&lt;&gt;"",G107&lt;&gt;"",I107&lt;&gt;""), (G107-F107)/(F107-I107), "")</f>
        <v/>
      </c>
      <c r="M107" s="5">
        <f>IF(N107&gt;0,"Win",IF(N107&lt;0,"Loss",""))</f>
        <v/>
      </c>
      <c r="N107" s="16">
        <f>IF(AND(F107&lt;&gt;"",G107&lt;&gt;"",H107&lt;&gt;"",D107&lt;&gt;""), IF(E107="Long", (G107-F107)*H107*VLOOKUP(D107,Multipliers!A:B,2,FALSE), (F107-G107)*H107*VLOOKUP(D107,Multipliers!A:B,2,FALSE)), "")</f>
        <v/>
      </c>
      <c r="O107" s="9">
        <f>IF(AND(N107&lt;&gt;"",F107&lt;&gt;"",H107&lt;&gt;"",D107&lt;&gt;""), N107/(F107*H107*VLOOKUP(D107,Multipliers!A:B,2,FALSE)), "")</f>
        <v/>
      </c>
      <c r="P107" s="5">
        <f>P106+N107</f>
        <v/>
      </c>
      <c r="Q107" s="5" t="inlineStr">
        <is>
          <t>Break and Retest</t>
        </is>
      </c>
      <c r="R107" s="5" t="inlineStr">
        <is>
          <t>Imported from Tradovate</t>
        </is>
      </c>
      <c r="S107" s="5" t="inlineStr">
        <is>
          <t>MNQ</t>
        </is>
      </c>
      <c r="T107" s="5" t="n"/>
      <c r="U107" s="5" t="n"/>
      <c r="V107" s="5" t="inlineStr">
        <is>
          <t>Overtraded</t>
        </is>
      </c>
      <c r="W107" s="5" t="n"/>
      <c r="X107" s="5" t="n"/>
      <c r="Y107" s="5" t="n"/>
      <c r="Z107" s="5" t="n"/>
      <c r="AA107" s="5" t="n"/>
    </row>
    <row r="108" ht="15.75" customHeight="1">
      <c r="A108" s="5" t="n">
        <v>115</v>
      </c>
      <c r="B108" s="22" t="n">
        <v>46261</v>
      </c>
      <c r="C108" s="10" t="n">
        <v>0.8349537037037037</v>
      </c>
      <c r="D108" s="5" t="inlineStr">
        <is>
          <t>MGC</t>
        </is>
      </c>
      <c r="E108" s="5" t="inlineStr">
        <is>
          <t>Short</t>
        </is>
      </c>
      <c r="F108" s="5" t="n">
        <v>4652.9</v>
      </c>
      <c r="G108" s="5" t="n">
        <v>4652.2</v>
      </c>
      <c r="H108" s="5" t="n">
        <v>3</v>
      </c>
      <c r="I108" s="5" t="n">
        <v>4659</v>
      </c>
      <c r="J108" s="5" t="n">
        <v>4638</v>
      </c>
      <c r="K108" s="8">
        <f>IF(AND(I108&lt;&gt;"",J108&lt;&gt;"",F108&lt;&gt;""), (J108-F108)/(F108-I108), "")</f>
        <v/>
      </c>
      <c r="L108" s="8">
        <f>IF(AND(F108&lt;&gt;"",G108&lt;&gt;"",I108&lt;&gt;""), (G108-F108)/(F108-I108), "")</f>
        <v/>
      </c>
      <c r="M108" s="5">
        <f>IF(N108&gt;0,"Win",IF(N108&lt;0,"Loss",""))</f>
        <v/>
      </c>
      <c r="N108" s="16">
        <f>IF(AND(F108&lt;&gt;"",G108&lt;&gt;"",H108&lt;&gt;"",D108&lt;&gt;""), IF(E108="Long", (G108-F108)*H108*VLOOKUP(D108,Multipliers!A:B,2,FALSE), (F108-G108)*H108*VLOOKUP(D108,Multipliers!A:B,2,FALSE)), "")</f>
        <v/>
      </c>
      <c r="O108" s="9">
        <f>IF(AND(N108&lt;&gt;"",F108&lt;&gt;"",H108&lt;&gt;"",D108&lt;&gt;""), N108/(F108*H108*VLOOKUP(D108,Multipliers!A:B,2,FALSE)), "")</f>
        <v/>
      </c>
      <c r="P108" s="5">
        <f>P107+N108</f>
        <v/>
      </c>
      <c r="Q108" s="5" t="inlineStr">
        <is>
          <t>Break and Retest</t>
        </is>
      </c>
      <c r="R108" s="5" t="inlineStr">
        <is>
          <t>Imported from Tradovate</t>
        </is>
      </c>
      <c r="S108" s="5" t="inlineStr">
        <is>
          <t>MGC</t>
        </is>
      </c>
      <c r="T108" s="5" t="n"/>
      <c r="U108" s="5" t="n"/>
      <c r="V108" s="5" t="inlineStr">
        <is>
          <t>Overtraded</t>
        </is>
      </c>
      <c r="W108" s="5" t="n"/>
      <c r="X108" s="5" t="n"/>
      <c r="Y108" s="5" t="n"/>
      <c r="Z108" s="5" t="n"/>
      <c r="AA108" s="5" t="n"/>
    </row>
    <row r="109" ht="15.75" customHeight="1">
      <c r="A109" s="5" t="n">
        <v>116</v>
      </c>
      <c r="B109" s="22" t="n">
        <v>46261</v>
      </c>
      <c r="C109" s="10" t="n">
        <v>0.8878356481481482</v>
      </c>
      <c r="D109" s="5" t="inlineStr">
        <is>
          <t>MGC</t>
        </is>
      </c>
      <c r="E109" s="5" t="inlineStr">
        <is>
          <t>Short</t>
        </is>
      </c>
      <c r="F109" s="5" t="n">
        <v>4647.9</v>
      </c>
      <c r="G109" s="5" t="n">
        <v>4645.9</v>
      </c>
      <c r="H109" s="5" t="n">
        <v>3</v>
      </c>
      <c r="I109" s="5" t="n">
        <v>4652.7</v>
      </c>
      <c r="J109" s="5" t="n">
        <v>4645.9</v>
      </c>
      <c r="K109" s="8">
        <f>IF(AND(I109&lt;&gt;"",J109&lt;&gt;"",F109&lt;&gt;""), (J109-F109)/(F109-I109), "")</f>
        <v/>
      </c>
      <c r="L109" s="8">
        <f>IF(AND(F109&lt;&gt;"",G109&lt;&gt;"",I109&lt;&gt;""), (G109-F109)/(F109-I109), "")</f>
        <v/>
      </c>
      <c r="M109" s="5">
        <f>IF(N109&gt;0,"Win",IF(N109&lt;0,"Loss",""))</f>
        <v/>
      </c>
      <c r="N109" s="16">
        <f>IF(AND(F109&lt;&gt;"",G109&lt;&gt;"",H109&lt;&gt;"",D109&lt;&gt;""), IF(E109="Long", (G109-F109)*H109*VLOOKUP(D109,Multipliers!A:B,2,FALSE), (F109-G109)*H109*VLOOKUP(D109,Multipliers!A:B,2,FALSE)), "")</f>
        <v/>
      </c>
      <c r="O109" s="9">
        <f>IF(AND(N109&lt;&gt;"",F109&lt;&gt;"",H109&lt;&gt;"",D109&lt;&gt;""), N109/(F109*H109*VLOOKUP(D109,Multipliers!A:B,2,FALSE)), "")</f>
        <v/>
      </c>
      <c r="P109" s="5">
        <f>P108+N109</f>
        <v/>
      </c>
      <c r="Q109" s="5" t="inlineStr">
        <is>
          <t>Break and Retest</t>
        </is>
      </c>
      <c r="R109" s="5" t="inlineStr">
        <is>
          <t>Imported from Tradovate</t>
        </is>
      </c>
      <c r="S109" s="5" t="inlineStr">
        <is>
          <t>MGC</t>
        </is>
      </c>
      <c r="T109" s="5" t="n"/>
      <c r="U109" s="5" t="n"/>
      <c r="V109" s="5" t="inlineStr">
        <is>
          <t>Overtraded</t>
        </is>
      </c>
      <c r="W109" s="5" t="n"/>
      <c r="X109" s="5" t="n"/>
      <c r="Y109" s="5" t="n"/>
      <c r="Z109" s="5" t="n"/>
      <c r="AA109" s="5" t="n"/>
    </row>
    <row r="110" ht="15.75" customHeight="1">
      <c r="A110" s="5" t="n">
        <v>117</v>
      </c>
      <c r="B110" s="22" t="n">
        <v>46266</v>
      </c>
      <c r="C110" s="10" t="n">
        <v>0.6161342592592592</v>
      </c>
      <c r="D110" s="5" t="inlineStr">
        <is>
          <t>MNQ</t>
        </is>
      </c>
      <c r="E110" s="5" t="inlineStr">
        <is>
          <t>Long</t>
        </is>
      </c>
      <c r="F110" s="5" t="n">
        <v>29041.875</v>
      </c>
      <c r="G110" s="5" t="n">
        <v>29080.375</v>
      </c>
      <c r="H110" s="5" t="n">
        <v>4</v>
      </c>
      <c r="I110" s="5" t="n">
        <v>29026.25</v>
      </c>
      <c r="J110" s="5" t="n">
        <v>29098</v>
      </c>
      <c r="K110" s="8">
        <f>IF(AND(I110&lt;&gt;"",J110&lt;&gt;"",F110&lt;&gt;""), (J110-F110)/(F110-I110), "")</f>
        <v/>
      </c>
      <c r="L110" s="8">
        <f>IF(AND(F110&lt;&gt;"",G110&lt;&gt;"",I110&lt;&gt;""), (G110-F110)/(F110-I110), "")</f>
        <v/>
      </c>
      <c r="M110" s="5">
        <f>IF(N110&gt;0,"Win",IF(N110&lt;0,"Loss",""))</f>
        <v/>
      </c>
      <c r="N110" s="16">
        <f>IF(AND(F110&lt;&gt;"",G110&lt;&gt;"",H110&lt;&gt;"",D110&lt;&gt;""), IF(E110="Long", (G110-F110)*H110*VLOOKUP(D110,Multipliers!A:B,2,FALSE), (F110-G110)*H110*VLOOKUP(D110,Multipliers!A:B,2,FALSE)), "")</f>
        <v/>
      </c>
      <c r="O110" s="9">
        <f>IF(AND(N110&lt;&gt;"",F110&lt;&gt;"",H110&lt;&gt;"",D110&lt;&gt;""), N110/(F110*H110*VLOOKUP(D110,Multipliers!A:B,2,FALSE)), "")</f>
        <v/>
      </c>
      <c r="P110" s="5">
        <f>P109+N110</f>
        <v/>
      </c>
      <c r="Q110" s="5" t="inlineStr">
        <is>
          <t>Break and Retest</t>
        </is>
      </c>
      <c r="R110" s="5" t="inlineStr">
        <is>
          <t>Imported from Tradovate</t>
        </is>
      </c>
      <c r="S110" s="5" t="inlineStr">
        <is>
          <t>MNQ</t>
        </is>
      </c>
      <c r="T110" s="5" t="n"/>
      <c r="U110" s="5" t="n"/>
      <c r="V110" s="5" t="inlineStr">
        <is>
          <t>Overtraded</t>
        </is>
      </c>
      <c r="W110" s="5" t="n"/>
      <c r="X110" s="5" t="n"/>
      <c r="Y110" s="5" t="n"/>
      <c r="Z110" s="5" t="n"/>
      <c r="AA110" s="5" t="n"/>
    </row>
    <row r="111" ht="15.75" customHeight="1">
      <c r="A111" s="5" t="n">
        <v>118</v>
      </c>
      <c r="B111" s="22" t="n">
        <v>46266</v>
      </c>
      <c r="C111" s="10" t="n">
        <v>0.6293981481481481</v>
      </c>
      <c r="D111" s="5" t="inlineStr">
        <is>
          <t>MNQ</t>
        </is>
      </c>
      <c r="E111" s="5" t="inlineStr">
        <is>
          <t>Short</t>
        </is>
      </c>
      <c r="F111" s="5" t="n">
        <v>29097.5</v>
      </c>
      <c r="G111" s="5" t="n">
        <v>29096.75</v>
      </c>
      <c r="H111" s="5" t="n">
        <v>2</v>
      </c>
      <c r="I111" s="5" t="n"/>
      <c r="J111" s="5" t="n">
        <v>29056.25</v>
      </c>
      <c r="K111" s="8">
        <f>IF(AND(I111&lt;&gt;"",J111&lt;&gt;"",F111&lt;&gt;""), (J111-F111)/(F111-I111), "")</f>
        <v/>
      </c>
      <c r="L111" s="8">
        <f>IF(AND(F111&lt;&gt;"",G111&lt;&gt;"",I111&lt;&gt;""), (G111-F111)/(F111-I111), "")</f>
        <v/>
      </c>
      <c r="M111" s="5">
        <f>IF(N111&gt;0,"Win",IF(N111&lt;0,"Loss",""))</f>
        <v/>
      </c>
      <c r="N111" s="16">
        <f>IF(AND(F111&lt;&gt;"",G111&lt;&gt;"",H111&lt;&gt;"",D111&lt;&gt;""), IF(E111="Long", (G111-F111)*H111*VLOOKUP(D111,Multipliers!A:B,2,FALSE), (F111-G111)*H111*VLOOKUP(D111,Multipliers!A:B,2,FALSE)), "")</f>
        <v/>
      </c>
      <c r="O111" s="9">
        <f>IF(AND(N111&lt;&gt;"",F111&lt;&gt;"",H111&lt;&gt;"",D111&lt;&gt;""), N111/(F111*H111*VLOOKUP(D111,Multipliers!A:B,2,FALSE)), "")</f>
        <v/>
      </c>
      <c r="P111" s="5">
        <f>P110+N111</f>
        <v/>
      </c>
      <c r="Q111" s="5" t="inlineStr">
        <is>
          <t>Break and Retest</t>
        </is>
      </c>
      <c r="R111" s="5" t="inlineStr">
        <is>
          <t>Imported from Tradovate</t>
        </is>
      </c>
      <c r="S111" s="5" t="inlineStr">
        <is>
          <t>MNQ</t>
        </is>
      </c>
      <c r="T111" s="5" t="n"/>
      <c r="U111" s="5" t="n"/>
      <c r="V111" s="5" t="inlineStr">
        <is>
          <t>Overtraded</t>
        </is>
      </c>
      <c r="W111" s="5" t="n"/>
      <c r="X111" s="5" t="n"/>
      <c r="Y111" s="5" t="n"/>
      <c r="Z111" s="5" t="n"/>
      <c r="AA111" s="5" t="n"/>
    </row>
    <row r="112" ht="15.75" customHeight="1">
      <c r="A112" s="5" t="n">
        <v>119</v>
      </c>
      <c r="B112" s="22" t="n">
        <v>46266</v>
      </c>
      <c r="C112" s="10" t="n">
        <v>0.6296412037037037</v>
      </c>
      <c r="D112" s="5" t="inlineStr">
        <is>
          <t>MNQ</t>
        </is>
      </c>
      <c r="E112" s="5" t="inlineStr">
        <is>
          <t>Short</t>
        </is>
      </c>
      <c r="F112" s="5" t="n">
        <v>29099.5</v>
      </c>
      <c r="G112" s="5" t="n">
        <v>29121.5</v>
      </c>
      <c r="H112" s="5" t="n">
        <v>2</v>
      </c>
      <c r="I112" s="5" t="n">
        <v>29121.5</v>
      </c>
      <c r="J112" s="5" t="n">
        <v>29056.25</v>
      </c>
      <c r="K112" s="8">
        <f>IF(AND(I112&lt;&gt;"",J112&lt;&gt;"",F112&lt;&gt;""), (J112-F112)/(F112-I112), "")</f>
        <v/>
      </c>
      <c r="L112" s="8">
        <f>IF(AND(F112&lt;&gt;"",G112&lt;&gt;"",I112&lt;&gt;""), (G112-F112)/(F112-I112), "")</f>
        <v/>
      </c>
      <c r="M112" s="5">
        <f>IF(N112&gt;0,"Win",IF(N112&lt;0,"Loss",""))</f>
        <v/>
      </c>
      <c r="N112" s="16">
        <f>IF(AND(F112&lt;&gt;"",G112&lt;&gt;"",H112&lt;&gt;"",D112&lt;&gt;""), IF(E112="Long", (G112-F112)*H112*VLOOKUP(D112,Multipliers!A:B,2,FALSE), (F112-G112)*H112*VLOOKUP(D112,Multipliers!A:B,2,FALSE)), "")</f>
        <v/>
      </c>
      <c r="O112" s="9">
        <f>IF(AND(N112&lt;&gt;"",F112&lt;&gt;"",H112&lt;&gt;"",D112&lt;&gt;""), N112/(F112*H112*VLOOKUP(D112,Multipliers!A:B,2,FALSE)), "")</f>
        <v/>
      </c>
      <c r="P112" s="5">
        <f>P111+N112</f>
        <v/>
      </c>
      <c r="Q112" s="5" t="inlineStr">
        <is>
          <t>Break and Retest</t>
        </is>
      </c>
      <c r="R112" s="5" t="inlineStr">
        <is>
          <t>Imported from Tradovate</t>
        </is>
      </c>
      <c r="S112" s="5" t="inlineStr">
        <is>
          <t>MNQ</t>
        </is>
      </c>
      <c r="T112" s="5" t="n"/>
      <c r="U112" s="5" t="n"/>
      <c r="V112" s="5" t="inlineStr">
        <is>
          <t>Overtraded</t>
        </is>
      </c>
      <c r="W112" s="5" t="n"/>
      <c r="X112" s="5" t="n"/>
      <c r="Y112" s="5" t="n"/>
      <c r="Z112" s="5" t="n"/>
      <c r="AA112" s="5" t="n"/>
    </row>
    <row r="113" ht="15.75" customHeight="1">
      <c r="A113" s="5" t="n"/>
      <c r="B113" s="6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8" t="n"/>
      <c r="L113" s="8" t="n"/>
      <c r="M113" s="5" t="n"/>
      <c r="N113" s="16" t="n"/>
      <c r="O113" s="9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  <c r="AA113" s="5" t="n"/>
    </row>
    <row r="114" ht="15.75" customHeight="1">
      <c r="A114" s="5" t="n"/>
      <c r="B114" s="6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8" t="n"/>
      <c r="L114" s="8" t="n"/>
      <c r="M114" s="5" t="n"/>
      <c r="N114" s="16" t="n"/>
      <c r="O114" s="9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  <c r="AA114" s="5" t="n"/>
    </row>
    <row r="115" ht="15.75" customHeight="1">
      <c r="A115" s="5" t="n"/>
      <c r="B115" s="6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8" t="n"/>
      <c r="L115" s="8" t="n"/>
      <c r="M115" s="5" t="n"/>
      <c r="N115" s="16" t="n"/>
      <c r="O115" s="9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  <c r="AA115" s="5" t="n"/>
    </row>
    <row r="116" ht="15.75" customHeight="1">
      <c r="A116" s="5" t="n"/>
      <c r="B116" s="6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8" t="n"/>
      <c r="L116" s="8" t="n"/>
      <c r="M116" s="5" t="n"/>
      <c r="N116" s="16" t="n"/>
      <c r="O116" s="9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  <c r="AA116" s="5" t="n"/>
    </row>
    <row r="117" ht="15.75" customHeight="1">
      <c r="A117" s="5" t="n"/>
      <c r="B117" s="6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8" t="n"/>
      <c r="L117" s="8" t="n"/>
      <c r="M117" s="5" t="n"/>
      <c r="N117" s="16" t="n"/>
      <c r="O117" s="9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  <c r="AA117" s="5" t="n"/>
    </row>
    <row r="118" ht="15.75" customHeight="1">
      <c r="A118" s="5" t="n"/>
      <c r="B118" s="6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8" t="n"/>
      <c r="L118" s="8" t="n"/>
      <c r="M118" s="5" t="n"/>
      <c r="N118" s="16" t="n"/>
      <c r="O118" s="9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  <c r="AA118" s="5" t="n"/>
    </row>
    <row r="119" ht="15.75" customHeight="1">
      <c r="A119" s="5" t="n"/>
      <c r="B119" s="6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8" t="n"/>
      <c r="L119" s="8" t="n"/>
      <c r="M119" s="5" t="n"/>
      <c r="N119" s="16" t="n"/>
      <c r="O119" s="9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  <c r="AA119" s="5" t="n"/>
    </row>
    <row r="120" ht="15.75" customHeight="1">
      <c r="A120" s="5" t="n"/>
      <c r="B120" s="6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8" t="n"/>
      <c r="L120" s="8" t="n"/>
      <c r="M120" s="5" t="n"/>
      <c r="N120" s="16" t="n"/>
      <c r="O120" s="9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  <c r="AA120" s="5" t="n"/>
    </row>
    <row r="121" ht="15.75" customHeight="1">
      <c r="A121" s="5" t="n"/>
      <c r="B121" s="6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8" t="n"/>
      <c r="L121" s="8" t="n"/>
      <c r="M121" s="5" t="n"/>
      <c r="N121" s="16" t="n"/>
      <c r="O121" s="9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  <c r="AA121" s="5" t="n"/>
    </row>
    <row r="122" ht="15.75" customHeight="1">
      <c r="A122" s="5" t="n"/>
      <c r="B122" s="6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8" t="n"/>
      <c r="L122" s="8" t="n"/>
      <c r="M122" s="5" t="n"/>
      <c r="N122" s="16" t="n"/>
      <c r="O122" s="9">
        <f>IF(AND(N124&lt;&gt;"",F124&lt;&gt;"",H124&lt;&gt;"",D124&lt;&gt;""), N124/(F124*H124*VLOOKUP(D124,Multipliers!A:B,2,FALSE)), "")</f>
        <v/>
      </c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  <c r="AA122" s="5" t="n"/>
    </row>
    <row r="123" ht="15.75" customHeight="1">
      <c r="A123" s="5" t="n"/>
      <c r="B123" s="6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8" t="n"/>
      <c r="L123" s="8" t="n"/>
      <c r="M123" s="5" t="n"/>
      <c r="N123" s="16" t="n"/>
      <c r="O123" s="9">
        <f>IF(AND(N125&lt;&gt;"",F125&lt;&gt;"",H125&lt;&gt;"",D125&lt;&gt;""), N125/(F125*H125*VLOOKUP(D125,Multipliers!A:B,2,FALSE)), "")</f>
        <v/>
      </c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  <c r="AA123" s="5" t="n"/>
    </row>
    <row r="124" ht="15.75" customHeight="1">
      <c r="A124" s="5" t="n"/>
      <c r="B124" s="6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8" t="n"/>
      <c r="L124" s="8" t="n"/>
      <c r="M124" s="5" t="n"/>
      <c r="N124" s="16" t="n"/>
      <c r="O124" s="9">
        <f>IF(AND(N126&lt;&gt;"",F126&lt;&gt;"",H126&lt;&gt;"",D126&lt;&gt;""), N126/(F126*H126*VLOOKUP(D126,Multipliers!A:B,2,FALSE)), "")</f>
        <v/>
      </c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  <c r="AA124" s="5" t="n"/>
    </row>
    <row r="125" ht="15.75" customHeight="1">
      <c r="A125" s="5" t="n"/>
      <c r="B125" s="6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8" t="n"/>
      <c r="L125" s="8" t="n"/>
      <c r="M125" s="5" t="n"/>
      <c r="N125" s="16" t="n"/>
      <c r="O125" s="9">
        <f>IF(AND(N127&lt;&gt;"",F127&lt;&gt;"",H127&lt;&gt;"",D127&lt;&gt;""), N127/(F127*H127*VLOOKUP(D127,Multipliers!A:B,2,FALSE)), "")</f>
        <v/>
      </c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  <c r="AA125" s="5" t="n"/>
    </row>
    <row r="126" ht="15.75" customHeight="1">
      <c r="A126" s="5" t="n"/>
      <c r="B126" s="6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8" t="n"/>
      <c r="L126" s="8" t="n"/>
      <c r="M126" s="5" t="n"/>
      <c r="N126" s="16" t="n"/>
      <c r="O126" s="9">
        <f>IF(AND(N128&lt;&gt;"",F128&lt;&gt;"",H128&lt;&gt;"",D128&lt;&gt;""), N128/(F128*H128*VLOOKUP(D128,Multipliers!A:B,2,FALSE)), "")</f>
        <v/>
      </c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  <c r="AA126" s="5" t="n"/>
    </row>
    <row r="127" ht="15.75" customHeight="1">
      <c r="A127" s="5" t="n"/>
      <c r="B127" s="6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8" t="n"/>
      <c r="L127" s="8" t="n"/>
      <c r="M127" s="5" t="n"/>
      <c r="N127" s="16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  <c r="AA127" s="5" t="n"/>
    </row>
    <row r="128" ht="15.75" customHeight="1">
      <c r="A128" s="5" t="n"/>
      <c r="B128" s="6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8" t="n"/>
      <c r="L128" s="8" t="n"/>
      <c r="M128" s="5" t="n"/>
      <c r="N128" s="16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  <c r="AA128" s="5" t="n"/>
    </row>
    <row r="129" ht="15.75" customHeight="1">
      <c r="A129" s="5" t="n"/>
      <c r="B129" s="6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8" t="n"/>
      <c r="L129" s="8" t="n"/>
      <c r="M129" s="5" t="n"/>
      <c r="N129" s="16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  <c r="AA129" s="5" t="n"/>
    </row>
    <row r="130" ht="15.75" customHeight="1">
      <c r="A130" s="5" t="n"/>
      <c r="B130" s="6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8" t="n"/>
      <c r="L130" s="8" t="n"/>
      <c r="M130" s="5" t="n"/>
      <c r="N130" s="16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  <c r="AA130" s="5" t="n"/>
    </row>
    <row r="131" ht="15.75" customHeight="1">
      <c r="A131" s="5" t="n"/>
      <c r="B131" s="6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8" t="n"/>
      <c r="L131" s="8" t="n"/>
      <c r="M131" s="5" t="n"/>
      <c r="N131" s="16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  <c r="AA131" s="5" t="n"/>
    </row>
    <row r="132" ht="15.75" customHeight="1">
      <c r="A132" s="5" t="n"/>
      <c r="B132" s="6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8" t="n"/>
      <c r="L132" s="8" t="n"/>
      <c r="M132" s="5" t="n"/>
      <c r="N132" s="16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  <c r="AA132" s="5" t="n"/>
    </row>
    <row r="133" ht="15.75" customHeight="1">
      <c r="A133" s="5" t="n"/>
      <c r="B133" s="6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8" t="n"/>
      <c r="L133" s="8" t="n"/>
      <c r="M133" s="5" t="n"/>
      <c r="N133" s="16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  <c r="AA133" s="5" t="n"/>
    </row>
    <row r="134" ht="15.75" customHeight="1">
      <c r="A134" s="5" t="n"/>
      <c r="B134" s="6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8" t="n"/>
      <c r="L134" s="8" t="n"/>
      <c r="M134" s="5" t="n"/>
      <c r="N134" s="16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  <c r="AA134" s="5" t="n"/>
    </row>
    <row r="135" ht="15.75" customHeight="1">
      <c r="A135" s="5" t="n"/>
      <c r="B135" s="6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8" t="n"/>
      <c r="L135" s="8" t="n"/>
      <c r="M135" s="5" t="n"/>
      <c r="N135" s="16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  <c r="AA135" s="5" t="n"/>
    </row>
    <row r="136" ht="15.75" customHeight="1">
      <c r="A136" s="5" t="n"/>
      <c r="B136" s="6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8" t="n"/>
      <c r="L136" s="8" t="n"/>
      <c r="M136" s="5" t="n"/>
      <c r="N136" s="16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  <c r="AA136" s="5" t="n"/>
    </row>
    <row r="137" ht="15.75" customHeight="1">
      <c r="A137" s="5" t="n"/>
      <c r="B137" s="6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8" t="n"/>
      <c r="L137" s="8" t="n"/>
      <c r="M137" s="5" t="n"/>
      <c r="N137" s="16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  <c r="AA137" s="5" t="n"/>
    </row>
    <row r="138" ht="15.75" customHeight="1">
      <c r="A138" s="5" t="n"/>
      <c r="B138" s="6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8" t="n"/>
      <c r="L138" s="8" t="n"/>
      <c r="M138" s="5" t="n"/>
      <c r="N138" s="16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  <c r="AA138" s="5" t="n"/>
    </row>
    <row r="139" ht="15.75" customHeight="1">
      <c r="A139" s="5" t="n"/>
      <c r="B139" s="6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8" t="n"/>
      <c r="L139" s="8" t="n"/>
      <c r="M139" s="5" t="n"/>
      <c r="N139" s="16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  <c r="AA139" s="5" t="n"/>
    </row>
    <row r="140" ht="15.75" customHeight="1">
      <c r="A140" s="5" t="n"/>
      <c r="B140" s="6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8" t="n"/>
      <c r="L140" s="8" t="n"/>
      <c r="M140" s="5" t="n"/>
      <c r="N140" s="16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  <c r="AA140" s="5" t="n"/>
    </row>
    <row r="141" ht="15.75" customHeight="1">
      <c r="A141" s="5" t="n"/>
      <c r="B141" s="6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8" t="n"/>
      <c r="L141" s="8" t="n"/>
      <c r="M141" s="5" t="n"/>
      <c r="N141" s="16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  <c r="AA141" s="5" t="n"/>
    </row>
    <row r="142" ht="15.75" customHeight="1">
      <c r="A142" s="5" t="n"/>
      <c r="B142" s="6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8" t="n"/>
      <c r="L142" s="8" t="n"/>
      <c r="M142" s="5" t="n"/>
      <c r="N142" s="16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  <c r="AA142" s="5" t="n"/>
    </row>
    <row r="143" ht="15.75" customHeight="1">
      <c r="A143" s="5" t="n"/>
      <c r="B143" s="6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8" t="n"/>
      <c r="L143" s="8" t="n"/>
      <c r="M143" s="5" t="n"/>
      <c r="N143" s="16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  <c r="AA143" s="5" t="n"/>
    </row>
    <row r="144" ht="15.75" customHeight="1">
      <c r="A144" s="5" t="n"/>
      <c r="B144" s="6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8" t="n"/>
      <c r="L144" s="8" t="n"/>
      <c r="M144" s="5" t="n"/>
      <c r="N144" s="16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  <c r="AA144" s="5" t="n"/>
    </row>
    <row r="145" ht="15.75" customHeight="1">
      <c r="A145" s="5" t="n"/>
      <c r="B145" s="6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8" t="n"/>
      <c r="L145" s="8" t="n"/>
      <c r="M145" s="5" t="n"/>
      <c r="N145" s="16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  <c r="AA145" s="5" t="n"/>
    </row>
    <row r="146" ht="15.75" customHeight="1">
      <c r="A146" s="5" t="n"/>
      <c r="B146" s="6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8" t="n"/>
      <c r="L146" s="8" t="n"/>
      <c r="M146" s="5" t="n"/>
      <c r="N146" s="16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  <c r="AA146" s="5" t="n"/>
    </row>
    <row r="147" ht="15.75" customHeight="1">
      <c r="A147" s="5" t="n"/>
      <c r="B147" s="6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8" t="n"/>
      <c r="L147" s="8" t="n"/>
      <c r="M147" s="5" t="n"/>
      <c r="N147" s="16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  <c r="AA147" s="5" t="n"/>
    </row>
    <row r="148" ht="15.75" customHeight="1">
      <c r="A148" s="5" t="n"/>
      <c r="B148" s="6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8" t="n"/>
      <c r="L148" s="8" t="n"/>
      <c r="M148" s="5" t="n"/>
      <c r="N148" s="16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  <c r="AA148" s="5" t="n"/>
    </row>
    <row r="149" ht="15.75" customHeight="1">
      <c r="A149" s="5" t="n"/>
      <c r="B149" s="6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8" t="n"/>
      <c r="L149" s="8" t="n"/>
      <c r="M149" s="5" t="n"/>
      <c r="N149" s="16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  <c r="AA149" s="5" t="n"/>
    </row>
    <row r="150" ht="15.75" customHeight="1">
      <c r="A150" s="5" t="n"/>
      <c r="B150" s="6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8" t="n"/>
      <c r="L150" s="8" t="n"/>
      <c r="M150" s="5" t="n"/>
      <c r="N150" s="16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  <c r="AA150" s="5" t="n"/>
    </row>
    <row r="151" ht="15.75" customHeight="1">
      <c r="A151" s="5" t="n"/>
      <c r="B151" s="6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8" t="n"/>
      <c r="L151" s="8" t="n"/>
      <c r="M151" s="5" t="n"/>
      <c r="N151" s="16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  <c r="AA151" s="5" t="n"/>
    </row>
    <row r="152" ht="15.75" customHeight="1">
      <c r="A152" s="5" t="n"/>
      <c r="B152" s="6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8" t="n"/>
      <c r="L152" s="8" t="n"/>
      <c r="M152" s="5" t="n"/>
      <c r="N152" s="16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  <c r="AA152" s="5" t="n"/>
    </row>
    <row r="153" ht="15.75" customHeight="1">
      <c r="A153" s="5" t="n"/>
      <c r="B153" s="6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8" t="n"/>
      <c r="L153" s="8" t="n"/>
      <c r="M153" s="5" t="n"/>
      <c r="N153" s="16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  <c r="AA153" s="5" t="n"/>
    </row>
    <row r="154" ht="15.75" customHeight="1">
      <c r="A154" s="5" t="n"/>
      <c r="B154" s="6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8" t="n"/>
      <c r="L154" s="8" t="n"/>
      <c r="M154" s="5" t="n"/>
      <c r="N154" s="16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  <c r="AA154" s="5" t="n"/>
    </row>
    <row r="155" ht="15.75" customHeight="1">
      <c r="A155" s="5" t="n"/>
      <c r="B155" s="6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8" t="n"/>
      <c r="L155" s="8" t="n"/>
      <c r="M155" s="5" t="n"/>
      <c r="N155" s="16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  <c r="AA155" s="5" t="n"/>
    </row>
    <row r="156" ht="15.75" customHeight="1">
      <c r="A156" s="5" t="n"/>
      <c r="B156" s="6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8" t="n"/>
      <c r="L156" s="8" t="n"/>
      <c r="M156" s="5" t="n"/>
      <c r="N156" s="16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  <c r="AA156" s="5" t="n"/>
    </row>
    <row r="157" ht="15.75" customHeight="1">
      <c r="A157" s="5" t="n"/>
      <c r="B157" s="6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8" t="n"/>
      <c r="L157" s="8" t="n"/>
      <c r="M157" s="5" t="n"/>
      <c r="N157" s="16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  <c r="AA157" s="5" t="n"/>
    </row>
    <row r="158" ht="15.75" customHeight="1">
      <c r="A158" s="5" t="n"/>
      <c r="B158" s="6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8" t="n"/>
      <c r="L158" s="8" t="n"/>
      <c r="M158" s="5" t="n"/>
      <c r="N158" s="16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  <c r="AA158" s="5" t="n"/>
    </row>
    <row r="159" ht="15.75" customHeight="1">
      <c r="A159" s="5" t="n"/>
      <c r="B159" s="6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8" t="n"/>
      <c r="L159" s="8" t="n"/>
      <c r="M159" s="5" t="n"/>
      <c r="N159" s="16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  <c r="AA159" s="5" t="n"/>
    </row>
    <row r="160" ht="15.75" customHeight="1">
      <c r="A160" s="5" t="n"/>
      <c r="B160" s="6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8" t="n"/>
      <c r="L160" s="8" t="n"/>
      <c r="M160" s="5" t="n"/>
      <c r="N160" s="16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  <c r="AA160" s="5" t="n"/>
    </row>
    <row r="161" ht="15.75" customHeight="1">
      <c r="A161" s="5" t="n"/>
      <c r="B161" s="6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8" t="n"/>
      <c r="L161" s="8" t="n"/>
      <c r="M161" s="5" t="n"/>
      <c r="N161" s="16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  <c r="AA161" s="5" t="n"/>
    </row>
    <row r="162" ht="15.75" customHeight="1">
      <c r="A162" s="5" t="n"/>
      <c r="B162" s="6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8" t="n"/>
      <c r="L162" s="8" t="n"/>
      <c r="M162" s="5" t="n"/>
      <c r="N162" s="16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  <c r="AA162" s="5" t="n"/>
    </row>
    <row r="163" ht="15.75" customHeight="1">
      <c r="A163" s="5" t="n"/>
      <c r="B163" s="6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8" t="n"/>
      <c r="L163" s="8" t="n"/>
      <c r="M163" s="5" t="n"/>
      <c r="N163" s="16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  <c r="AA163" s="5" t="n"/>
    </row>
    <row r="164" ht="15.75" customHeight="1">
      <c r="A164" s="5" t="n"/>
      <c r="B164" s="6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8" t="n"/>
      <c r="L164" s="8" t="n"/>
      <c r="M164" s="5" t="n"/>
      <c r="N164" s="16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/>
      <c r="AA164" s="5" t="n"/>
    </row>
    <row r="165" ht="15.75" customHeight="1">
      <c r="A165" s="5" t="n"/>
      <c r="B165" s="6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8" t="n"/>
      <c r="L165" s="8" t="n"/>
      <c r="M165" s="5" t="n"/>
      <c r="N165" s="16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  <c r="Z165" s="5" t="n"/>
      <c r="AA165" s="5" t="n"/>
    </row>
    <row r="166" ht="15.75" customHeight="1">
      <c r="A166" s="5" t="n"/>
      <c r="B166" s="6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8" t="n"/>
      <c r="L166" s="8" t="n"/>
      <c r="M166" s="5" t="n"/>
      <c r="N166" s="16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  <c r="Z166" s="5" t="n"/>
      <c r="AA166" s="5" t="n"/>
    </row>
    <row r="167" ht="15.75" customHeight="1">
      <c r="A167" s="5" t="n"/>
      <c r="B167" s="6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8" t="n"/>
      <c r="L167" s="8" t="n"/>
      <c r="M167" s="5" t="n"/>
      <c r="N167" s="16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/>
      <c r="AA167" s="5" t="n"/>
    </row>
    <row r="168" ht="15.75" customHeight="1">
      <c r="A168" s="5" t="n"/>
      <c r="B168" s="6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8" t="n"/>
      <c r="L168" s="8" t="n"/>
      <c r="M168" s="5" t="n"/>
      <c r="N168" s="16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  <c r="Z168" s="5" t="n"/>
      <c r="AA168" s="5" t="n"/>
    </row>
    <row r="169" ht="15.75" customHeight="1">
      <c r="A169" s="5" t="n"/>
      <c r="B169" s="6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8" t="n"/>
      <c r="L169" s="8" t="n"/>
      <c r="M169" s="5" t="n"/>
      <c r="N169" s="16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  <c r="Z169" s="5" t="n"/>
      <c r="AA169" s="5" t="n"/>
    </row>
    <row r="170" ht="15.75" customHeight="1">
      <c r="A170" s="5" t="n"/>
      <c r="B170" s="6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8" t="n"/>
      <c r="L170" s="8" t="n"/>
      <c r="M170" s="5" t="n"/>
      <c r="N170" s="16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/>
      <c r="AA170" s="5" t="n"/>
    </row>
    <row r="171" ht="15.75" customHeight="1">
      <c r="A171" s="5" t="n"/>
      <c r="B171" s="6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8" t="n"/>
      <c r="L171" s="8" t="n"/>
      <c r="M171" s="5" t="n"/>
      <c r="N171" s="16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  <c r="Z171" s="5" t="n"/>
      <c r="AA171" s="5" t="n"/>
    </row>
    <row r="172" ht="15.75" customHeight="1">
      <c r="A172" s="5" t="n"/>
      <c r="B172" s="6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8" t="n"/>
      <c r="L172" s="8" t="n"/>
      <c r="M172" s="5" t="n"/>
      <c r="N172" s="16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  <c r="Z172" s="5" t="n"/>
      <c r="AA172" s="5" t="n"/>
    </row>
    <row r="173" ht="15.75" customHeight="1">
      <c r="A173" s="5" t="n"/>
      <c r="B173" s="6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8" t="n"/>
      <c r="L173" s="8" t="n"/>
      <c r="M173" s="5" t="n"/>
      <c r="N173" s="16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  <c r="Z173" s="5" t="n"/>
      <c r="AA173" s="5" t="n"/>
    </row>
    <row r="174" ht="15.75" customHeight="1">
      <c r="A174" s="5" t="n"/>
      <c r="B174" s="6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8" t="n"/>
      <c r="L174" s="8" t="n"/>
      <c r="M174" s="5" t="n"/>
      <c r="N174" s="16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/>
      <c r="AA174" s="5" t="n"/>
    </row>
    <row r="175" ht="15.75" customHeight="1">
      <c r="A175" s="5" t="n"/>
      <c r="B175" s="6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8" t="n"/>
      <c r="L175" s="8" t="n"/>
      <c r="M175" s="5" t="n"/>
      <c r="N175" s="16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  <c r="Z175" s="5" t="n"/>
      <c r="AA175" s="5" t="n"/>
    </row>
    <row r="176" ht="15.75" customHeight="1">
      <c r="A176" s="5" t="n"/>
      <c r="B176" s="6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8" t="n"/>
      <c r="L176" s="8" t="n"/>
      <c r="M176" s="5" t="n"/>
      <c r="N176" s="16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  <c r="Z176" s="5" t="n"/>
      <c r="AA176" s="5" t="n"/>
    </row>
    <row r="177" ht="15.75" customHeight="1">
      <c r="A177" s="5" t="n"/>
      <c r="B177" s="6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8" t="n"/>
      <c r="L177" s="8" t="n"/>
      <c r="M177" s="5" t="n"/>
      <c r="N177" s="16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  <c r="AA177" s="5" t="n"/>
    </row>
    <row r="178" ht="15.75" customHeight="1">
      <c r="A178" s="5" t="n"/>
      <c r="B178" s="6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8" t="n"/>
      <c r="L178" s="8" t="n"/>
      <c r="M178" s="5" t="n"/>
      <c r="N178" s="16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  <c r="Z178" s="5" t="n"/>
      <c r="AA178" s="5" t="n"/>
    </row>
    <row r="179" ht="15.75" customHeight="1">
      <c r="A179" s="5" t="n"/>
      <c r="B179" s="6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8" t="n"/>
      <c r="L179" s="8" t="n"/>
      <c r="M179" s="5" t="n"/>
      <c r="N179" s="16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  <c r="Z179" s="5" t="n"/>
      <c r="AA179" s="5" t="n"/>
    </row>
    <row r="180" ht="15.75" customHeight="1">
      <c r="A180" s="5" t="n"/>
      <c r="B180" s="6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8" t="n"/>
      <c r="L180" s="8" t="n"/>
      <c r="M180" s="5" t="n"/>
      <c r="N180" s="16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  <c r="Z180" s="5" t="n"/>
      <c r="AA180" s="5" t="n"/>
    </row>
    <row r="181" ht="15.75" customHeight="1">
      <c r="A181" s="5" t="n"/>
      <c r="B181" s="6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8" t="n"/>
      <c r="L181" s="8" t="n"/>
      <c r="M181" s="5" t="n"/>
      <c r="N181" s="16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  <c r="AA181" s="5" t="n"/>
    </row>
    <row r="182" ht="15.75" customHeight="1">
      <c r="A182" s="5" t="n"/>
      <c r="B182" s="6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8" t="n"/>
      <c r="L182" s="8" t="n"/>
      <c r="M182" s="5" t="n"/>
      <c r="N182" s="16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  <c r="Z182" s="5" t="n"/>
      <c r="AA182" s="5" t="n"/>
    </row>
    <row r="183" ht="15.75" customHeight="1">
      <c r="A183" s="5" t="n"/>
      <c r="B183" s="6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8" t="n"/>
      <c r="L183" s="8" t="n"/>
      <c r="M183" s="5" t="n"/>
      <c r="N183" s="16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  <c r="Z183" s="5" t="n"/>
      <c r="AA183" s="5" t="n"/>
    </row>
    <row r="184" ht="15.75" customHeight="1">
      <c r="A184" s="5" t="n"/>
      <c r="B184" s="6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8" t="n"/>
      <c r="L184" s="8" t="n"/>
      <c r="M184" s="5" t="n"/>
      <c r="N184" s="16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  <c r="Z184" s="5" t="n"/>
      <c r="AA184" s="5" t="n"/>
    </row>
    <row r="185" ht="15.75" customHeight="1">
      <c r="A185" s="5" t="n"/>
      <c r="B185" s="6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8" t="n"/>
      <c r="L185" s="8" t="n"/>
      <c r="M185" s="5" t="n"/>
      <c r="N185" s="16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  <c r="Z185" s="5" t="n"/>
      <c r="AA185" s="5" t="n"/>
    </row>
    <row r="186" ht="15.75" customHeight="1">
      <c r="A186" s="5" t="n"/>
      <c r="B186" s="6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8" t="n"/>
      <c r="L186" s="8" t="n"/>
      <c r="M186" s="5" t="n"/>
      <c r="N186" s="16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  <c r="Z186" s="5" t="n"/>
      <c r="AA186" s="5" t="n"/>
    </row>
    <row r="187" ht="15.75" customHeight="1">
      <c r="A187" s="5" t="n"/>
      <c r="B187" s="6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8" t="n"/>
      <c r="L187" s="8" t="n"/>
      <c r="M187" s="5" t="n"/>
      <c r="N187" s="16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  <c r="Z187" s="5" t="n"/>
      <c r="AA187" s="5" t="n"/>
    </row>
    <row r="188" ht="15.75" customHeight="1">
      <c r="A188" s="5" t="n"/>
      <c r="B188" s="6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8" t="n"/>
      <c r="L188" s="8" t="n"/>
      <c r="M188" s="5" t="n"/>
      <c r="N188" s="16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  <c r="AA188" s="5" t="n"/>
    </row>
    <row r="189" ht="15.75" customHeight="1">
      <c r="A189" s="5" t="n"/>
      <c r="B189" s="6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8" t="n"/>
      <c r="L189" s="8" t="n"/>
      <c r="M189" s="5" t="n"/>
      <c r="N189" s="16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/>
      <c r="AA189" s="5" t="n"/>
    </row>
    <row r="190" ht="15.75" customHeight="1">
      <c r="A190" s="5" t="n"/>
      <c r="B190" s="6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8" t="n"/>
      <c r="L190" s="8" t="n"/>
      <c r="M190" s="5" t="n"/>
      <c r="N190" s="16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  <c r="Z190" s="5" t="n"/>
      <c r="AA190" s="5" t="n"/>
    </row>
    <row r="191" ht="15.75" customHeight="1">
      <c r="A191" s="5" t="n"/>
      <c r="B191" s="6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8" t="n"/>
      <c r="L191" s="8" t="n"/>
      <c r="M191" s="5" t="n"/>
      <c r="N191" s="16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  <c r="Z191" s="5" t="n"/>
      <c r="AA191" s="5" t="n"/>
    </row>
    <row r="192" ht="15.75" customHeight="1">
      <c r="A192" s="5" t="n"/>
      <c r="B192" s="6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8" t="n"/>
      <c r="L192" s="8" t="n"/>
      <c r="M192" s="5" t="n"/>
      <c r="N192" s="16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  <c r="Z192" s="5" t="n"/>
      <c r="AA192" s="5" t="n"/>
    </row>
    <row r="193" ht="15.75" customHeight="1">
      <c r="A193" s="5" t="n"/>
      <c r="B193" s="6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8" t="n"/>
      <c r="L193" s="8" t="n"/>
      <c r="M193" s="5" t="n"/>
      <c r="N193" s="16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  <c r="Z193" s="5" t="n"/>
      <c r="AA193" s="5" t="n"/>
    </row>
    <row r="194" ht="15.75" customHeight="1">
      <c r="A194" s="5" t="n"/>
      <c r="B194" s="6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8" t="n"/>
      <c r="L194" s="8" t="n"/>
      <c r="M194" s="5" t="n"/>
      <c r="N194" s="16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  <c r="Z194" s="5" t="n"/>
      <c r="AA194" s="5" t="n"/>
    </row>
    <row r="195" ht="15.75" customHeight="1">
      <c r="A195" s="5" t="n"/>
      <c r="B195" s="6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8" t="n"/>
      <c r="L195" s="8" t="n"/>
      <c r="M195" s="5" t="n"/>
      <c r="N195" s="16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5" t="n"/>
      <c r="AA195" s="5" t="n"/>
    </row>
    <row r="196" ht="15.75" customHeight="1">
      <c r="A196" s="5" t="n"/>
      <c r="B196" s="6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8" t="n"/>
      <c r="L196" s="8" t="n"/>
      <c r="M196" s="5" t="n"/>
      <c r="N196" s="16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  <c r="Z196" s="5" t="n"/>
      <c r="AA196" s="5" t="n"/>
    </row>
    <row r="197" ht="15.75" customHeight="1">
      <c r="A197" s="5" t="n"/>
      <c r="B197" s="6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8" t="n"/>
      <c r="L197" s="8" t="n"/>
      <c r="M197" s="5" t="n"/>
      <c r="N197" s="16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  <c r="Z197" s="5" t="n"/>
      <c r="AA197" s="5" t="n"/>
    </row>
    <row r="198" ht="15.75" customHeight="1">
      <c r="A198" s="5" t="n"/>
      <c r="B198" s="6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8" t="n"/>
      <c r="L198" s="8" t="n"/>
      <c r="M198" s="5" t="n"/>
      <c r="N198" s="16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  <c r="Z198" s="5" t="n"/>
      <c r="AA198" s="5" t="n"/>
    </row>
    <row r="199" ht="15.75" customHeight="1">
      <c r="A199" s="5" t="n"/>
      <c r="B199" s="6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8" t="n"/>
      <c r="L199" s="8" t="n"/>
      <c r="M199" s="5" t="n"/>
      <c r="N199" s="16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  <c r="Z199" s="5" t="n"/>
      <c r="AA199" s="5" t="n"/>
    </row>
    <row r="200" ht="15.75" customHeight="1">
      <c r="A200" s="5" t="n"/>
      <c r="B200" s="6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8" t="n"/>
      <c r="L200" s="8" t="n"/>
      <c r="M200" s="5" t="n"/>
      <c r="N200" s="16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  <c r="Z200" s="5" t="n"/>
      <c r="AA200" s="5" t="n"/>
    </row>
    <row r="201" ht="15.75" customHeight="1">
      <c r="A201" s="5" t="n"/>
      <c r="B201" s="6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8" t="n"/>
      <c r="L201" s="8" t="n"/>
      <c r="M201" s="5" t="n"/>
      <c r="N201" s="16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  <c r="Z201" s="5" t="n"/>
      <c r="AA201" s="5" t="n"/>
    </row>
    <row r="202" ht="15.75" customHeight="1">
      <c r="A202" s="5" t="n"/>
      <c r="B202" s="6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8" t="n"/>
      <c r="L202" s="8" t="n"/>
      <c r="M202" s="5" t="n"/>
      <c r="N202" s="16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  <c r="Z202" s="5" t="n"/>
      <c r="AA202" s="5" t="n"/>
    </row>
    <row r="203" ht="15.75" customHeight="1">
      <c r="A203" s="5" t="n"/>
      <c r="B203" s="6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8" t="n"/>
      <c r="L203" s="8" t="n"/>
      <c r="M203" s="5" t="n"/>
      <c r="N203" s="16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  <c r="Z203" s="5" t="n"/>
      <c r="AA203" s="5" t="n"/>
    </row>
    <row r="204" ht="15.75" customHeight="1">
      <c r="A204" s="5" t="n"/>
      <c r="B204" s="6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8" t="n"/>
      <c r="L204" s="8" t="n"/>
      <c r="M204" s="5" t="n"/>
      <c r="N204" s="16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  <c r="Z204" s="5" t="n"/>
      <c r="AA204" s="5" t="n"/>
    </row>
    <row r="205" ht="15.75" customHeight="1">
      <c r="A205" s="5" t="n"/>
      <c r="B205" s="6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8" t="n"/>
      <c r="L205" s="8" t="n"/>
      <c r="M205" s="5" t="n"/>
      <c r="N205" s="16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  <c r="Z205" s="5" t="n"/>
      <c r="AA205" s="5" t="n"/>
    </row>
    <row r="206" ht="15.75" customHeight="1">
      <c r="A206" s="5" t="n"/>
      <c r="B206" s="6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8" t="n"/>
      <c r="L206" s="8" t="n"/>
      <c r="M206" s="5" t="n"/>
      <c r="N206" s="16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  <c r="Z206" s="5" t="n"/>
      <c r="AA206" s="5" t="n"/>
    </row>
    <row r="207" ht="15.75" customHeight="1">
      <c r="A207" s="5" t="n"/>
      <c r="B207" s="6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8" t="n"/>
      <c r="L207" s="8" t="n"/>
      <c r="M207" s="5" t="n"/>
      <c r="N207" s="16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  <c r="Z207" s="5" t="n"/>
      <c r="AA207" s="5" t="n"/>
    </row>
    <row r="208" ht="15.75" customHeight="1">
      <c r="A208" s="5" t="n"/>
      <c r="B208" s="6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8" t="n"/>
      <c r="L208" s="8" t="n"/>
      <c r="M208" s="5" t="n"/>
      <c r="N208" s="16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  <c r="Z208" s="5" t="n"/>
      <c r="AA208" s="5" t="n"/>
    </row>
    <row r="209" ht="15.75" customHeight="1">
      <c r="A209" s="5" t="n"/>
      <c r="B209" s="6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8" t="n"/>
      <c r="L209" s="8" t="n"/>
      <c r="M209" s="5" t="n"/>
      <c r="N209" s="16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  <c r="Z209" s="5" t="n"/>
      <c r="AA209" s="5" t="n"/>
    </row>
    <row r="210" ht="15.75" customHeight="1">
      <c r="A210" s="5" t="n"/>
      <c r="B210" s="6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8" t="n"/>
      <c r="L210" s="8" t="n"/>
      <c r="M210" s="5" t="n"/>
      <c r="N210" s="16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  <c r="Z210" s="5" t="n"/>
      <c r="AA210" s="5" t="n"/>
    </row>
    <row r="211" ht="15.75" customHeight="1">
      <c r="A211" s="5" t="n"/>
      <c r="B211" s="6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8" t="n"/>
      <c r="L211" s="8" t="n"/>
      <c r="M211" s="5" t="n"/>
      <c r="N211" s="16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  <c r="Z211" s="5" t="n"/>
      <c r="AA211" s="5" t="n"/>
    </row>
    <row r="212" ht="15.75" customHeight="1">
      <c r="A212" s="5" t="n"/>
      <c r="B212" s="6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8" t="n"/>
      <c r="L212" s="8" t="n"/>
      <c r="M212" s="5" t="n"/>
      <c r="N212" s="16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  <c r="Z212" s="5" t="n"/>
      <c r="AA212" s="5" t="n"/>
    </row>
    <row r="213" ht="15.75" customHeight="1">
      <c r="A213" s="5" t="n"/>
      <c r="B213" s="6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8" t="n"/>
      <c r="L213" s="8" t="n"/>
      <c r="M213" s="5" t="n"/>
      <c r="N213" s="16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  <c r="Z213" s="5" t="n"/>
      <c r="AA213" s="5" t="n"/>
    </row>
    <row r="214" ht="15.75" customHeight="1">
      <c r="A214" s="5" t="n"/>
      <c r="B214" s="6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8" t="n"/>
      <c r="L214" s="8" t="n"/>
      <c r="M214" s="5" t="n"/>
      <c r="N214" s="16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  <c r="Z214" s="5" t="n"/>
      <c r="AA214" s="5" t="n"/>
    </row>
    <row r="215" ht="15.75" customHeight="1">
      <c r="A215" s="5" t="n"/>
      <c r="B215" s="6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8" t="n"/>
      <c r="L215" s="8" t="n"/>
      <c r="M215" s="5" t="n"/>
      <c r="N215" s="16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  <c r="Z215" s="5" t="n"/>
      <c r="AA215" s="5" t="n"/>
    </row>
    <row r="216" ht="15.75" customHeight="1">
      <c r="A216" s="5" t="n"/>
      <c r="B216" s="6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8" t="n"/>
      <c r="L216" s="8" t="n"/>
      <c r="M216" s="5" t="n"/>
      <c r="N216" s="16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  <c r="Z216" s="5" t="n"/>
      <c r="AA216" s="5" t="n"/>
    </row>
    <row r="217" ht="15.75" customHeight="1">
      <c r="A217" s="5" t="n"/>
      <c r="B217" s="6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8" t="n"/>
      <c r="L217" s="8" t="n"/>
      <c r="M217" s="5" t="n"/>
      <c r="N217" s="16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  <c r="Z217" s="5" t="n"/>
      <c r="AA217" s="5" t="n"/>
    </row>
    <row r="218" ht="15.75" customHeight="1">
      <c r="A218" s="5" t="n"/>
      <c r="B218" s="6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8" t="n"/>
      <c r="L218" s="8" t="n"/>
      <c r="M218" s="5" t="n"/>
      <c r="N218" s="16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  <c r="Z218" s="5" t="n"/>
      <c r="AA218" s="5" t="n"/>
    </row>
    <row r="219" ht="15.75" customHeight="1">
      <c r="A219" s="5" t="n"/>
      <c r="B219" s="6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8" t="n"/>
      <c r="L219" s="8" t="n"/>
      <c r="M219" s="5" t="n"/>
      <c r="N219" s="16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  <c r="Z219" s="5" t="n"/>
      <c r="AA219" s="5" t="n"/>
    </row>
    <row r="220" ht="15.75" customHeight="1">
      <c r="A220" s="5" t="n"/>
      <c r="B220" s="6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8" t="n"/>
      <c r="L220" s="8" t="n"/>
      <c r="M220" s="5" t="n"/>
      <c r="N220" s="16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  <c r="Z220" s="5" t="n"/>
      <c r="AA220" s="5" t="n"/>
    </row>
    <row r="221" ht="15.75" customHeight="1">
      <c r="A221" s="5" t="n"/>
      <c r="B221" s="6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8" t="n"/>
      <c r="L221" s="8" t="n"/>
      <c r="M221" s="5" t="n"/>
      <c r="N221" s="16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  <c r="Z221" s="5" t="n"/>
      <c r="AA221" s="5" t="n"/>
    </row>
    <row r="222" ht="15.75" customHeight="1">
      <c r="A222" s="5" t="n"/>
      <c r="B222" s="6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8" t="n"/>
      <c r="L222" s="8" t="n"/>
      <c r="M222" s="5" t="n"/>
      <c r="N222" s="16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  <c r="Z222" s="5" t="n"/>
      <c r="AA222" s="5" t="n"/>
    </row>
    <row r="223" ht="15.75" customHeight="1">
      <c r="A223" s="5" t="n"/>
      <c r="B223" s="6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8" t="n"/>
      <c r="L223" s="8" t="n"/>
      <c r="M223" s="5" t="n"/>
      <c r="N223" s="16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  <c r="Z223" s="5" t="n"/>
      <c r="AA223" s="5" t="n"/>
    </row>
    <row r="224" ht="15.75" customHeight="1">
      <c r="A224" s="5" t="n"/>
      <c r="B224" s="6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8" t="n"/>
      <c r="L224" s="8" t="n"/>
      <c r="M224" s="5" t="n"/>
      <c r="N224" s="16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  <c r="Z224" s="5" t="n"/>
      <c r="AA224" s="5" t="n"/>
    </row>
    <row r="225" ht="15.75" customHeight="1">
      <c r="A225" s="5" t="n"/>
      <c r="B225" s="6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8" t="n"/>
      <c r="L225" s="8" t="n"/>
      <c r="M225" s="5" t="n"/>
      <c r="N225" s="16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  <c r="Z225" s="5" t="n"/>
      <c r="AA225" s="5" t="n"/>
    </row>
    <row r="226" ht="15.75" customHeight="1">
      <c r="A226" s="5" t="n"/>
      <c r="B226" s="6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8" t="n"/>
      <c r="L226" s="8" t="n"/>
      <c r="M226" s="5" t="n"/>
      <c r="N226" s="16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  <c r="Z226" s="5" t="n"/>
      <c r="AA226" s="5" t="n"/>
    </row>
    <row r="227" ht="15.75" customHeight="1">
      <c r="A227" s="5" t="n"/>
      <c r="B227" s="6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8" t="n"/>
      <c r="L227" s="8" t="n"/>
      <c r="M227" s="5" t="n"/>
      <c r="N227" s="16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  <c r="Z227" s="5" t="n"/>
      <c r="AA227" s="5" t="n"/>
    </row>
    <row r="228" ht="15.75" customHeight="1">
      <c r="A228" s="5" t="n"/>
      <c r="B228" s="6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8" t="n"/>
      <c r="L228" s="8" t="n"/>
      <c r="M228" s="5" t="n"/>
      <c r="N228" s="16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  <c r="Z228" s="5" t="n"/>
      <c r="AA228" s="5" t="n"/>
    </row>
    <row r="229" ht="15.75" customHeight="1">
      <c r="A229" s="5" t="n"/>
      <c r="B229" s="6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8" t="n"/>
      <c r="L229" s="8" t="n"/>
      <c r="M229" s="5" t="n"/>
      <c r="N229" s="16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  <c r="Z229" s="5" t="n"/>
      <c r="AA229" s="5" t="n"/>
    </row>
    <row r="230" ht="15.75" customHeight="1">
      <c r="A230" s="5" t="n"/>
      <c r="B230" s="6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8" t="n"/>
      <c r="L230" s="8" t="n"/>
      <c r="M230" s="5" t="n"/>
      <c r="N230" s="16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  <c r="Z230" s="5" t="n"/>
      <c r="AA230" s="5" t="n"/>
    </row>
    <row r="231" ht="15.75" customHeight="1">
      <c r="A231" s="5" t="n"/>
      <c r="B231" s="6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8" t="n"/>
      <c r="L231" s="8" t="n"/>
      <c r="M231" s="5" t="n"/>
      <c r="N231" s="16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  <c r="Z231" s="5" t="n"/>
      <c r="AA231" s="5" t="n"/>
    </row>
    <row r="232" ht="15.75" customHeight="1">
      <c r="A232" s="5" t="n"/>
      <c r="B232" s="6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8" t="n"/>
      <c r="L232" s="8" t="n"/>
      <c r="M232" s="5" t="n"/>
      <c r="N232" s="16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  <c r="Z232" s="5" t="n"/>
      <c r="AA232" s="5" t="n"/>
    </row>
    <row r="233" ht="15.75" customHeight="1">
      <c r="A233" s="5" t="n"/>
      <c r="B233" s="6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8" t="n"/>
      <c r="L233" s="8" t="n"/>
      <c r="M233" s="5" t="n"/>
      <c r="N233" s="16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  <c r="Z233" s="5" t="n"/>
      <c r="AA233" s="5" t="n"/>
    </row>
    <row r="234" ht="15.75" customHeight="1">
      <c r="A234" s="5" t="n"/>
      <c r="B234" s="6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8" t="n"/>
      <c r="L234" s="8" t="n"/>
      <c r="M234" s="5" t="n"/>
      <c r="N234" s="16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  <c r="Z234" s="5" t="n"/>
      <c r="AA234" s="5" t="n"/>
    </row>
    <row r="235" ht="15.75" customHeight="1">
      <c r="A235" s="5" t="n"/>
      <c r="B235" s="6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8" t="n"/>
      <c r="L235" s="8" t="n"/>
      <c r="M235" s="5" t="n"/>
      <c r="N235" s="16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  <c r="Z235" s="5" t="n"/>
      <c r="AA235" s="5" t="n"/>
    </row>
    <row r="236" ht="15.75" customHeight="1">
      <c r="A236" s="5" t="n"/>
      <c r="B236" s="6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8" t="n"/>
      <c r="L236" s="8" t="n"/>
      <c r="M236" s="5" t="n"/>
      <c r="N236" s="16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  <c r="Z236" s="5" t="n"/>
      <c r="AA236" s="5" t="n"/>
    </row>
    <row r="237" ht="15.75" customHeight="1">
      <c r="A237" s="5" t="n"/>
      <c r="B237" s="6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8" t="n"/>
      <c r="L237" s="8" t="n"/>
      <c r="M237" s="5" t="n"/>
      <c r="N237" s="16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  <c r="Z237" s="5" t="n"/>
      <c r="AA237" s="5" t="n"/>
    </row>
    <row r="238" ht="15.75" customHeight="1">
      <c r="A238" s="5" t="n"/>
      <c r="B238" s="6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8" t="n"/>
      <c r="L238" s="8" t="n"/>
      <c r="M238" s="5" t="n"/>
      <c r="N238" s="16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  <c r="Z238" s="5" t="n"/>
      <c r="AA238" s="5" t="n"/>
    </row>
    <row r="239" ht="15.75" customHeight="1">
      <c r="A239" s="5" t="n"/>
      <c r="B239" s="6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8" t="n"/>
      <c r="L239" s="8" t="n"/>
      <c r="M239" s="5" t="n"/>
      <c r="N239" s="16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  <c r="Z239" s="5" t="n"/>
      <c r="AA239" s="5" t="n"/>
    </row>
    <row r="240" ht="15.75" customHeight="1">
      <c r="A240" s="5" t="n"/>
      <c r="B240" s="6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8" t="n"/>
      <c r="L240" s="8" t="n"/>
      <c r="M240" s="5" t="n"/>
      <c r="N240" s="16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  <c r="Z240" s="5" t="n"/>
      <c r="AA240" s="5" t="n"/>
    </row>
    <row r="241" ht="15.75" customHeight="1">
      <c r="A241" s="5" t="n"/>
      <c r="B241" s="6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8" t="n"/>
      <c r="L241" s="8" t="n"/>
      <c r="M241" s="5" t="n"/>
      <c r="N241" s="16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  <c r="Z241" s="5" t="n"/>
      <c r="AA241" s="5" t="n"/>
    </row>
    <row r="242" ht="15.75" customHeight="1">
      <c r="A242" s="5" t="n"/>
      <c r="B242" s="6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8" t="n"/>
      <c r="L242" s="8" t="n"/>
      <c r="M242" s="5" t="n"/>
      <c r="N242" s="16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  <c r="Z242" s="5" t="n"/>
      <c r="AA242" s="5" t="n"/>
    </row>
    <row r="243" ht="15.75" customHeight="1">
      <c r="A243" s="5" t="n"/>
      <c r="B243" s="6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8" t="n"/>
      <c r="L243" s="8" t="n"/>
      <c r="M243" s="5" t="n"/>
      <c r="N243" s="16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  <c r="Z243" s="5" t="n"/>
      <c r="AA243" s="5" t="n"/>
    </row>
    <row r="244" ht="15.75" customHeight="1">
      <c r="A244" s="5" t="n"/>
      <c r="B244" s="6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8" t="n"/>
      <c r="L244" s="8" t="n"/>
      <c r="M244" s="5" t="n"/>
      <c r="N244" s="16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  <c r="Z244" s="5" t="n"/>
      <c r="AA244" s="5" t="n"/>
    </row>
    <row r="245" ht="15.75" customHeight="1">
      <c r="A245" s="5" t="n"/>
      <c r="B245" s="6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8" t="n"/>
      <c r="L245" s="8" t="n"/>
      <c r="M245" s="5" t="n"/>
      <c r="N245" s="16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  <c r="Z245" s="5" t="n"/>
      <c r="AA245" s="5" t="n"/>
    </row>
    <row r="246" ht="15.75" customHeight="1">
      <c r="A246" s="5" t="n"/>
      <c r="B246" s="6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8" t="n"/>
      <c r="L246" s="8" t="n"/>
      <c r="M246" s="5" t="n"/>
      <c r="N246" s="16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  <c r="Z246" s="5" t="n"/>
      <c r="AA246" s="5" t="n"/>
    </row>
    <row r="247" ht="15.75" customHeight="1">
      <c r="A247" s="5" t="n"/>
      <c r="B247" s="6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8" t="n"/>
      <c r="L247" s="8" t="n"/>
      <c r="M247" s="5" t="n"/>
      <c r="N247" s="16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  <c r="Z247" s="5" t="n"/>
      <c r="AA247" s="5" t="n"/>
    </row>
    <row r="248" ht="15.75" customHeight="1">
      <c r="A248" s="5" t="n"/>
      <c r="B248" s="6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8" t="n"/>
      <c r="L248" s="8" t="n"/>
      <c r="M248" s="5" t="n"/>
      <c r="N248" s="16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  <c r="Z248" s="5" t="n"/>
      <c r="AA248" s="5" t="n"/>
    </row>
    <row r="249" ht="15.75" customHeight="1">
      <c r="A249" s="5" t="n"/>
      <c r="B249" s="6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8" t="n"/>
      <c r="L249" s="8" t="n"/>
      <c r="M249" s="5" t="n"/>
      <c r="N249" s="16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  <c r="Z249" s="5" t="n"/>
      <c r="AA249" s="5" t="n"/>
    </row>
    <row r="250" ht="15.75" customHeight="1">
      <c r="A250" s="5" t="n"/>
      <c r="B250" s="6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8" t="n"/>
      <c r="L250" s="8" t="n"/>
      <c r="M250" s="5" t="n"/>
      <c r="N250" s="16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  <c r="Z250" s="5" t="n"/>
      <c r="AA250" s="5" t="n"/>
    </row>
    <row r="251" ht="15.75" customHeight="1">
      <c r="A251" s="5" t="n"/>
      <c r="B251" s="6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8" t="n"/>
      <c r="L251" s="8" t="n"/>
      <c r="M251" s="5" t="n"/>
      <c r="N251" s="16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  <c r="Z251" s="5" t="n"/>
      <c r="AA251" s="5" t="n"/>
    </row>
    <row r="252" ht="15.75" customHeight="1">
      <c r="A252" s="5" t="n"/>
      <c r="B252" s="6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8" t="n"/>
      <c r="L252" s="8" t="n"/>
      <c r="M252" s="5" t="n"/>
      <c r="N252" s="16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  <c r="Z252" s="5" t="n"/>
      <c r="AA252" s="5" t="n"/>
    </row>
    <row r="253" ht="15.75" customHeight="1">
      <c r="A253" s="5" t="n"/>
      <c r="B253" s="6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8" t="n"/>
      <c r="L253" s="8" t="n"/>
      <c r="M253" s="5" t="n"/>
      <c r="N253" s="16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  <c r="Z253" s="5" t="n"/>
      <c r="AA253" s="5" t="n"/>
    </row>
    <row r="254" ht="15.75" customHeight="1">
      <c r="A254" s="5" t="n"/>
      <c r="B254" s="6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8" t="n"/>
      <c r="L254" s="8" t="n"/>
      <c r="M254" s="5" t="n"/>
      <c r="N254" s="16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  <c r="Z254" s="5" t="n"/>
      <c r="AA254" s="5" t="n"/>
    </row>
    <row r="255" ht="15.75" customHeight="1">
      <c r="A255" s="5" t="n"/>
      <c r="B255" s="6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8" t="n"/>
      <c r="L255" s="8" t="n"/>
      <c r="M255" s="5" t="n"/>
      <c r="N255" s="16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  <c r="Z255" s="5" t="n"/>
      <c r="AA255" s="5" t="n"/>
    </row>
    <row r="256" ht="15.75" customHeight="1">
      <c r="A256" s="5" t="n"/>
      <c r="B256" s="6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8" t="n"/>
      <c r="L256" s="8" t="n"/>
      <c r="M256" s="5" t="n"/>
      <c r="N256" s="16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  <c r="Z256" s="5" t="n"/>
      <c r="AA256" s="5" t="n"/>
    </row>
    <row r="257" ht="15.75" customHeight="1">
      <c r="A257" s="5" t="n"/>
      <c r="B257" s="6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8" t="n"/>
      <c r="L257" s="8" t="n"/>
      <c r="M257" s="5" t="n"/>
      <c r="N257" s="16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  <c r="Z257" s="5" t="n"/>
      <c r="AA257" s="5" t="n"/>
    </row>
    <row r="258" ht="15.75" customHeight="1">
      <c r="A258" s="5" t="n"/>
      <c r="B258" s="6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8" t="n"/>
      <c r="L258" s="8" t="n"/>
      <c r="M258" s="5" t="n"/>
      <c r="N258" s="16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  <c r="Z258" s="5" t="n"/>
      <c r="AA258" s="5" t="n"/>
    </row>
    <row r="259" ht="15.75" customHeight="1">
      <c r="A259" s="5" t="n"/>
      <c r="B259" s="6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8" t="n"/>
      <c r="L259" s="8" t="n"/>
      <c r="M259" s="5" t="n"/>
      <c r="N259" s="16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  <c r="Z259" s="5" t="n"/>
      <c r="AA259" s="5" t="n"/>
    </row>
    <row r="260" ht="15.75" customHeight="1">
      <c r="A260" s="5" t="n"/>
      <c r="B260" s="6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8" t="n"/>
      <c r="L260" s="8" t="n"/>
      <c r="M260" s="5" t="n"/>
      <c r="N260" s="16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  <c r="Z260" s="5" t="n"/>
      <c r="AA260" s="5" t="n"/>
    </row>
    <row r="261" ht="15.75" customHeight="1">
      <c r="A261" s="5" t="n"/>
      <c r="B261" s="6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8" t="n"/>
      <c r="L261" s="8" t="n"/>
      <c r="M261" s="5" t="n"/>
      <c r="N261" s="16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  <c r="Z261" s="5" t="n"/>
      <c r="AA261" s="5" t="n"/>
    </row>
    <row r="262" ht="15.75" customHeight="1">
      <c r="A262" s="5" t="n"/>
      <c r="B262" s="6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8" t="n"/>
      <c r="L262" s="8" t="n"/>
      <c r="M262" s="5" t="n"/>
      <c r="N262" s="16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  <c r="Z262" s="5" t="n"/>
      <c r="AA262" s="5" t="n"/>
    </row>
    <row r="263" ht="15.75" customHeight="1">
      <c r="A263" s="5" t="n"/>
      <c r="B263" s="6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8" t="n"/>
      <c r="L263" s="8" t="n"/>
      <c r="M263" s="5" t="n"/>
      <c r="N263" s="16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  <c r="Z263" s="5" t="n"/>
      <c r="AA263" s="5" t="n"/>
    </row>
    <row r="264" ht="15.75" customHeight="1">
      <c r="A264" s="5" t="n"/>
      <c r="B264" s="6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8" t="n"/>
      <c r="L264" s="8" t="n"/>
      <c r="M264" s="5" t="n"/>
      <c r="N264" s="16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  <c r="Z264" s="5" t="n"/>
      <c r="AA264" s="5" t="n"/>
    </row>
    <row r="265" ht="15.75" customHeight="1">
      <c r="A265" s="5" t="n"/>
      <c r="B265" s="6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8" t="n"/>
      <c r="L265" s="8" t="n"/>
      <c r="M265" s="5" t="n"/>
      <c r="N265" s="16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  <c r="Z265" s="5" t="n"/>
      <c r="AA265" s="5" t="n"/>
    </row>
    <row r="266" ht="15.75" customHeight="1">
      <c r="A266" s="5" t="n"/>
      <c r="B266" s="6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8" t="n"/>
      <c r="L266" s="8" t="n"/>
      <c r="M266" s="5" t="n"/>
      <c r="N266" s="16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  <c r="Z266" s="5" t="n"/>
      <c r="AA266" s="5" t="n"/>
    </row>
    <row r="267" ht="15.75" customHeight="1">
      <c r="A267" s="5" t="n"/>
      <c r="B267" s="6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8" t="n"/>
      <c r="L267" s="8" t="n"/>
      <c r="M267" s="5" t="n"/>
      <c r="N267" s="16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  <c r="Z267" s="5" t="n"/>
      <c r="AA267" s="5" t="n"/>
    </row>
    <row r="268" ht="15.75" customHeight="1">
      <c r="A268" s="5" t="n"/>
      <c r="B268" s="6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8" t="n"/>
      <c r="L268" s="8" t="n"/>
      <c r="M268" s="5" t="n"/>
      <c r="N268" s="16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  <c r="Z268" s="5" t="n"/>
      <c r="AA268" s="5" t="n"/>
    </row>
    <row r="269" ht="15.75" customHeight="1">
      <c r="A269" s="5" t="n"/>
      <c r="B269" s="6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8" t="n"/>
      <c r="L269" s="8" t="n"/>
      <c r="M269" s="5" t="n"/>
      <c r="N269" s="16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  <c r="Z269" s="5" t="n"/>
      <c r="AA269" s="5" t="n"/>
    </row>
    <row r="270" ht="15.75" customHeight="1">
      <c r="A270" s="5" t="n"/>
      <c r="B270" s="6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8" t="n"/>
      <c r="L270" s="8" t="n"/>
      <c r="M270" s="5" t="n"/>
      <c r="N270" s="16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  <c r="Z270" s="5" t="n"/>
      <c r="AA270" s="5" t="n"/>
    </row>
    <row r="271" ht="15.75" customHeight="1">
      <c r="A271" s="5" t="n"/>
      <c r="B271" s="6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8" t="n"/>
      <c r="L271" s="8" t="n"/>
      <c r="M271" s="5" t="n"/>
      <c r="N271" s="16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  <c r="Z271" s="5" t="n"/>
      <c r="AA271" s="5" t="n"/>
    </row>
    <row r="272" ht="15.75" customHeight="1">
      <c r="A272" s="5" t="n"/>
      <c r="B272" s="6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8" t="n"/>
      <c r="L272" s="8" t="n"/>
      <c r="M272" s="5" t="n"/>
      <c r="N272" s="16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  <c r="Z272" s="5" t="n"/>
      <c r="AA272" s="5" t="n"/>
    </row>
    <row r="273" ht="15.75" customHeight="1">
      <c r="A273" s="5" t="n"/>
      <c r="B273" s="6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8" t="n"/>
      <c r="L273" s="8" t="n"/>
      <c r="M273" s="5" t="n"/>
      <c r="N273" s="16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  <c r="Z273" s="5" t="n"/>
      <c r="AA273" s="5" t="n"/>
    </row>
    <row r="274" ht="15.75" customHeight="1">
      <c r="A274" s="5" t="n"/>
      <c r="B274" s="6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8" t="n"/>
      <c r="L274" s="8" t="n"/>
      <c r="M274" s="5" t="n"/>
      <c r="N274" s="16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/>
      <c r="Z274" s="5" t="n"/>
      <c r="AA274" s="5" t="n"/>
    </row>
    <row r="275" ht="15.75" customHeight="1">
      <c r="A275" s="5" t="n"/>
      <c r="B275" s="6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8" t="n"/>
      <c r="L275" s="8" t="n"/>
      <c r="M275" s="5" t="n"/>
      <c r="N275" s="16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  <c r="Z275" s="5" t="n"/>
      <c r="AA275" s="5" t="n"/>
    </row>
    <row r="276" ht="15.75" customHeight="1">
      <c r="A276" s="5" t="n"/>
      <c r="B276" s="6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8" t="n"/>
      <c r="L276" s="8" t="n"/>
      <c r="M276" s="5" t="n"/>
      <c r="N276" s="16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  <c r="Z276" s="5" t="n"/>
      <c r="AA276" s="5" t="n"/>
    </row>
    <row r="277" ht="15.75" customHeight="1">
      <c r="A277" s="5" t="n"/>
      <c r="B277" s="6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8" t="n"/>
      <c r="L277" s="8" t="n"/>
      <c r="M277" s="5" t="n"/>
      <c r="N277" s="16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  <c r="Z277" s="5" t="n"/>
      <c r="AA277" s="5" t="n"/>
    </row>
    <row r="278" ht="15.75" customHeight="1">
      <c r="A278" s="5" t="n"/>
      <c r="B278" s="6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8" t="n"/>
      <c r="L278" s="8" t="n"/>
      <c r="M278" s="5" t="n"/>
      <c r="N278" s="16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  <c r="Z278" s="5" t="n"/>
      <c r="AA278" s="5" t="n"/>
    </row>
    <row r="279" ht="15.75" customHeight="1">
      <c r="A279" s="5" t="n"/>
      <c r="B279" s="6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8" t="n"/>
      <c r="L279" s="8" t="n"/>
      <c r="M279" s="5" t="n"/>
      <c r="N279" s="16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  <c r="Z279" s="5" t="n"/>
      <c r="AA279" s="5" t="n"/>
    </row>
    <row r="280" ht="15.75" customHeight="1">
      <c r="A280" s="5" t="n"/>
      <c r="B280" s="6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8" t="n"/>
      <c r="L280" s="8" t="n"/>
      <c r="M280" s="5" t="n"/>
      <c r="N280" s="16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  <c r="Z280" s="5" t="n"/>
      <c r="AA280" s="5" t="n"/>
    </row>
    <row r="281" ht="15.75" customHeight="1">
      <c r="A281" s="5" t="n"/>
      <c r="B281" s="6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8" t="n"/>
      <c r="L281" s="8" t="n"/>
      <c r="M281" s="5" t="n"/>
      <c r="N281" s="16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  <c r="Z281" s="5" t="n"/>
      <c r="AA281" s="5" t="n"/>
    </row>
    <row r="282" ht="15.75" customHeight="1">
      <c r="A282" s="5" t="n"/>
      <c r="B282" s="6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8" t="n"/>
      <c r="L282" s="8" t="n"/>
      <c r="M282" s="5" t="n"/>
      <c r="N282" s="16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  <c r="Z282" s="5" t="n"/>
      <c r="AA282" s="5" t="n"/>
    </row>
    <row r="283" ht="15.75" customHeight="1">
      <c r="A283" s="5" t="n"/>
      <c r="B283" s="6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8" t="n"/>
      <c r="L283" s="8" t="n"/>
      <c r="M283" s="5" t="n"/>
      <c r="N283" s="16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  <c r="Z283" s="5" t="n"/>
      <c r="AA283" s="5" t="n"/>
    </row>
    <row r="284" ht="15.75" customHeight="1">
      <c r="A284" s="5" t="n"/>
      <c r="B284" s="6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8" t="n"/>
      <c r="L284" s="8" t="n"/>
      <c r="M284" s="5" t="n"/>
      <c r="N284" s="16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  <c r="Z284" s="5" t="n"/>
      <c r="AA284" s="5" t="n"/>
    </row>
    <row r="285" ht="15.75" customHeight="1">
      <c r="A285" s="5" t="n"/>
      <c r="B285" s="6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8" t="n"/>
      <c r="L285" s="8" t="n"/>
      <c r="M285" s="5" t="n"/>
      <c r="N285" s="16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  <c r="Z285" s="5" t="n"/>
      <c r="AA285" s="5" t="n"/>
    </row>
    <row r="286" ht="15.75" customHeight="1">
      <c r="A286" s="5" t="n"/>
      <c r="B286" s="6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8" t="n"/>
      <c r="L286" s="8" t="n"/>
      <c r="M286" s="5" t="n"/>
      <c r="N286" s="16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  <c r="Z286" s="5" t="n"/>
      <c r="AA286" s="5" t="n"/>
    </row>
    <row r="287" ht="15.75" customHeight="1">
      <c r="A287" s="5" t="n"/>
      <c r="B287" s="6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8" t="n"/>
      <c r="L287" s="8" t="n"/>
      <c r="M287" s="5" t="n"/>
      <c r="N287" s="16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  <c r="Z287" s="5" t="n"/>
      <c r="AA287" s="5" t="n"/>
    </row>
    <row r="288" ht="15.75" customHeight="1">
      <c r="A288" s="5" t="n"/>
      <c r="B288" s="6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8" t="n"/>
      <c r="L288" s="8" t="n"/>
      <c r="M288" s="5" t="n"/>
      <c r="N288" s="16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  <c r="X288" s="5" t="n"/>
      <c r="Y288" s="5" t="n"/>
      <c r="Z288" s="5" t="n"/>
      <c r="AA288" s="5" t="n"/>
    </row>
    <row r="289" ht="15.75" customHeight="1">
      <c r="A289" s="5" t="n"/>
      <c r="B289" s="6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8" t="n"/>
      <c r="L289" s="8" t="n"/>
      <c r="M289" s="5" t="n"/>
      <c r="N289" s="16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  <c r="Z289" s="5" t="n"/>
      <c r="AA289" s="5" t="n"/>
    </row>
    <row r="290" ht="15.75" customHeight="1">
      <c r="A290" s="5" t="n"/>
      <c r="B290" s="6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8" t="n"/>
      <c r="L290" s="8" t="n"/>
      <c r="M290" s="5" t="n"/>
      <c r="N290" s="16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n"/>
      <c r="Z290" s="5" t="n"/>
      <c r="AA290" s="5" t="n"/>
    </row>
    <row r="291" ht="15.75" customHeight="1">
      <c r="A291" s="5" t="n"/>
      <c r="B291" s="6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8" t="n"/>
      <c r="L291" s="8" t="n"/>
      <c r="M291" s="5" t="n"/>
      <c r="N291" s="16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  <c r="X291" s="5" t="n"/>
      <c r="Y291" s="5" t="n"/>
      <c r="Z291" s="5" t="n"/>
      <c r="AA291" s="5" t="n"/>
    </row>
    <row r="292" ht="15.75" customHeight="1">
      <c r="A292" s="5" t="n"/>
      <c r="B292" s="6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8" t="n"/>
      <c r="L292" s="8" t="n"/>
      <c r="M292" s="5" t="n"/>
      <c r="N292" s="16" t="n"/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  <c r="X292" s="5" t="n"/>
      <c r="Y292" s="5" t="n"/>
      <c r="Z292" s="5" t="n"/>
      <c r="AA292" s="5" t="n"/>
    </row>
    <row r="293" ht="15.75" customHeight="1">
      <c r="A293" s="5" t="n"/>
      <c r="B293" s="6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8" t="n"/>
      <c r="L293" s="8" t="n"/>
      <c r="M293" s="5" t="n"/>
      <c r="N293" s="16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  <c r="Z293" s="5" t="n"/>
      <c r="AA293" s="5" t="n"/>
    </row>
    <row r="294" ht="15.75" customHeight="1">
      <c r="A294" s="5" t="n"/>
      <c r="B294" s="6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8" t="n"/>
      <c r="L294" s="8" t="n"/>
      <c r="M294" s="5" t="n"/>
      <c r="N294" s="16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  <c r="Z294" s="5" t="n"/>
      <c r="AA294" s="5" t="n"/>
    </row>
    <row r="295" ht="15.75" customHeight="1">
      <c r="A295" s="5" t="n"/>
      <c r="B295" s="6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8" t="n"/>
      <c r="L295" s="8" t="n"/>
      <c r="M295" s="5" t="n"/>
      <c r="N295" s="16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  <c r="Z295" s="5" t="n"/>
      <c r="AA295" s="5" t="n"/>
    </row>
    <row r="296" ht="15.75" customHeight="1">
      <c r="A296" s="5" t="n"/>
      <c r="B296" s="6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8" t="n"/>
      <c r="L296" s="8" t="n"/>
      <c r="M296" s="5" t="n"/>
      <c r="N296" s="16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  <c r="Z296" s="5" t="n"/>
      <c r="AA296" s="5" t="n"/>
    </row>
    <row r="297" ht="15.75" customHeight="1">
      <c r="A297" s="5" t="n"/>
      <c r="B297" s="6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8" t="n"/>
      <c r="L297" s="8" t="n"/>
      <c r="M297" s="5" t="n"/>
      <c r="N297" s="16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  <c r="Z297" s="5" t="n"/>
      <c r="AA297" s="5" t="n"/>
    </row>
    <row r="298" ht="15.75" customHeight="1">
      <c r="A298" s="5" t="n"/>
      <c r="B298" s="6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8" t="n"/>
      <c r="L298" s="8" t="n"/>
      <c r="M298" s="5" t="n"/>
      <c r="N298" s="16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  <c r="Z298" s="5" t="n"/>
      <c r="AA298" s="5" t="n"/>
    </row>
    <row r="299" ht="15.75" customHeight="1">
      <c r="A299" s="5" t="n"/>
      <c r="B299" s="6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8" t="n"/>
      <c r="L299" s="8" t="n"/>
      <c r="M299" s="5" t="n"/>
      <c r="N299" s="16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  <c r="Z299" s="5" t="n"/>
      <c r="AA299" s="5" t="n"/>
    </row>
    <row r="300" ht="15.75" customHeight="1">
      <c r="A300" s="5" t="n"/>
      <c r="B300" s="6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8" t="n"/>
      <c r="L300" s="8" t="n"/>
      <c r="M300" s="5" t="n"/>
      <c r="N300" s="16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  <c r="Z300" s="5" t="n"/>
      <c r="AA300" s="5" t="n"/>
    </row>
    <row r="301" ht="15.75" customHeight="1">
      <c r="A301" s="5" t="n"/>
      <c r="B301" s="6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8" t="n"/>
      <c r="L301" s="8" t="n"/>
      <c r="M301" s="5" t="n"/>
      <c r="N301" s="16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  <c r="Z301" s="5" t="n"/>
      <c r="AA301" s="5" t="n"/>
    </row>
    <row r="302" ht="15.75" customHeight="1">
      <c r="A302" s="5" t="n"/>
      <c r="B302" s="6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8" t="n"/>
      <c r="L302" s="8" t="n"/>
      <c r="M302" s="5" t="n"/>
      <c r="N302" s="16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  <c r="Z302" s="5" t="n"/>
      <c r="AA302" s="5" t="n"/>
    </row>
    <row r="303" ht="15.75" customHeight="1">
      <c r="A303" s="5" t="n"/>
      <c r="B303" s="6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8" t="n"/>
      <c r="L303" s="8" t="n"/>
      <c r="M303" s="5" t="n"/>
      <c r="N303" s="16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  <c r="Z303" s="5" t="n"/>
      <c r="AA303" s="5" t="n"/>
    </row>
    <row r="304" ht="15.75" customHeight="1">
      <c r="A304" s="5" t="n"/>
      <c r="B304" s="6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8" t="n"/>
      <c r="L304" s="8" t="n"/>
      <c r="M304" s="5" t="n"/>
      <c r="N304" s="16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  <c r="X304" s="5" t="n"/>
      <c r="Y304" s="5" t="n"/>
      <c r="Z304" s="5" t="n"/>
      <c r="AA304" s="5" t="n"/>
    </row>
    <row r="305" ht="15.75" customHeight="1">
      <c r="A305" s="5" t="n"/>
      <c r="B305" s="6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8" t="n"/>
      <c r="L305" s="8" t="n"/>
      <c r="M305" s="5" t="n"/>
      <c r="N305" s="16" t="n"/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n"/>
      <c r="X305" s="5" t="n"/>
      <c r="Y305" s="5" t="n"/>
      <c r="Z305" s="5" t="n"/>
      <c r="AA305" s="5" t="n"/>
    </row>
    <row r="306" ht="15.75" customHeight="1">
      <c r="A306" s="5" t="n"/>
      <c r="B306" s="6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8" t="n"/>
      <c r="L306" s="8" t="n"/>
      <c r="M306" s="5" t="n"/>
      <c r="N306" s="16" t="n"/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n"/>
      <c r="X306" s="5" t="n"/>
      <c r="Y306" s="5" t="n"/>
      <c r="Z306" s="5" t="n"/>
      <c r="AA306" s="5" t="n"/>
    </row>
    <row r="307" ht="15.75" customHeight="1">
      <c r="A307" s="5" t="n"/>
      <c r="B307" s="6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8" t="n"/>
      <c r="L307" s="8" t="n"/>
      <c r="M307" s="5" t="n"/>
      <c r="N307" s="16" t="n"/>
      <c r="O307" s="5" t="n"/>
      <c r="P307" s="5" t="n"/>
      <c r="Q307" s="5" t="n"/>
      <c r="R307" s="5" t="n"/>
      <c r="S307" s="5" t="n"/>
      <c r="T307" s="5" t="n"/>
      <c r="U307" s="5" t="n"/>
      <c r="V307" s="5" t="n"/>
      <c r="W307" s="5" t="n"/>
      <c r="X307" s="5" t="n"/>
      <c r="Y307" s="5" t="n"/>
      <c r="Z307" s="5" t="n"/>
      <c r="AA307" s="5" t="n"/>
    </row>
    <row r="308" ht="15.75" customHeight="1">
      <c r="A308" s="5" t="n"/>
      <c r="B308" s="6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8" t="n"/>
      <c r="L308" s="8" t="n"/>
      <c r="M308" s="5" t="n"/>
      <c r="N308" s="16" t="n"/>
      <c r="O308" s="5" t="n"/>
      <c r="P308" s="5" t="n"/>
      <c r="Q308" s="5" t="n"/>
      <c r="R308" s="5" t="n"/>
      <c r="S308" s="5" t="n"/>
      <c r="T308" s="5" t="n"/>
      <c r="U308" s="5" t="n"/>
      <c r="V308" s="5" t="n"/>
      <c r="W308" s="5" t="n"/>
      <c r="X308" s="5" t="n"/>
      <c r="Y308" s="5" t="n"/>
      <c r="Z308" s="5" t="n"/>
      <c r="AA308" s="5" t="n"/>
    </row>
    <row r="309" ht="15.75" customHeight="1">
      <c r="A309" s="5" t="n"/>
      <c r="B309" s="6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8" t="n"/>
      <c r="L309" s="8" t="n"/>
      <c r="M309" s="5" t="n"/>
      <c r="N309" s="16" t="n"/>
      <c r="O309" s="5" t="n"/>
      <c r="P309" s="5" t="n"/>
      <c r="Q309" s="5" t="n"/>
      <c r="R309" s="5" t="n"/>
      <c r="S309" s="5" t="n"/>
      <c r="T309" s="5" t="n"/>
      <c r="U309" s="5" t="n"/>
      <c r="V309" s="5" t="n"/>
      <c r="W309" s="5" t="n"/>
      <c r="X309" s="5" t="n"/>
      <c r="Y309" s="5" t="n"/>
      <c r="Z309" s="5" t="n"/>
      <c r="AA309" s="5" t="n"/>
    </row>
    <row r="310" ht="15.75" customHeight="1">
      <c r="A310" s="5" t="n"/>
      <c r="B310" s="6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8" t="n"/>
      <c r="L310" s="8" t="n"/>
      <c r="M310" s="5" t="n"/>
      <c r="N310" s="16" t="n"/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n"/>
      <c r="X310" s="5" t="n"/>
      <c r="Y310" s="5" t="n"/>
      <c r="Z310" s="5" t="n"/>
      <c r="AA310" s="5" t="n"/>
    </row>
    <row r="311" ht="15.75" customHeight="1">
      <c r="A311" s="5" t="n"/>
      <c r="B311" s="6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8" t="n"/>
      <c r="L311" s="8" t="n"/>
      <c r="M311" s="5" t="n"/>
      <c r="N311" s="16" t="n"/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n"/>
      <c r="X311" s="5" t="n"/>
      <c r="Y311" s="5" t="n"/>
      <c r="Z311" s="5" t="n"/>
      <c r="AA311" s="5" t="n"/>
    </row>
    <row r="312" ht="15.75" customHeight="1">
      <c r="A312" s="5" t="n"/>
      <c r="B312" s="6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8" t="n"/>
      <c r="L312" s="8" t="n"/>
      <c r="M312" s="5" t="n"/>
      <c r="N312" s="16" t="n"/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  <c r="X312" s="5" t="n"/>
      <c r="Y312" s="5" t="n"/>
      <c r="Z312" s="5" t="n"/>
      <c r="AA312" s="5" t="n"/>
    </row>
    <row r="313" ht="15.75" customHeight="1">
      <c r="A313" s="5" t="n"/>
      <c r="B313" s="6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8" t="n"/>
      <c r="L313" s="8" t="n"/>
      <c r="M313" s="5" t="n"/>
      <c r="N313" s="16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5" t="n"/>
      <c r="Z313" s="5" t="n"/>
      <c r="AA313" s="5" t="n"/>
    </row>
    <row r="314" ht="15.75" customHeight="1">
      <c r="A314" s="5" t="n"/>
      <c r="B314" s="6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8" t="n"/>
      <c r="L314" s="8" t="n"/>
      <c r="M314" s="5" t="n"/>
      <c r="N314" s="16" t="n"/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n"/>
      <c r="X314" s="5" t="n"/>
      <c r="Y314" s="5" t="n"/>
      <c r="Z314" s="5" t="n"/>
      <c r="AA314" s="5" t="n"/>
    </row>
    <row r="315" ht="15.75" customHeight="1">
      <c r="A315" s="5" t="n"/>
      <c r="B315" s="6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8" t="n"/>
      <c r="L315" s="8" t="n"/>
      <c r="M315" s="5" t="n"/>
      <c r="N315" s="16" t="n"/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n"/>
      <c r="X315" s="5" t="n"/>
      <c r="Y315" s="5" t="n"/>
      <c r="Z315" s="5" t="n"/>
      <c r="AA315" s="5" t="n"/>
    </row>
    <row r="316" ht="15.75" customHeight="1">
      <c r="A316" s="5" t="n"/>
      <c r="B316" s="6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8" t="n"/>
      <c r="L316" s="8" t="n"/>
      <c r="M316" s="5" t="n"/>
      <c r="N316" s="16" t="n"/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n"/>
      <c r="X316" s="5" t="n"/>
      <c r="Y316" s="5" t="n"/>
      <c r="Z316" s="5" t="n"/>
      <c r="AA316" s="5" t="n"/>
    </row>
    <row r="317" ht="15.75" customHeight="1">
      <c r="A317" s="5" t="n"/>
      <c r="B317" s="6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8" t="n"/>
      <c r="L317" s="8" t="n"/>
      <c r="M317" s="5" t="n"/>
      <c r="N317" s="16" t="n"/>
      <c r="O317" s="5" t="n"/>
      <c r="P317" s="5" t="n"/>
      <c r="Q317" s="5" t="n"/>
      <c r="R317" s="5" t="n"/>
      <c r="S317" s="5" t="n"/>
      <c r="T317" s="5" t="n"/>
      <c r="U317" s="5" t="n"/>
      <c r="V317" s="5" t="n"/>
      <c r="W317" s="5" t="n"/>
      <c r="X317" s="5" t="n"/>
      <c r="Y317" s="5" t="n"/>
      <c r="Z317" s="5" t="n"/>
      <c r="AA317" s="5" t="n"/>
    </row>
    <row r="318" ht="15.75" customHeight="1">
      <c r="A318" s="5" t="n"/>
      <c r="B318" s="6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8" t="n"/>
      <c r="L318" s="8" t="n"/>
      <c r="M318" s="5" t="n"/>
      <c r="N318" s="16" t="n"/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n"/>
      <c r="Z318" s="5" t="n"/>
      <c r="AA318" s="5" t="n"/>
    </row>
    <row r="319" ht="15.75" customHeight="1">
      <c r="A319" s="5" t="n"/>
      <c r="B319" s="6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8" t="n"/>
      <c r="L319" s="8" t="n"/>
      <c r="M319" s="5" t="n"/>
      <c r="N319" s="16" t="n"/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n"/>
      <c r="X319" s="5" t="n"/>
      <c r="Y319" s="5" t="n"/>
      <c r="Z319" s="5" t="n"/>
      <c r="AA319" s="5" t="n"/>
    </row>
    <row r="320" ht="15.75" customHeight="1">
      <c r="A320" s="5" t="n"/>
      <c r="B320" s="6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8" t="n"/>
      <c r="L320" s="8" t="n"/>
      <c r="M320" s="5" t="n"/>
      <c r="N320" s="16" t="n"/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n"/>
      <c r="X320" s="5" t="n"/>
      <c r="Y320" s="5" t="n"/>
      <c r="Z320" s="5" t="n"/>
      <c r="AA320" s="5" t="n"/>
    </row>
    <row r="321" ht="15.75" customHeight="1">
      <c r="A321" s="5" t="n"/>
      <c r="B321" s="6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8" t="n"/>
      <c r="L321" s="8" t="n"/>
      <c r="M321" s="5" t="n"/>
      <c r="N321" s="16" t="n"/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n"/>
      <c r="X321" s="5" t="n"/>
      <c r="Y321" s="5" t="n"/>
      <c r="Z321" s="5" t="n"/>
      <c r="AA321" s="5" t="n"/>
    </row>
    <row r="322" ht="15.75" customHeight="1">
      <c r="A322" s="5" t="n"/>
      <c r="B322" s="6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8" t="n"/>
      <c r="L322" s="8" t="n"/>
      <c r="M322" s="5" t="n"/>
      <c r="N322" s="16" t="n"/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n"/>
      <c r="X322" s="5" t="n"/>
      <c r="Y322" s="5" t="n"/>
      <c r="Z322" s="5" t="n"/>
      <c r="AA322" s="5" t="n"/>
    </row>
    <row r="323" ht="15.75" customHeight="1">
      <c r="A323" s="5" t="n"/>
      <c r="B323" s="6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8" t="n"/>
      <c r="L323" s="8" t="n"/>
      <c r="M323" s="5" t="n"/>
      <c r="N323" s="16" t="n"/>
      <c r="O323" s="5" t="n"/>
      <c r="P323" s="5" t="n"/>
      <c r="Q323" s="5" t="n"/>
      <c r="R323" s="5" t="n"/>
      <c r="S323" s="5" t="n"/>
      <c r="T323" s="5" t="n"/>
      <c r="U323" s="5" t="n"/>
      <c r="V323" s="5" t="n"/>
      <c r="W323" s="5" t="n"/>
      <c r="X323" s="5" t="n"/>
      <c r="Y323" s="5" t="n"/>
      <c r="Z323" s="5" t="n"/>
      <c r="AA323" s="5" t="n"/>
    </row>
    <row r="324" ht="15.75" customHeight="1">
      <c r="A324" s="5" t="n"/>
      <c r="B324" s="6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8" t="n"/>
      <c r="L324" s="8" t="n"/>
      <c r="M324" s="5" t="n"/>
      <c r="N324" s="16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  <c r="Z324" s="5" t="n"/>
      <c r="AA324" s="5" t="n"/>
    </row>
    <row r="325" ht="15.75" customHeight="1">
      <c r="A325" s="5" t="n"/>
      <c r="B325" s="6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8" t="n"/>
      <c r="L325" s="8" t="n"/>
      <c r="M325" s="5" t="n"/>
      <c r="N325" s="16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  <c r="Z325" s="5" t="n"/>
      <c r="AA325" s="5" t="n"/>
    </row>
    <row r="326" ht="15.75" customHeight="1">
      <c r="A326" s="5" t="n"/>
      <c r="B326" s="6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8" t="n"/>
      <c r="L326" s="8" t="n"/>
      <c r="M326" s="5" t="n"/>
      <c r="N326" s="16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  <c r="Z326" s="5" t="n"/>
      <c r="AA326" s="5" t="n"/>
    </row>
    <row r="327" ht="15.75" customHeight="1">
      <c r="A327" s="5" t="n"/>
      <c r="B327" s="6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8" t="n"/>
      <c r="L327" s="8" t="n"/>
      <c r="M327" s="5" t="n"/>
      <c r="N327" s="16" t="n"/>
      <c r="O327" s="5" t="n"/>
      <c r="P327" s="5" t="n"/>
      <c r="Q327" s="5" t="n"/>
      <c r="R327" s="5" t="n"/>
      <c r="S327" s="5" t="n"/>
      <c r="T327" s="5" t="n"/>
      <c r="U327" s="5" t="n"/>
      <c r="V327" s="5" t="n"/>
      <c r="W327" s="5" t="n"/>
      <c r="X327" s="5" t="n"/>
      <c r="Y327" s="5" t="n"/>
      <c r="Z327" s="5" t="n"/>
      <c r="AA327" s="5" t="n"/>
    </row>
    <row r="328" ht="15.75" customHeight="1">
      <c r="A328" s="5" t="n"/>
      <c r="B328" s="6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8" t="n"/>
      <c r="L328" s="8" t="n"/>
      <c r="M328" s="5" t="n"/>
      <c r="N328" s="16" t="n"/>
      <c r="O328" s="5" t="n"/>
      <c r="P328" s="5" t="n"/>
      <c r="Q328" s="5" t="n"/>
      <c r="R328" s="5" t="n"/>
      <c r="S328" s="5" t="n"/>
      <c r="T328" s="5" t="n"/>
      <c r="U328" s="5" t="n"/>
      <c r="V328" s="5" t="n"/>
      <c r="W328" s="5" t="n"/>
      <c r="X328" s="5" t="n"/>
      <c r="Y328" s="5" t="n"/>
      <c r="Z328" s="5" t="n"/>
      <c r="AA328" s="5" t="n"/>
    </row>
    <row r="329" ht="15.75" customHeight="1">
      <c r="A329" s="5" t="n"/>
      <c r="B329" s="6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8" t="n"/>
      <c r="L329" s="8" t="n"/>
      <c r="M329" s="5" t="n"/>
      <c r="N329" s="16" t="n"/>
      <c r="O329" s="5" t="n"/>
      <c r="P329" s="5" t="n"/>
      <c r="Q329" s="5" t="n"/>
      <c r="R329" s="5" t="n"/>
      <c r="S329" s="5" t="n"/>
      <c r="T329" s="5" t="n"/>
      <c r="U329" s="5" t="n"/>
      <c r="V329" s="5" t="n"/>
      <c r="W329" s="5" t="n"/>
      <c r="X329" s="5" t="n"/>
      <c r="Y329" s="5" t="n"/>
      <c r="Z329" s="5" t="n"/>
      <c r="AA329" s="5" t="n"/>
    </row>
    <row r="330" ht="15.75" customHeight="1">
      <c r="A330" s="5" t="n"/>
      <c r="B330" s="6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8" t="n"/>
      <c r="L330" s="8" t="n"/>
      <c r="M330" s="5" t="n"/>
      <c r="N330" s="16" t="n"/>
      <c r="O330" s="5" t="n"/>
      <c r="P330" s="5" t="n"/>
      <c r="Q330" s="5" t="n"/>
      <c r="R330" s="5" t="n"/>
      <c r="S330" s="5" t="n"/>
      <c r="T330" s="5" t="n"/>
      <c r="U330" s="5" t="n"/>
      <c r="V330" s="5" t="n"/>
      <c r="W330" s="5" t="n"/>
      <c r="X330" s="5" t="n"/>
      <c r="Y330" s="5" t="n"/>
      <c r="Z330" s="5" t="n"/>
      <c r="AA330" s="5" t="n"/>
    </row>
    <row r="331" ht="15.75" customHeight="1">
      <c r="A331" s="5" t="n"/>
      <c r="B331" s="6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8" t="n"/>
      <c r="L331" s="8" t="n"/>
      <c r="M331" s="5" t="n"/>
      <c r="N331" s="16" t="n"/>
      <c r="O331" s="5" t="n"/>
      <c r="P331" s="5" t="n"/>
      <c r="Q331" s="5" t="n"/>
      <c r="R331" s="5" t="n"/>
      <c r="S331" s="5" t="n"/>
      <c r="T331" s="5" t="n"/>
      <c r="U331" s="5" t="n"/>
      <c r="V331" s="5" t="n"/>
      <c r="W331" s="5" t="n"/>
      <c r="X331" s="5" t="n"/>
      <c r="Y331" s="5" t="n"/>
      <c r="Z331" s="5" t="n"/>
      <c r="AA331" s="5" t="n"/>
    </row>
    <row r="332" ht="15.75" customHeight="1">
      <c r="A332" s="5" t="n"/>
      <c r="B332" s="6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8" t="n"/>
      <c r="L332" s="8" t="n"/>
      <c r="M332" s="5" t="n"/>
      <c r="N332" s="16" t="n"/>
      <c r="O332" s="5" t="n"/>
      <c r="P332" s="5" t="n"/>
      <c r="Q332" s="5" t="n"/>
      <c r="R332" s="5" t="n"/>
      <c r="S332" s="5" t="n"/>
      <c r="T332" s="5" t="n"/>
      <c r="U332" s="5" t="n"/>
      <c r="V332" s="5" t="n"/>
      <c r="W332" s="5" t="n"/>
      <c r="X332" s="5" t="n"/>
      <c r="Y332" s="5" t="n"/>
      <c r="Z332" s="5" t="n"/>
      <c r="AA332" s="5" t="n"/>
    </row>
    <row r="333" ht="15.75" customHeight="1">
      <c r="A333" s="5" t="n"/>
      <c r="B333" s="6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8" t="n"/>
      <c r="L333" s="8" t="n"/>
      <c r="M333" s="5" t="n"/>
      <c r="N333" s="16" t="n"/>
      <c r="O333" s="5" t="n"/>
      <c r="P333" s="5" t="n"/>
      <c r="Q333" s="5" t="n"/>
      <c r="R333" s="5" t="n"/>
      <c r="S333" s="5" t="n"/>
      <c r="T333" s="5" t="n"/>
      <c r="U333" s="5" t="n"/>
      <c r="V333" s="5" t="n"/>
      <c r="W333" s="5" t="n"/>
      <c r="X333" s="5" t="n"/>
      <c r="Y333" s="5" t="n"/>
      <c r="Z333" s="5" t="n"/>
      <c r="AA333" s="5" t="n"/>
    </row>
    <row r="334" ht="15.75" customHeight="1">
      <c r="A334" s="5" t="n"/>
      <c r="B334" s="6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8" t="n"/>
      <c r="L334" s="8" t="n"/>
      <c r="M334" s="5" t="n"/>
      <c r="N334" s="16" t="n"/>
      <c r="O334" s="5" t="n"/>
      <c r="P334" s="5" t="n"/>
      <c r="Q334" s="5" t="n"/>
      <c r="R334" s="5" t="n"/>
      <c r="S334" s="5" t="n"/>
      <c r="T334" s="5" t="n"/>
      <c r="U334" s="5" t="n"/>
      <c r="V334" s="5" t="n"/>
      <c r="W334" s="5" t="n"/>
      <c r="X334" s="5" t="n"/>
      <c r="Y334" s="5" t="n"/>
      <c r="Z334" s="5" t="n"/>
      <c r="AA334" s="5" t="n"/>
    </row>
    <row r="335" ht="15.75" customHeight="1">
      <c r="A335" s="5" t="n"/>
      <c r="B335" s="6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8" t="n"/>
      <c r="L335" s="8" t="n"/>
      <c r="M335" s="5" t="n"/>
      <c r="N335" s="16" t="n"/>
      <c r="O335" s="5" t="n"/>
      <c r="P335" s="5" t="n"/>
      <c r="Q335" s="5" t="n"/>
      <c r="R335" s="5" t="n"/>
      <c r="S335" s="5" t="n"/>
      <c r="T335" s="5" t="n"/>
      <c r="U335" s="5" t="n"/>
      <c r="V335" s="5" t="n"/>
      <c r="W335" s="5" t="n"/>
      <c r="X335" s="5" t="n"/>
      <c r="Y335" s="5" t="n"/>
      <c r="Z335" s="5" t="n"/>
      <c r="AA335" s="5" t="n"/>
    </row>
    <row r="336" ht="15.75" customHeight="1">
      <c r="A336" s="5" t="n"/>
      <c r="B336" s="6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8" t="n"/>
      <c r="L336" s="8" t="n"/>
      <c r="M336" s="5" t="n"/>
      <c r="N336" s="16" t="n"/>
      <c r="O336" s="5" t="n"/>
      <c r="P336" s="5" t="n"/>
      <c r="Q336" s="5" t="n"/>
      <c r="R336" s="5" t="n"/>
      <c r="S336" s="5" t="n"/>
      <c r="T336" s="5" t="n"/>
      <c r="U336" s="5" t="n"/>
      <c r="V336" s="5" t="n"/>
      <c r="W336" s="5" t="n"/>
      <c r="X336" s="5" t="n"/>
      <c r="Y336" s="5" t="n"/>
      <c r="Z336" s="5" t="n"/>
      <c r="AA336" s="5" t="n"/>
    </row>
    <row r="337" ht="15.75" customHeight="1">
      <c r="A337" s="5" t="n"/>
      <c r="B337" s="6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8" t="n"/>
      <c r="L337" s="8" t="n"/>
      <c r="M337" s="5" t="n"/>
      <c r="N337" s="16" t="n"/>
      <c r="O337" s="5" t="n"/>
      <c r="P337" s="5" t="n"/>
      <c r="Q337" s="5" t="n"/>
      <c r="R337" s="5" t="n"/>
      <c r="S337" s="5" t="n"/>
      <c r="T337" s="5" t="n"/>
      <c r="U337" s="5" t="n"/>
      <c r="V337" s="5" t="n"/>
      <c r="W337" s="5" t="n"/>
      <c r="X337" s="5" t="n"/>
      <c r="Y337" s="5" t="n"/>
      <c r="Z337" s="5" t="n"/>
      <c r="AA337" s="5" t="n"/>
    </row>
    <row r="338" ht="15.75" customHeight="1">
      <c r="A338" s="5" t="n"/>
      <c r="B338" s="6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8" t="n"/>
      <c r="L338" s="8" t="n"/>
      <c r="M338" s="5" t="n"/>
      <c r="N338" s="16" t="n"/>
      <c r="O338" s="5" t="n"/>
      <c r="P338" s="5" t="n"/>
      <c r="Q338" s="5" t="n"/>
      <c r="R338" s="5" t="n"/>
      <c r="S338" s="5" t="n"/>
      <c r="T338" s="5" t="n"/>
      <c r="U338" s="5" t="n"/>
      <c r="V338" s="5" t="n"/>
      <c r="W338" s="5" t="n"/>
      <c r="X338" s="5" t="n"/>
      <c r="Y338" s="5" t="n"/>
      <c r="Z338" s="5" t="n"/>
      <c r="AA338" s="5" t="n"/>
    </row>
    <row r="339" ht="15.75" customHeight="1">
      <c r="A339" s="5" t="n"/>
      <c r="B339" s="6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8" t="n"/>
      <c r="L339" s="8" t="n"/>
      <c r="M339" s="5" t="n"/>
      <c r="N339" s="16" t="n"/>
      <c r="O339" s="5" t="n"/>
      <c r="P339" s="5" t="n"/>
      <c r="Q339" s="5" t="n"/>
      <c r="R339" s="5" t="n"/>
      <c r="S339" s="5" t="n"/>
      <c r="T339" s="5" t="n"/>
      <c r="U339" s="5" t="n"/>
      <c r="V339" s="5" t="n"/>
      <c r="W339" s="5" t="n"/>
      <c r="X339" s="5" t="n"/>
      <c r="Y339" s="5" t="n"/>
      <c r="Z339" s="5" t="n"/>
      <c r="AA339" s="5" t="n"/>
    </row>
    <row r="340" ht="15.75" customHeight="1">
      <c r="A340" s="5" t="n"/>
      <c r="B340" s="6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8" t="n"/>
      <c r="L340" s="8" t="n"/>
      <c r="M340" s="5" t="n"/>
      <c r="N340" s="16" t="n"/>
      <c r="O340" s="5" t="n"/>
      <c r="P340" s="5" t="n"/>
      <c r="Q340" s="5" t="n"/>
      <c r="R340" s="5" t="n"/>
      <c r="S340" s="5" t="n"/>
      <c r="T340" s="5" t="n"/>
      <c r="U340" s="5" t="n"/>
      <c r="V340" s="5" t="n"/>
      <c r="W340" s="5" t="n"/>
      <c r="X340" s="5" t="n"/>
      <c r="Y340" s="5" t="n"/>
      <c r="Z340" s="5" t="n"/>
      <c r="AA340" s="5" t="n"/>
    </row>
    <row r="341" ht="15.75" customHeight="1">
      <c r="A341" s="5" t="n"/>
      <c r="B341" s="6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8" t="n"/>
      <c r="L341" s="8" t="n"/>
      <c r="M341" s="5" t="n"/>
      <c r="N341" s="16" t="n"/>
      <c r="O341" s="5" t="n"/>
      <c r="P341" s="5" t="n"/>
      <c r="Q341" s="5" t="n"/>
      <c r="R341" s="5" t="n"/>
      <c r="S341" s="5" t="n"/>
      <c r="T341" s="5" t="n"/>
      <c r="U341" s="5" t="n"/>
      <c r="V341" s="5" t="n"/>
      <c r="W341" s="5" t="n"/>
      <c r="X341" s="5" t="n"/>
      <c r="Y341" s="5" t="n"/>
      <c r="Z341" s="5" t="n"/>
      <c r="AA341" s="5" t="n"/>
    </row>
    <row r="342" ht="15.75" customHeight="1">
      <c r="A342" s="5" t="n"/>
      <c r="B342" s="6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8" t="n"/>
      <c r="L342" s="8" t="n"/>
      <c r="M342" s="5" t="n"/>
      <c r="N342" s="16" t="n"/>
      <c r="O342" s="5" t="n"/>
      <c r="P342" s="5" t="n"/>
      <c r="Q342" s="5" t="n"/>
      <c r="R342" s="5" t="n"/>
      <c r="S342" s="5" t="n"/>
      <c r="T342" s="5" t="n"/>
      <c r="U342" s="5" t="n"/>
      <c r="V342" s="5" t="n"/>
      <c r="W342" s="5" t="n"/>
      <c r="X342" s="5" t="n"/>
      <c r="Y342" s="5" t="n"/>
      <c r="Z342" s="5" t="n"/>
      <c r="AA342" s="5" t="n"/>
    </row>
    <row r="343" ht="15.75" customHeight="1">
      <c r="A343" s="5" t="n"/>
      <c r="B343" s="6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8" t="n"/>
      <c r="L343" s="8" t="n"/>
      <c r="M343" s="5" t="n"/>
      <c r="N343" s="16" t="n"/>
      <c r="O343" s="5" t="n"/>
      <c r="P343" s="5" t="n"/>
      <c r="Q343" s="5" t="n"/>
      <c r="R343" s="5" t="n"/>
      <c r="S343" s="5" t="n"/>
      <c r="T343" s="5" t="n"/>
      <c r="U343" s="5" t="n"/>
      <c r="V343" s="5" t="n"/>
      <c r="W343" s="5" t="n"/>
      <c r="X343" s="5" t="n"/>
      <c r="Y343" s="5" t="n"/>
      <c r="Z343" s="5" t="n"/>
      <c r="AA343" s="5" t="n"/>
    </row>
    <row r="344" ht="15.75" customHeight="1">
      <c r="A344" s="5" t="n"/>
      <c r="B344" s="6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8" t="n"/>
      <c r="L344" s="8" t="n"/>
      <c r="M344" s="5" t="n"/>
      <c r="N344" s="16" t="n"/>
      <c r="O344" s="5" t="n"/>
      <c r="P344" s="5" t="n"/>
      <c r="Q344" s="5" t="n"/>
      <c r="R344" s="5" t="n"/>
      <c r="S344" s="5" t="n"/>
      <c r="T344" s="5" t="n"/>
      <c r="U344" s="5" t="n"/>
      <c r="V344" s="5" t="n"/>
      <c r="W344" s="5" t="n"/>
      <c r="X344" s="5" t="n"/>
      <c r="Y344" s="5" t="n"/>
      <c r="Z344" s="5" t="n"/>
      <c r="AA344" s="5" t="n"/>
    </row>
    <row r="345" ht="15.75" customHeight="1">
      <c r="A345" s="5" t="n"/>
      <c r="B345" s="6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8" t="n"/>
      <c r="L345" s="8" t="n"/>
      <c r="M345" s="5" t="n"/>
      <c r="N345" s="16" t="n"/>
      <c r="O345" s="5" t="n"/>
      <c r="P345" s="5" t="n"/>
      <c r="Q345" s="5" t="n"/>
      <c r="R345" s="5" t="n"/>
      <c r="S345" s="5" t="n"/>
      <c r="T345" s="5" t="n"/>
      <c r="U345" s="5" t="n"/>
      <c r="V345" s="5" t="n"/>
      <c r="W345" s="5" t="n"/>
      <c r="X345" s="5" t="n"/>
      <c r="Y345" s="5" t="n"/>
      <c r="Z345" s="5" t="n"/>
      <c r="AA345" s="5" t="n"/>
    </row>
    <row r="346" ht="15.75" customHeight="1">
      <c r="A346" s="5" t="n"/>
      <c r="B346" s="6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8" t="n"/>
      <c r="L346" s="8" t="n"/>
      <c r="M346" s="5" t="n"/>
      <c r="N346" s="16" t="n"/>
      <c r="O346" s="5" t="n"/>
      <c r="P346" s="5" t="n"/>
      <c r="Q346" s="5" t="n"/>
      <c r="R346" s="5" t="n"/>
      <c r="S346" s="5" t="n"/>
      <c r="T346" s="5" t="n"/>
      <c r="U346" s="5" t="n"/>
      <c r="V346" s="5" t="n"/>
      <c r="W346" s="5" t="n"/>
      <c r="X346" s="5" t="n"/>
      <c r="Y346" s="5" t="n"/>
      <c r="Z346" s="5" t="n"/>
      <c r="AA346" s="5" t="n"/>
    </row>
    <row r="347" ht="15.75" customHeight="1">
      <c r="A347" s="5" t="n"/>
      <c r="B347" s="6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8" t="n"/>
      <c r="L347" s="8" t="n"/>
      <c r="M347" s="5" t="n"/>
      <c r="N347" s="16" t="n"/>
      <c r="O347" s="5" t="n"/>
      <c r="P347" s="5" t="n"/>
      <c r="Q347" s="5" t="n"/>
      <c r="R347" s="5" t="n"/>
      <c r="S347" s="5" t="n"/>
      <c r="T347" s="5" t="n"/>
      <c r="U347" s="5" t="n"/>
      <c r="V347" s="5" t="n"/>
      <c r="W347" s="5" t="n"/>
      <c r="X347" s="5" t="n"/>
      <c r="Y347" s="5" t="n"/>
      <c r="Z347" s="5" t="n"/>
      <c r="AA347" s="5" t="n"/>
    </row>
    <row r="348" ht="15.75" customHeight="1">
      <c r="A348" s="5" t="n"/>
      <c r="B348" s="6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8" t="n"/>
      <c r="L348" s="8" t="n"/>
      <c r="M348" s="5" t="n"/>
      <c r="N348" s="16" t="n"/>
      <c r="O348" s="5" t="n"/>
      <c r="P348" s="5" t="n"/>
      <c r="Q348" s="5" t="n"/>
      <c r="R348" s="5" t="n"/>
      <c r="S348" s="5" t="n"/>
      <c r="T348" s="5" t="n"/>
      <c r="U348" s="5" t="n"/>
      <c r="V348" s="5" t="n"/>
      <c r="W348" s="5" t="n"/>
      <c r="X348" s="5" t="n"/>
      <c r="Y348" s="5" t="n"/>
      <c r="Z348" s="5" t="n"/>
      <c r="AA348" s="5" t="n"/>
    </row>
    <row r="349" ht="15.75" customHeight="1">
      <c r="A349" s="5" t="n"/>
      <c r="B349" s="6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8" t="n"/>
      <c r="L349" s="8" t="n"/>
      <c r="M349" s="5" t="n"/>
      <c r="N349" s="16" t="n"/>
      <c r="O349" s="5" t="n"/>
      <c r="P349" s="5" t="n"/>
      <c r="Q349" s="5" t="n"/>
      <c r="R349" s="5" t="n"/>
      <c r="S349" s="5" t="n"/>
      <c r="T349" s="5" t="n"/>
      <c r="U349" s="5" t="n"/>
      <c r="V349" s="5" t="n"/>
      <c r="W349" s="5" t="n"/>
      <c r="X349" s="5" t="n"/>
      <c r="Y349" s="5" t="n"/>
      <c r="Z349" s="5" t="n"/>
      <c r="AA349" s="5" t="n"/>
    </row>
    <row r="350" ht="15.75" customHeight="1">
      <c r="A350" s="5" t="n"/>
      <c r="B350" s="6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8" t="n"/>
      <c r="L350" s="8" t="n"/>
      <c r="M350" s="5" t="n"/>
      <c r="N350" s="16" t="n"/>
      <c r="O350" s="5" t="n"/>
      <c r="P350" s="5" t="n"/>
      <c r="Q350" s="5" t="n"/>
      <c r="R350" s="5" t="n"/>
      <c r="S350" s="5" t="n"/>
      <c r="T350" s="5" t="n"/>
      <c r="U350" s="5" t="n"/>
      <c r="V350" s="5" t="n"/>
      <c r="W350" s="5" t="n"/>
      <c r="X350" s="5" t="n"/>
      <c r="Y350" s="5" t="n"/>
      <c r="Z350" s="5" t="n"/>
      <c r="AA350" s="5" t="n"/>
    </row>
    <row r="351" ht="15.75" customHeight="1">
      <c r="A351" s="5" t="n"/>
      <c r="B351" s="6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8" t="n"/>
      <c r="L351" s="8" t="n"/>
      <c r="M351" s="5" t="n"/>
      <c r="N351" s="16" t="n"/>
      <c r="O351" s="5" t="n"/>
      <c r="P351" s="5" t="n"/>
      <c r="Q351" s="5" t="n"/>
      <c r="R351" s="5" t="n"/>
      <c r="S351" s="5" t="n"/>
      <c r="T351" s="5" t="n"/>
      <c r="U351" s="5" t="n"/>
      <c r="V351" s="5" t="n"/>
      <c r="W351" s="5" t="n"/>
      <c r="X351" s="5" t="n"/>
      <c r="Y351" s="5" t="n"/>
      <c r="Z351" s="5" t="n"/>
      <c r="AA351" s="5" t="n"/>
    </row>
    <row r="352" ht="15.75" customHeight="1">
      <c r="A352" s="5" t="n"/>
      <c r="B352" s="6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8" t="n"/>
      <c r="L352" s="8" t="n"/>
      <c r="M352" s="5" t="n"/>
      <c r="N352" s="16" t="n"/>
      <c r="O352" s="5" t="n"/>
      <c r="P352" s="5" t="n"/>
      <c r="Q352" s="5" t="n"/>
      <c r="R352" s="5" t="n"/>
      <c r="S352" s="5" t="n"/>
      <c r="T352" s="5" t="n"/>
      <c r="U352" s="5" t="n"/>
      <c r="V352" s="5" t="n"/>
      <c r="W352" s="5" t="n"/>
      <c r="X352" s="5" t="n"/>
      <c r="Y352" s="5" t="n"/>
      <c r="Z352" s="5" t="n"/>
      <c r="AA352" s="5" t="n"/>
    </row>
    <row r="353" ht="15.75" customHeight="1">
      <c r="A353" s="5" t="n"/>
      <c r="B353" s="6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8" t="n"/>
      <c r="L353" s="8" t="n"/>
      <c r="M353" s="5" t="n"/>
      <c r="N353" s="16" t="n"/>
      <c r="O353" s="5" t="n"/>
      <c r="P353" s="5" t="n"/>
      <c r="Q353" s="5" t="n"/>
      <c r="R353" s="5" t="n"/>
      <c r="S353" s="5" t="n"/>
      <c r="T353" s="5" t="n"/>
      <c r="U353" s="5" t="n"/>
      <c r="V353" s="5" t="n"/>
      <c r="W353" s="5" t="n"/>
      <c r="X353" s="5" t="n"/>
      <c r="Y353" s="5" t="n"/>
      <c r="Z353" s="5" t="n"/>
      <c r="AA353" s="5" t="n"/>
    </row>
    <row r="354" ht="15.75" customHeight="1">
      <c r="A354" s="5" t="n"/>
      <c r="B354" s="6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8" t="n"/>
      <c r="L354" s="8" t="n"/>
      <c r="M354" s="5" t="n"/>
      <c r="N354" s="16" t="n"/>
      <c r="O354" s="5" t="n"/>
      <c r="P354" s="5" t="n"/>
      <c r="Q354" s="5" t="n"/>
      <c r="R354" s="5" t="n"/>
      <c r="S354" s="5" t="n"/>
      <c r="T354" s="5" t="n"/>
      <c r="U354" s="5" t="n"/>
      <c r="V354" s="5" t="n"/>
      <c r="W354" s="5" t="n"/>
      <c r="X354" s="5" t="n"/>
      <c r="Y354" s="5" t="n"/>
      <c r="Z354" s="5" t="n"/>
      <c r="AA354" s="5" t="n"/>
    </row>
    <row r="355" ht="15.75" customHeight="1">
      <c r="A355" s="5" t="n"/>
      <c r="B355" s="6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8" t="n"/>
      <c r="L355" s="8" t="n"/>
      <c r="M355" s="5" t="n"/>
      <c r="N355" s="16" t="n"/>
      <c r="O355" s="5" t="n"/>
      <c r="P355" s="5" t="n"/>
      <c r="Q355" s="5" t="n"/>
      <c r="R355" s="5" t="n"/>
      <c r="S355" s="5" t="n"/>
      <c r="T355" s="5" t="n"/>
      <c r="U355" s="5" t="n"/>
      <c r="V355" s="5" t="n"/>
      <c r="W355" s="5" t="n"/>
      <c r="X355" s="5" t="n"/>
      <c r="Y355" s="5" t="n"/>
      <c r="Z355" s="5" t="n"/>
      <c r="AA355" s="5" t="n"/>
    </row>
    <row r="356" ht="15.75" customHeight="1">
      <c r="A356" s="5" t="n"/>
      <c r="B356" s="6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8" t="n"/>
      <c r="L356" s="8" t="n"/>
      <c r="M356" s="5" t="n"/>
      <c r="N356" s="16" t="n"/>
      <c r="O356" s="5" t="n"/>
      <c r="P356" s="5" t="n"/>
      <c r="Q356" s="5" t="n"/>
      <c r="R356" s="5" t="n"/>
      <c r="S356" s="5" t="n"/>
      <c r="T356" s="5" t="n"/>
      <c r="U356" s="5" t="n"/>
      <c r="V356" s="5" t="n"/>
      <c r="W356" s="5" t="n"/>
      <c r="X356" s="5" t="n"/>
      <c r="Y356" s="5" t="n"/>
      <c r="Z356" s="5" t="n"/>
      <c r="AA356" s="5" t="n"/>
    </row>
    <row r="357" ht="15.75" customHeight="1">
      <c r="A357" s="5" t="n"/>
      <c r="B357" s="6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8" t="n"/>
      <c r="L357" s="8" t="n"/>
      <c r="M357" s="5" t="n"/>
      <c r="N357" s="16" t="n"/>
      <c r="O357" s="5" t="n"/>
      <c r="P357" s="5" t="n"/>
      <c r="Q357" s="5" t="n"/>
      <c r="R357" s="5" t="n"/>
      <c r="S357" s="5" t="n"/>
      <c r="T357" s="5" t="n"/>
      <c r="U357" s="5" t="n"/>
      <c r="V357" s="5" t="n"/>
      <c r="W357" s="5" t="n"/>
      <c r="X357" s="5" t="n"/>
      <c r="Y357" s="5" t="n"/>
      <c r="Z357" s="5" t="n"/>
      <c r="AA357" s="5" t="n"/>
    </row>
    <row r="358" ht="15.75" customHeight="1">
      <c r="A358" s="5" t="n"/>
      <c r="B358" s="6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8" t="n"/>
      <c r="L358" s="8" t="n"/>
      <c r="M358" s="5" t="n"/>
      <c r="N358" s="16" t="n"/>
      <c r="O358" s="5" t="n"/>
      <c r="P358" s="5" t="n"/>
      <c r="Q358" s="5" t="n"/>
      <c r="R358" s="5" t="n"/>
      <c r="S358" s="5" t="n"/>
      <c r="T358" s="5" t="n"/>
      <c r="U358" s="5" t="n"/>
      <c r="V358" s="5" t="n"/>
      <c r="W358" s="5" t="n"/>
      <c r="X358" s="5" t="n"/>
      <c r="Y358" s="5" t="n"/>
      <c r="Z358" s="5" t="n"/>
      <c r="AA358" s="5" t="n"/>
    </row>
    <row r="359" ht="15.75" customHeight="1">
      <c r="A359" s="5" t="n"/>
      <c r="B359" s="6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8" t="n"/>
      <c r="L359" s="8" t="n"/>
      <c r="M359" s="5" t="n"/>
      <c r="N359" s="16" t="n"/>
      <c r="O359" s="5" t="n"/>
      <c r="P359" s="5" t="n"/>
      <c r="Q359" s="5" t="n"/>
      <c r="R359" s="5" t="n"/>
      <c r="S359" s="5" t="n"/>
      <c r="T359" s="5" t="n"/>
      <c r="U359" s="5" t="n"/>
      <c r="V359" s="5" t="n"/>
      <c r="W359" s="5" t="n"/>
      <c r="X359" s="5" t="n"/>
      <c r="Y359" s="5" t="n"/>
      <c r="Z359" s="5" t="n"/>
      <c r="AA359" s="5" t="n"/>
    </row>
    <row r="360" ht="15.75" customHeight="1">
      <c r="A360" s="5" t="n"/>
      <c r="B360" s="6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8" t="n"/>
      <c r="L360" s="8" t="n"/>
      <c r="M360" s="5" t="n"/>
      <c r="N360" s="16" t="n"/>
      <c r="O360" s="5" t="n"/>
      <c r="P360" s="5" t="n"/>
      <c r="Q360" s="5" t="n"/>
      <c r="R360" s="5" t="n"/>
      <c r="S360" s="5" t="n"/>
      <c r="T360" s="5" t="n"/>
      <c r="U360" s="5" t="n"/>
      <c r="V360" s="5" t="n"/>
      <c r="W360" s="5" t="n"/>
      <c r="X360" s="5" t="n"/>
      <c r="Y360" s="5" t="n"/>
      <c r="Z360" s="5" t="n"/>
      <c r="AA360" s="5" t="n"/>
    </row>
    <row r="361" ht="15.75" customHeight="1">
      <c r="A361" s="5" t="n"/>
      <c r="B361" s="6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8" t="n"/>
      <c r="L361" s="8" t="n"/>
      <c r="M361" s="5" t="n"/>
      <c r="N361" s="16" t="n"/>
      <c r="O361" s="5" t="n"/>
      <c r="P361" s="5" t="n"/>
      <c r="Q361" s="5" t="n"/>
      <c r="R361" s="5" t="n"/>
      <c r="S361" s="5" t="n"/>
      <c r="T361" s="5" t="n"/>
      <c r="U361" s="5" t="n"/>
      <c r="V361" s="5" t="n"/>
      <c r="W361" s="5" t="n"/>
      <c r="X361" s="5" t="n"/>
      <c r="Y361" s="5" t="n"/>
      <c r="Z361" s="5" t="n"/>
      <c r="AA361" s="5" t="n"/>
    </row>
    <row r="362" ht="15.75" customHeight="1">
      <c r="A362" s="5" t="n"/>
      <c r="B362" s="6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8" t="n"/>
      <c r="L362" s="8" t="n"/>
      <c r="M362" s="5" t="n"/>
      <c r="N362" s="16" t="n"/>
      <c r="O362" s="5" t="n"/>
      <c r="P362" s="5" t="n"/>
      <c r="Q362" s="5" t="n"/>
      <c r="R362" s="5" t="n"/>
      <c r="S362" s="5" t="n"/>
      <c r="T362" s="5" t="n"/>
      <c r="U362" s="5" t="n"/>
      <c r="V362" s="5" t="n"/>
      <c r="W362" s="5" t="n"/>
      <c r="X362" s="5" t="n"/>
      <c r="Y362" s="5" t="n"/>
      <c r="Z362" s="5" t="n"/>
      <c r="AA362" s="5" t="n"/>
    </row>
    <row r="363" ht="15.75" customHeight="1">
      <c r="A363" s="5" t="n"/>
      <c r="B363" s="6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8" t="n"/>
      <c r="L363" s="8" t="n"/>
      <c r="M363" s="5" t="n"/>
      <c r="N363" s="16" t="n"/>
      <c r="O363" s="5" t="n"/>
      <c r="P363" s="5" t="n"/>
      <c r="Q363" s="5" t="n"/>
      <c r="R363" s="5" t="n"/>
      <c r="S363" s="5" t="n"/>
      <c r="T363" s="5" t="n"/>
      <c r="U363" s="5" t="n"/>
      <c r="V363" s="5" t="n"/>
      <c r="W363" s="5" t="n"/>
      <c r="X363" s="5" t="n"/>
      <c r="Y363" s="5" t="n"/>
      <c r="Z363" s="5" t="n"/>
      <c r="AA363" s="5" t="n"/>
    </row>
    <row r="364" ht="15.75" customHeight="1">
      <c r="A364" s="5" t="n"/>
      <c r="B364" s="6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8" t="n"/>
      <c r="L364" s="8" t="n"/>
      <c r="M364" s="5" t="n"/>
      <c r="N364" s="16" t="n"/>
      <c r="O364" s="5" t="n"/>
      <c r="P364" s="5" t="n"/>
      <c r="Q364" s="5" t="n"/>
      <c r="R364" s="5" t="n"/>
      <c r="S364" s="5" t="n"/>
      <c r="T364" s="5" t="n"/>
      <c r="U364" s="5" t="n"/>
      <c r="V364" s="5" t="n"/>
      <c r="W364" s="5" t="n"/>
      <c r="X364" s="5" t="n"/>
      <c r="Y364" s="5" t="n"/>
      <c r="Z364" s="5" t="n"/>
      <c r="AA364" s="5" t="n"/>
    </row>
    <row r="365" ht="15.75" customHeight="1">
      <c r="A365" s="5" t="n"/>
      <c r="B365" s="6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8" t="n"/>
      <c r="L365" s="8" t="n"/>
      <c r="M365" s="5" t="n"/>
      <c r="N365" s="16" t="n"/>
      <c r="O365" s="5" t="n"/>
      <c r="P365" s="5" t="n"/>
      <c r="Q365" s="5" t="n"/>
      <c r="R365" s="5" t="n"/>
      <c r="S365" s="5" t="n"/>
      <c r="T365" s="5" t="n"/>
      <c r="U365" s="5" t="n"/>
      <c r="V365" s="5" t="n"/>
      <c r="W365" s="5" t="n"/>
      <c r="X365" s="5" t="n"/>
      <c r="Y365" s="5" t="n"/>
      <c r="Z365" s="5" t="n"/>
      <c r="AA365" s="5" t="n"/>
    </row>
    <row r="366" ht="15.75" customHeight="1">
      <c r="A366" s="5" t="n"/>
      <c r="B366" s="6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8" t="n"/>
      <c r="L366" s="8" t="n"/>
      <c r="M366" s="5" t="n"/>
      <c r="N366" s="16" t="n"/>
      <c r="O366" s="5" t="n"/>
      <c r="P366" s="5" t="n"/>
      <c r="Q366" s="5" t="n"/>
      <c r="R366" s="5" t="n"/>
      <c r="S366" s="5" t="n"/>
      <c r="T366" s="5" t="n"/>
      <c r="U366" s="5" t="n"/>
      <c r="V366" s="5" t="n"/>
      <c r="W366" s="5" t="n"/>
      <c r="X366" s="5" t="n"/>
      <c r="Y366" s="5" t="n"/>
      <c r="Z366" s="5" t="n"/>
      <c r="AA366" s="5" t="n"/>
    </row>
    <row r="367" ht="15.75" customHeight="1">
      <c r="A367" s="5" t="n"/>
      <c r="B367" s="6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8" t="n"/>
      <c r="L367" s="8" t="n"/>
      <c r="M367" s="5" t="n"/>
      <c r="N367" s="16" t="n"/>
      <c r="O367" s="5" t="n"/>
      <c r="P367" s="5" t="n"/>
      <c r="Q367" s="5" t="n"/>
      <c r="R367" s="5" t="n"/>
      <c r="S367" s="5" t="n"/>
      <c r="T367" s="5" t="n"/>
      <c r="U367" s="5" t="n"/>
      <c r="V367" s="5" t="n"/>
      <c r="W367" s="5" t="n"/>
      <c r="X367" s="5" t="n"/>
      <c r="Y367" s="5" t="n"/>
      <c r="Z367" s="5" t="n"/>
      <c r="AA367" s="5" t="n"/>
    </row>
    <row r="368" ht="15.75" customHeight="1">
      <c r="A368" s="5" t="n"/>
      <c r="B368" s="6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8" t="n"/>
      <c r="L368" s="8" t="n"/>
      <c r="M368" s="5" t="n"/>
      <c r="N368" s="16" t="n"/>
      <c r="O368" s="5" t="n"/>
      <c r="P368" s="5" t="n"/>
      <c r="Q368" s="5" t="n"/>
      <c r="R368" s="5" t="n"/>
      <c r="S368" s="5" t="n"/>
      <c r="T368" s="5" t="n"/>
      <c r="U368" s="5" t="n"/>
      <c r="V368" s="5" t="n"/>
      <c r="W368" s="5" t="n"/>
      <c r="X368" s="5" t="n"/>
      <c r="Y368" s="5" t="n"/>
      <c r="Z368" s="5" t="n"/>
      <c r="AA368" s="5" t="n"/>
    </row>
    <row r="369" ht="15.75" customHeight="1">
      <c r="A369" s="5" t="n"/>
      <c r="B369" s="6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8" t="n"/>
      <c r="L369" s="8" t="n"/>
      <c r="M369" s="5" t="n"/>
      <c r="N369" s="16" t="n"/>
      <c r="O369" s="5" t="n"/>
      <c r="P369" s="5" t="n"/>
      <c r="Q369" s="5" t="n"/>
      <c r="R369" s="5" t="n"/>
      <c r="S369" s="5" t="n"/>
      <c r="T369" s="5" t="n"/>
      <c r="U369" s="5" t="n"/>
      <c r="V369" s="5" t="n"/>
      <c r="W369" s="5" t="n"/>
      <c r="X369" s="5" t="n"/>
      <c r="Y369" s="5" t="n"/>
      <c r="Z369" s="5" t="n"/>
      <c r="AA369" s="5" t="n"/>
    </row>
    <row r="370" ht="15.75" customHeight="1">
      <c r="A370" s="5" t="n"/>
      <c r="B370" s="6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8" t="n"/>
      <c r="L370" s="8" t="n"/>
      <c r="M370" s="5" t="n"/>
      <c r="N370" s="16" t="n"/>
      <c r="O370" s="5" t="n"/>
      <c r="P370" s="5" t="n"/>
      <c r="Q370" s="5" t="n"/>
      <c r="R370" s="5" t="n"/>
      <c r="S370" s="5" t="n"/>
      <c r="T370" s="5" t="n"/>
      <c r="U370" s="5" t="n"/>
      <c r="V370" s="5" t="n"/>
      <c r="W370" s="5" t="n"/>
      <c r="X370" s="5" t="n"/>
      <c r="Y370" s="5" t="n"/>
      <c r="Z370" s="5" t="n"/>
      <c r="AA370" s="5" t="n"/>
    </row>
    <row r="371" ht="15.75" customHeight="1">
      <c r="A371" s="5" t="n"/>
      <c r="B371" s="6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8" t="n"/>
      <c r="L371" s="8" t="n"/>
      <c r="M371" s="5" t="n"/>
      <c r="N371" s="16" t="n"/>
      <c r="O371" s="5" t="n"/>
      <c r="P371" s="5" t="n"/>
      <c r="Q371" s="5" t="n"/>
      <c r="R371" s="5" t="n"/>
      <c r="S371" s="5" t="n"/>
      <c r="T371" s="5" t="n"/>
      <c r="U371" s="5" t="n"/>
      <c r="V371" s="5" t="n"/>
      <c r="W371" s="5" t="n"/>
      <c r="X371" s="5" t="n"/>
      <c r="Y371" s="5" t="n"/>
      <c r="Z371" s="5" t="n"/>
      <c r="AA371" s="5" t="n"/>
    </row>
    <row r="372" ht="15.75" customHeight="1">
      <c r="A372" s="5" t="n"/>
      <c r="B372" s="6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8" t="n"/>
      <c r="L372" s="8" t="n"/>
      <c r="M372" s="5" t="n"/>
      <c r="N372" s="16" t="n"/>
      <c r="O372" s="5" t="n"/>
      <c r="P372" s="5" t="n"/>
      <c r="Q372" s="5" t="n"/>
      <c r="R372" s="5" t="n"/>
      <c r="S372" s="5" t="n"/>
      <c r="T372" s="5" t="n"/>
      <c r="U372" s="5" t="n"/>
      <c r="V372" s="5" t="n"/>
      <c r="W372" s="5" t="n"/>
      <c r="X372" s="5" t="n"/>
      <c r="Y372" s="5" t="n"/>
      <c r="Z372" s="5" t="n"/>
      <c r="AA372" s="5" t="n"/>
    </row>
    <row r="373" ht="15.75" customHeight="1">
      <c r="A373" s="5" t="n"/>
      <c r="B373" s="6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8" t="n"/>
      <c r="L373" s="8" t="n"/>
      <c r="M373" s="5" t="n"/>
      <c r="N373" s="16" t="n"/>
      <c r="O373" s="5" t="n"/>
      <c r="P373" s="5" t="n"/>
      <c r="Q373" s="5" t="n"/>
      <c r="R373" s="5" t="n"/>
      <c r="S373" s="5" t="n"/>
      <c r="T373" s="5" t="n"/>
      <c r="U373" s="5" t="n"/>
      <c r="V373" s="5" t="n"/>
      <c r="W373" s="5" t="n"/>
      <c r="X373" s="5" t="n"/>
      <c r="Y373" s="5" t="n"/>
      <c r="Z373" s="5" t="n"/>
      <c r="AA373" s="5" t="n"/>
    </row>
    <row r="374" ht="15.75" customHeight="1">
      <c r="A374" s="5" t="n"/>
      <c r="B374" s="6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8" t="n"/>
      <c r="L374" s="8" t="n"/>
      <c r="M374" s="5" t="n"/>
      <c r="N374" s="16" t="n"/>
      <c r="O374" s="5" t="n"/>
      <c r="P374" s="5" t="n"/>
      <c r="Q374" s="5" t="n"/>
      <c r="R374" s="5" t="n"/>
      <c r="S374" s="5" t="n"/>
      <c r="T374" s="5" t="n"/>
      <c r="U374" s="5" t="n"/>
      <c r="V374" s="5" t="n"/>
      <c r="W374" s="5" t="n"/>
      <c r="X374" s="5" t="n"/>
      <c r="Y374" s="5" t="n"/>
      <c r="Z374" s="5" t="n"/>
      <c r="AA374" s="5" t="n"/>
    </row>
    <row r="375" ht="15.75" customHeight="1">
      <c r="A375" s="5" t="n"/>
      <c r="B375" s="6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8" t="n"/>
      <c r="L375" s="8" t="n"/>
      <c r="M375" s="5" t="n"/>
      <c r="N375" s="16" t="n"/>
      <c r="O375" s="5" t="n"/>
      <c r="P375" s="5" t="n"/>
      <c r="Q375" s="5" t="n"/>
      <c r="R375" s="5" t="n"/>
      <c r="S375" s="5" t="n"/>
      <c r="T375" s="5" t="n"/>
      <c r="U375" s="5" t="n"/>
      <c r="V375" s="5" t="n"/>
      <c r="W375" s="5" t="n"/>
      <c r="X375" s="5" t="n"/>
      <c r="Y375" s="5" t="n"/>
      <c r="Z375" s="5" t="n"/>
      <c r="AA375" s="5" t="n"/>
    </row>
    <row r="376" ht="15.75" customHeight="1">
      <c r="A376" s="5" t="n"/>
      <c r="B376" s="6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8" t="n"/>
      <c r="L376" s="8" t="n"/>
      <c r="M376" s="5" t="n"/>
      <c r="N376" s="16" t="n"/>
      <c r="O376" s="5" t="n"/>
      <c r="P376" s="5" t="n"/>
      <c r="Q376" s="5" t="n"/>
      <c r="R376" s="5" t="n"/>
      <c r="S376" s="5" t="n"/>
      <c r="T376" s="5" t="n"/>
      <c r="U376" s="5" t="n"/>
      <c r="V376" s="5" t="n"/>
      <c r="W376" s="5" t="n"/>
      <c r="X376" s="5" t="n"/>
      <c r="Y376" s="5" t="n"/>
      <c r="Z376" s="5" t="n"/>
      <c r="AA376" s="5" t="n"/>
    </row>
    <row r="377" ht="15.75" customHeight="1">
      <c r="A377" s="5" t="n"/>
      <c r="B377" s="6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8" t="n"/>
      <c r="L377" s="8" t="n"/>
      <c r="M377" s="5" t="n"/>
      <c r="N377" s="16" t="n"/>
      <c r="O377" s="5" t="n"/>
      <c r="P377" s="5" t="n"/>
      <c r="Q377" s="5" t="n"/>
      <c r="R377" s="5" t="n"/>
      <c r="S377" s="5" t="n"/>
      <c r="T377" s="5" t="n"/>
      <c r="U377" s="5" t="n"/>
      <c r="V377" s="5" t="n"/>
      <c r="W377" s="5" t="n"/>
      <c r="X377" s="5" t="n"/>
      <c r="Y377" s="5" t="n"/>
      <c r="Z377" s="5" t="n"/>
      <c r="AA377" s="5" t="n"/>
    </row>
    <row r="378" ht="15.75" customHeight="1">
      <c r="A378" s="5" t="n"/>
      <c r="B378" s="6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8" t="n"/>
      <c r="L378" s="8" t="n"/>
      <c r="M378" s="5" t="n"/>
      <c r="N378" s="16" t="n"/>
      <c r="O378" s="5" t="n"/>
      <c r="P378" s="5" t="n"/>
      <c r="Q378" s="5" t="n"/>
      <c r="R378" s="5" t="n"/>
      <c r="S378" s="5" t="n"/>
      <c r="T378" s="5" t="n"/>
      <c r="U378" s="5" t="n"/>
      <c r="V378" s="5" t="n"/>
      <c r="W378" s="5" t="n"/>
      <c r="X378" s="5" t="n"/>
      <c r="Y378" s="5" t="n"/>
      <c r="Z378" s="5" t="n"/>
      <c r="AA378" s="5" t="n"/>
    </row>
    <row r="379" ht="15.75" customHeight="1">
      <c r="A379" s="5" t="n"/>
      <c r="B379" s="6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8" t="n"/>
      <c r="L379" s="8" t="n"/>
      <c r="M379" s="5" t="n"/>
      <c r="N379" s="16" t="n"/>
      <c r="O379" s="5" t="n"/>
      <c r="P379" s="5" t="n"/>
      <c r="Q379" s="5" t="n"/>
      <c r="R379" s="5" t="n"/>
      <c r="S379" s="5" t="n"/>
      <c r="T379" s="5" t="n"/>
      <c r="U379" s="5" t="n"/>
      <c r="V379" s="5" t="n"/>
      <c r="W379" s="5" t="n"/>
      <c r="X379" s="5" t="n"/>
      <c r="Y379" s="5" t="n"/>
      <c r="Z379" s="5" t="n"/>
      <c r="AA379" s="5" t="n"/>
    </row>
    <row r="380" ht="15.75" customHeight="1">
      <c r="A380" s="5" t="n"/>
      <c r="B380" s="6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8" t="n"/>
      <c r="L380" s="8" t="n"/>
      <c r="M380" s="5" t="n"/>
      <c r="N380" s="16" t="n"/>
      <c r="O380" s="5" t="n"/>
      <c r="P380" s="5" t="n"/>
      <c r="Q380" s="5" t="n"/>
      <c r="R380" s="5" t="n"/>
      <c r="S380" s="5" t="n"/>
      <c r="T380" s="5" t="n"/>
      <c r="U380" s="5" t="n"/>
      <c r="V380" s="5" t="n"/>
      <c r="W380" s="5" t="n"/>
      <c r="X380" s="5" t="n"/>
      <c r="Y380" s="5" t="n"/>
      <c r="Z380" s="5" t="n"/>
      <c r="AA380" s="5" t="n"/>
    </row>
    <row r="381" ht="15.75" customHeight="1">
      <c r="A381" s="5" t="n"/>
      <c r="B381" s="6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8" t="n"/>
      <c r="L381" s="8" t="n"/>
      <c r="M381" s="5" t="n"/>
      <c r="N381" s="16" t="n"/>
      <c r="O381" s="5" t="n"/>
      <c r="P381" s="5" t="n"/>
      <c r="Q381" s="5" t="n"/>
      <c r="R381" s="5" t="n"/>
      <c r="S381" s="5" t="n"/>
      <c r="T381" s="5" t="n"/>
      <c r="U381" s="5" t="n"/>
      <c r="V381" s="5" t="n"/>
      <c r="W381" s="5" t="n"/>
      <c r="X381" s="5" t="n"/>
      <c r="Y381" s="5" t="n"/>
      <c r="Z381" s="5" t="n"/>
      <c r="AA381" s="5" t="n"/>
    </row>
    <row r="382" ht="15.75" customHeight="1">
      <c r="A382" s="5" t="n"/>
      <c r="B382" s="6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8" t="n"/>
      <c r="L382" s="8" t="n"/>
      <c r="M382" s="5" t="n"/>
      <c r="N382" s="16" t="n"/>
      <c r="O382" s="5" t="n"/>
      <c r="P382" s="5" t="n"/>
      <c r="Q382" s="5" t="n"/>
      <c r="R382" s="5" t="n"/>
      <c r="S382" s="5" t="n"/>
      <c r="T382" s="5" t="n"/>
      <c r="U382" s="5" t="n"/>
      <c r="V382" s="5" t="n"/>
      <c r="W382" s="5" t="n"/>
      <c r="X382" s="5" t="n"/>
      <c r="Y382" s="5" t="n"/>
      <c r="Z382" s="5" t="n"/>
      <c r="AA382" s="5" t="n"/>
    </row>
    <row r="383" ht="15.75" customHeight="1">
      <c r="A383" s="5" t="n"/>
      <c r="B383" s="6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8" t="n"/>
      <c r="L383" s="8" t="n"/>
      <c r="M383" s="5" t="n"/>
      <c r="N383" s="16" t="n"/>
      <c r="O383" s="5" t="n"/>
      <c r="P383" s="5" t="n"/>
      <c r="Q383" s="5" t="n"/>
      <c r="R383" s="5" t="n"/>
      <c r="S383" s="5" t="n"/>
      <c r="T383" s="5" t="n"/>
      <c r="U383" s="5" t="n"/>
      <c r="V383" s="5" t="n"/>
      <c r="W383" s="5" t="n"/>
      <c r="X383" s="5" t="n"/>
      <c r="Y383" s="5" t="n"/>
      <c r="Z383" s="5" t="n"/>
      <c r="AA383" s="5" t="n"/>
    </row>
    <row r="384" ht="15.75" customHeight="1">
      <c r="A384" s="5" t="n"/>
      <c r="B384" s="6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8" t="n"/>
      <c r="L384" s="8" t="n"/>
      <c r="M384" s="5" t="n"/>
      <c r="N384" s="16" t="n"/>
      <c r="O384" s="5" t="n"/>
      <c r="P384" s="5" t="n"/>
      <c r="Q384" s="5" t="n"/>
      <c r="R384" s="5" t="n"/>
      <c r="S384" s="5" t="n"/>
      <c r="T384" s="5" t="n"/>
      <c r="U384" s="5" t="n"/>
      <c r="V384" s="5" t="n"/>
      <c r="W384" s="5" t="n"/>
      <c r="X384" s="5" t="n"/>
      <c r="Y384" s="5" t="n"/>
      <c r="Z384" s="5" t="n"/>
      <c r="AA384" s="5" t="n"/>
    </row>
    <row r="385" ht="15.75" customHeight="1">
      <c r="A385" s="5" t="n"/>
      <c r="B385" s="6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8" t="n"/>
      <c r="L385" s="8" t="n"/>
      <c r="M385" s="5" t="n"/>
      <c r="N385" s="16" t="n"/>
      <c r="O385" s="5" t="n"/>
      <c r="P385" s="5" t="n"/>
      <c r="Q385" s="5" t="n"/>
      <c r="R385" s="5" t="n"/>
      <c r="S385" s="5" t="n"/>
      <c r="T385" s="5" t="n"/>
      <c r="U385" s="5" t="n"/>
      <c r="V385" s="5" t="n"/>
      <c r="W385" s="5" t="n"/>
      <c r="X385" s="5" t="n"/>
      <c r="Y385" s="5" t="n"/>
      <c r="Z385" s="5" t="n"/>
      <c r="AA385" s="5" t="n"/>
    </row>
    <row r="386" ht="15.75" customHeight="1">
      <c r="A386" s="5" t="n"/>
      <c r="B386" s="6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8" t="n"/>
      <c r="L386" s="8" t="n"/>
      <c r="M386" s="5" t="n"/>
      <c r="N386" s="16" t="n"/>
      <c r="O386" s="5" t="n"/>
      <c r="P386" s="5" t="n"/>
      <c r="Q386" s="5" t="n"/>
      <c r="R386" s="5" t="n"/>
      <c r="S386" s="5" t="n"/>
      <c r="T386" s="5" t="n"/>
      <c r="U386" s="5" t="n"/>
      <c r="V386" s="5" t="n"/>
      <c r="W386" s="5" t="n"/>
      <c r="X386" s="5" t="n"/>
      <c r="Y386" s="5" t="n"/>
      <c r="Z386" s="5" t="n"/>
      <c r="AA386" s="5" t="n"/>
    </row>
    <row r="387" ht="15.75" customHeight="1">
      <c r="A387" s="5" t="n"/>
      <c r="B387" s="6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8" t="n"/>
      <c r="L387" s="8" t="n"/>
      <c r="M387" s="5" t="n"/>
      <c r="N387" s="16" t="n"/>
      <c r="O387" s="5" t="n"/>
      <c r="P387" s="5" t="n"/>
      <c r="Q387" s="5" t="n"/>
      <c r="R387" s="5" t="n"/>
      <c r="S387" s="5" t="n"/>
      <c r="T387" s="5" t="n"/>
      <c r="U387" s="5" t="n"/>
      <c r="V387" s="5" t="n"/>
      <c r="W387" s="5" t="n"/>
      <c r="X387" s="5" t="n"/>
      <c r="Y387" s="5" t="n"/>
      <c r="Z387" s="5" t="n"/>
      <c r="AA387" s="5" t="n"/>
    </row>
    <row r="388" ht="15.75" customHeight="1">
      <c r="A388" s="5" t="n"/>
      <c r="B388" s="6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8" t="n"/>
      <c r="L388" s="8" t="n"/>
      <c r="M388" s="5" t="n"/>
      <c r="N388" s="16" t="n"/>
      <c r="O388" s="5" t="n"/>
      <c r="P388" s="5" t="n"/>
      <c r="Q388" s="5" t="n"/>
      <c r="R388" s="5" t="n"/>
      <c r="S388" s="5" t="n"/>
      <c r="T388" s="5" t="n"/>
      <c r="U388" s="5" t="n"/>
      <c r="V388" s="5" t="n"/>
      <c r="W388" s="5" t="n"/>
      <c r="X388" s="5" t="n"/>
      <c r="Y388" s="5" t="n"/>
      <c r="Z388" s="5" t="n"/>
      <c r="AA388" s="5" t="n"/>
    </row>
    <row r="389" ht="15.75" customHeight="1">
      <c r="A389" s="5" t="n"/>
      <c r="B389" s="6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8" t="n"/>
      <c r="L389" s="8" t="n"/>
      <c r="M389" s="5" t="n"/>
      <c r="N389" s="16" t="n"/>
      <c r="O389" s="5" t="n"/>
      <c r="P389" s="5" t="n"/>
      <c r="Q389" s="5" t="n"/>
      <c r="R389" s="5" t="n"/>
      <c r="S389" s="5" t="n"/>
      <c r="T389" s="5" t="n"/>
      <c r="U389" s="5" t="n"/>
      <c r="V389" s="5" t="n"/>
      <c r="W389" s="5" t="n"/>
      <c r="X389" s="5" t="n"/>
      <c r="Y389" s="5" t="n"/>
      <c r="Z389" s="5" t="n"/>
      <c r="AA389" s="5" t="n"/>
    </row>
    <row r="390" ht="15.75" customHeight="1">
      <c r="A390" s="5" t="n"/>
      <c r="B390" s="6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8" t="n"/>
      <c r="L390" s="8" t="n"/>
      <c r="M390" s="5" t="n"/>
      <c r="N390" s="16" t="n"/>
      <c r="O390" s="5" t="n"/>
      <c r="P390" s="5" t="n"/>
      <c r="Q390" s="5" t="n"/>
      <c r="R390" s="5" t="n"/>
      <c r="S390" s="5" t="n"/>
      <c r="T390" s="5" t="n"/>
      <c r="U390" s="5" t="n"/>
      <c r="V390" s="5" t="n"/>
      <c r="W390" s="5" t="n"/>
      <c r="X390" s="5" t="n"/>
      <c r="Y390" s="5" t="n"/>
      <c r="Z390" s="5" t="n"/>
      <c r="AA390" s="5" t="n"/>
    </row>
    <row r="391" ht="15.75" customHeight="1">
      <c r="A391" s="5" t="n"/>
      <c r="B391" s="6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8" t="n"/>
      <c r="L391" s="8" t="n"/>
      <c r="M391" s="5" t="n"/>
      <c r="N391" s="16" t="n"/>
      <c r="O391" s="5" t="n"/>
      <c r="P391" s="5" t="n"/>
      <c r="Q391" s="5" t="n"/>
      <c r="R391" s="5" t="n"/>
      <c r="S391" s="5" t="n"/>
      <c r="T391" s="5" t="n"/>
      <c r="U391" s="5" t="n"/>
      <c r="V391" s="5" t="n"/>
      <c r="W391" s="5" t="n"/>
      <c r="X391" s="5" t="n"/>
      <c r="Y391" s="5" t="n"/>
      <c r="Z391" s="5" t="n"/>
      <c r="AA391" s="5" t="n"/>
    </row>
    <row r="392" ht="15.75" customHeight="1">
      <c r="A392" s="5" t="n"/>
      <c r="B392" s="6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8" t="n"/>
      <c r="L392" s="8" t="n"/>
      <c r="M392" s="5" t="n"/>
      <c r="N392" s="16" t="n"/>
      <c r="O392" s="5" t="n"/>
      <c r="P392" s="5" t="n"/>
      <c r="Q392" s="5" t="n"/>
      <c r="R392" s="5" t="n"/>
      <c r="S392" s="5" t="n"/>
      <c r="T392" s="5" t="n"/>
      <c r="U392" s="5" t="n"/>
      <c r="V392" s="5" t="n"/>
      <c r="W392" s="5" t="n"/>
      <c r="X392" s="5" t="n"/>
      <c r="Y392" s="5" t="n"/>
      <c r="Z392" s="5" t="n"/>
      <c r="AA392" s="5" t="n"/>
    </row>
    <row r="393" ht="15.75" customHeight="1">
      <c r="A393" s="5" t="n"/>
      <c r="B393" s="6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8" t="n"/>
      <c r="L393" s="8" t="n"/>
      <c r="M393" s="5" t="n"/>
      <c r="N393" s="16" t="n"/>
      <c r="O393" s="5" t="n"/>
      <c r="P393" s="5" t="n"/>
      <c r="Q393" s="5" t="n"/>
      <c r="R393" s="5" t="n"/>
      <c r="S393" s="5" t="n"/>
      <c r="T393" s="5" t="n"/>
      <c r="U393" s="5" t="n"/>
      <c r="V393" s="5" t="n"/>
      <c r="W393" s="5" t="n"/>
      <c r="X393" s="5" t="n"/>
      <c r="Y393" s="5" t="n"/>
      <c r="Z393" s="5" t="n"/>
      <c r="AA393" s="5" t="n"/>
    </row>
    <row r="394" ht="15.75" customHeight="1">
      <c r="A394" s="5" t="n"/>
      <c r="B394" s="6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8" t="n"/>
      <c r="L394" s="8" t="n"/>
      <c r="M394" s="5" t="n"/>
      <c r="N394" s="16" t="n"/>
      <c r="O394" s="5" t="n"/>
      <c r="P394" s="5" t="n"/>
      <c r="Q394" s="5" t="n"/>
      <c r="R394" s="5" t="n"/>
      <c r="S394" s="5" t="n"/>
      <c r="T394" s="5" t="n"/>
      <c r="U394" s="5" t="n"/>
      <c r="V394" s="5" t="n"/>
      <c r="W394" s="5" t="n"/>
      <c r="X394" s="5" t="n"/>
      <c r="Y394" s="5" t="n"/>
      <c r="Z394" s="5" t="n"/>
      <c r="AA394" s="5" t="n"/>
    </row>
    <row r="395" ht="15.75" customHeight="1">
      <c r="A395" s="5" t="n"/>
      <c r="B395" s="6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8" t="n"/>
      <c r="L395" s="8" t="n"/>
      <c r="M395" s="5" t="n"/>
      <c r="N395" s="16" t="n"/>
      <c r="O395" s="5" t="n"/>
      <c r="P395" s="5" t="n"/>
      <c r="Q395" s="5" t="n"/>
      <c r="R395" s="5" t="n"/>
      <c r="S395" s="5" t="n"/>
      <c r="T395" s="5" t="n"/>
      <c r="U395" s="5" t="n"/>
      <c r="V395" s="5" t="n"/>
      <c r="W395" s="5" t="n"/>
      <c r="X395" s="5" t="n"/>
      <c r="Y395" s="5" t="n"/>
      <c r="Z395" s="5" t="n"/>
      <c r="AA395" s="5" t="n"/>
    </row>
    <row r="396" ht="15.75" customHeight="1">
      <c r="A396" s="5" t="n"/>
      <c r="B396" s="6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8" t="n"/>
      <c r="L396" s="8" t="n"/>
      <c r="M396" s="5" t="n"/>
      <c r="N396" s="16" t="n"/>
      <c r="O396" s="5" t="n"/>
      <c r="P396" s="5" t="n"/>
      <c r="Q396" s="5" t="n"/>
      <c r="R396" s="5" t="n"/>
      <c r="S396" s="5" t="n"/>
      <c r="T396" s="5" t="n"/>
      <c r="U396" s="5" t="n"/>
      <c r="V396" s="5" t="n"/>
      <c r="W396" s="5" t="n"/>
      <c r="X396" s="5" t="n"/>
      <c r="Y396" s="5" t="n"/>
      <c r="Z396" s="5" t="n"/>
      <c r="AA396" s="5" t="n"/>
    </row>
    <row r="397" ht="15.75" customHeight="1">
      <c r="A397" s="5" t="n"/>
      <c r="B397" s="6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8" t="n"/>
      <c r="L397" s="8" t="n"/>
      <c r="M397" s="5" t="n"/>
      <c r="N397" s="16" t="n"/>
      <c r="O397" s="5" t="n"/>
      <c r="P397" s="5" t="n"/>
      <c r="Q397" s="5" t="n"/>
      <c r="R397" s="5" t="n"/>
      <c r="S397" s="5" t="n"/>
      <c r="T397" s="5" t="n"/>
      <c r="U397" s="5" t="n"/>
      <c r="V397" s="5" t="n"/>
      <c r="W397" s="5" t="n"/>
      <c r="X397" s="5" t="n"/>
      <c r="Y397" s="5" t="n"/>
      <c r="Z397" s="5" t="n"/>
      <c r="AA397" s="5" t="n"/>
    </row>
    <row r="398" ht="15.75" customHeight="1">
      <c r="A398" s="5" t="n"/>
      <c r="B398" s="6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8" t="n"/>
      <c r="L398" s="8" t="n"/>
      <c r="M398" s="5" t="n"/>
      <c r="N398" s="16" t="n"/>
      <c r="O398" s="5" t="n"/>
      <c r="P398" s="5" t="n"/>
      <c r="Q398" s="5" t="n"/>
      <c r="R398" s="5" t="n"/>
      <c r="S398" s="5" t="n"/>
      <c r="T398" s="5" t="n"/>
      <c r="U398" s="5" t="n"/>
      <c r="V398" s="5" t="n"/>
      <c r="W398" s="5" t="n"/>
      <c r="X398" s="5" t="n"/>
      <c r="Y398" s="5" t="n"/>
      <c r="Z398" s="5" t="n"/>
      <c r="AA398" s="5" t="n"/>
    </row>
    <row r="399" ht="15.75" customHeight="1">
      <c r="A399" s="5" t="n"/>
      <c r="B399" s="6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8" t="n"/>
      <c r="L399" s="8" t="n"/>
      <c r="M399" s="5" t="n"/>
      <c r="N399" s="16" t="n"/>
      <c r="O399" s="5" t="n"/>
      <c r="P399" s="5" t="n"/>
      <c r="Q399" s="5" t="n"/>
      <c r="R399" s="5" t="n"/>
      <c r="S399" s="5" t="n"/>
      <c r="T399" s="5" t="n"/>
      <c r="U399" s="5" t="n"/>
      <c r="V399" s="5" t="n"/>
      <c r="W399" s="5" t="n"/>
      <c r="X399" s="5" t="n"/>
      <c r="Y399" s="5" t="n"/>
      <c r="Z399" s="5" t="n"/>
      <c r="AA399" s="5" t="n"/>
    </row>
    <row r="400" ht="15.75" customHeight="1">
      <c r="A400" s="5" t="n"/>
      <c r="B400" s="6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8" t="n"/>
      <c r="L400" s="8" t="n"/>
      <c r="M400" s="5" t="n"/>
      <c r="N400" s="16" t="n"/>
      <c r="O400" s="5" t="n"/>
      <c r="P400" s="5" t="n"/>
      <c r="Q400" s="5" t="n"/>
      <c r="R400" s="5" t="n"/>
      <c r="S400" s="5" t="n"/>
      <c r="T400" s="5" t="n"/>
      <c r="U400" s="5" t="n"/>
      <c r="V400" s="5" t="n"/>
      <c r="W400" s="5" t="n"/>
      <c r="X400" s="5" t="n"/>
      <c r="Y400" s="5" t="n"/>
      <c r="Z400" s="5" t="n"/>
      <c r="AA400" s="5" t="n"/>
    </row>
    <row r="401" ht="15.75" customHeight="1">
      <c r="A401" s="5" t="n"/>
      <c r="B401" s="6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8" t="n"/>
      <c r="L401" s="8" t="n"/>
      <c r="M401" s="5" t="n"/>
      <c r="N401" s="16" t="n"/>
      <c r="O401" s="5" t="n"/>
      <c r="P401" s="5" t="n"/>
      <c r="Q401" s="5" t="n"/>
      <c r="R401" s="5" t="n"/>
      <c r="S401" s="5" t="n"/>
      <c r="T401" s="5" t="n"/>
      <c r="U401" s="5" t="n"/>
      <c r="V401" s="5" t="n"/>
      <c r="W401" s="5" t="n"/>
      <c r="X401" s="5" t="n"/>
      <c r="Y401" s="5" t="n"/>
      <c r="Z401" s="5" t="n"/>
      <c r="AA401" s="5" t="n"/>
    </row>
    <row r="402" ht="15.75" customHeight="1">
      <c r="A402" s="5" t="n"/>
      <c r="B402" s="6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8" t="n"/>
      <c r="L402" s="8" t="n"/>
      <c r="M402" s="5" t="n"/>
      <c r="N402" s="16" t="n"/>
      <c r="O402" s="5" t="n"/>
      <c r="P402" s="5" t="n"/>
      <c r="Q402" s="5" t="n"/>
      <c r="R402" s="5" t="n"/>
      <c r="S402" s="5" t="n"/>
      <c r="T402" s="5" t="n"/>
      <c r="U402" s="5" t="n"/>
      <c r="V402" s="5" t="n"/>
      <c r="W402" s="5" t="n"/>
      <c r="X402" s="5" t="n"/>
      <c r="Y402" s="5" t="n"/>
      <c r="Z402" s="5" t="n"/>
      <c r="AA402" s="5" t="n"/>
    </row>
    <row r="403" ht="15.75" customHeight="1">
      <c r="A403" s="5" t="n"/>
      <c r="B403" s="6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8" t="n"/>
      <c r="L403" s="8" t="n"/>
      <c r="M403" s="5" t="n"/>
      <c r="N403" s="16" t="n"/>
      <c r="O403" s="5" t="n"/>
      <c r="P403" s="5" t="n"/>
      <c r="Q403" s="5" t="n"/>
      <c r="R403" s="5" t="n"/>
      <c r="S403" s="5" t="n"/>
      <c r="T403" s="5" t="n"/>
      <c r="U403" s="5" t="n"/>
      <c r="V403" s="5" t="n"/>
      <c r="W403" s="5" t="n"/>
      <c r="X403" s="5" t="n"/>
      <c r="Y403" s="5" t="n"/>
      <c r="Z403" s="5" t="n"/>
      <c r="AA403" s="5" t="n"/>
    </row>
    <row r="404" ht="15.75" customHeight="1">
      <c r="A404" s="5" t="n"/>
      <c r="B404" s="6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8" t="n"/>
      <c r="L404" s="8" t="n"/>
      <c r="M404" s="5" t="n"/>
      <c r="N404" s="16" t="n"/>
      <c r="O404" s="5" t="n"/>
      <c r="P404" s="5" t="n"/>
      <c r="Q404" s="5" t="n"/>
      <c r="R404" s="5" t="n"/>
      <c r="S404" s="5" t="n"/>
      <c r="T404" s="5" t="n"/>
      <c r="U404" s="5" t="n"/>
      <c r="V404" s="5" t="n"/>
      <c r="W404" s="5" t="n"/>
      <c r="X404" s="5" t="n"/>
      <c r="Y404" s="5" t="n"/>
      <c r="Z404" s="5" t="n"/>
      <c r="AA404" s="5" t="n"/>
    </row>
    <row r="405" ht="15.75" customHeight="1">
      <c r="A405" s="5" t="n"/>
      <c r="B405" s="6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8" t="n"/>
      <c r="L405" s="8" t="n"/>
      <c r="M405" s="5" t="n"/>
      <c r="N405" s="16" t="n"/>
      <c r="O405" s="5" t="n"/>
      <c r="P405" s="5" t="n"/>
      <c r="Q405" s="5" t="n"/>
      <c r="R405" s="5" t="n"/>
      <c r="S405" s="5" t="n"/>
      <c r="T405" s="5" t="n"/>
      <c r="U405" s="5" t="n"/>
      <c r="V405" s="5" t="n"/>
      <c r="W405" s="5" t="n"/>
      <c r="X405" s="5" t="n"/>
      <c r="Y405" s="5" t="n"/>
      <c r="Z405" s="5" t="n"/>
      <c r="AA405" s="5" t="n"/>
    </row>
    <row r="406" ht="15.75" customHeight="1">
      <c r="A406" s="5" t="n"/>
      <c r="B406" s="6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8" t="n"/>
      <c r="L406" s="8" t="n"/>
      <c r="M406" s="5" t="n"/>
      <c r="N406" s="16" t="n"/>
      <c r="O406" s="5" t="n"/>
      <c r="P406" s="5" t="n"/>
      <c r="Q406" s="5" t="n"/>
      <c r="R406" s="5" t="n"/>
      <c r="S406" s="5" t="n"/>
      <c r="T406" s="5" t="n"/>
      <c r="U406" s="5" t="n"/>
      <c r="V406" s="5" t="n"/>
      <c r="W406" s="5" t="n"/>
      <c r="X406" s="5" t="n"/>
      <c r="Y406" s="5" t="n"/>
      <c r="Z406" s="5" t="n"/>
      <c r="AA406" s="5" t="n"/>
    </row>
    <row r="407" ht="15.75" customHeight="1">
      <c r="A407" s="5" t="n"/>
      <c r="B407" s="6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8" t="n"/>
      <c r="L407" s="8" t="n"/>
      <c r="M407" s="5" t="n"/>
      <c r="N407" s="16" t="n"/>
      <c r="O407" s="5" t="n"/>
      <c r="P407" s="5" t="n"/>
      <c r="Q407" s="5" t="n"/>
      <c r="R407" s="5" t="n"/>
      <c r="S407" s="5" t="n"/>
      <c r="T407" s="5" t="n"/>
      <c r="U407" s="5" t="n"/>
      <c r="V407" s="5" t="n"/>
      <c r="W407" s="5" t="n"/>
      <c r="X407" s="5" t="n"/>
      <c r="Y407" s="5" t="n"/>
      <c r="Z407" s="5" t="n"/>
      <c r="AA407" s="5" t="n"/>
    </row>
    <row r="408" ht="15.75" customHeight="1">
      <c r="A408" s="5" t="n"/>
      <c r="B408" s="6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8" t="n"/>
      <c r="L408" s="8" t="n"/>
      <c r="M408" s="5" t="n"/>
      <c r="N408" s="16" t="n"/>
      <c r="O408" s="5" t="n"/>
      <c r="P408" s="5" t="n"/>
      <c r="Q408" s="5" t="n"/>
      <c r="R408" s="5" t="n"/>
      <c r="S408" s="5" t="n"/>
      <c r="T408" s="5" t="n"/>
      <c r="U408" s="5" t="n"/>
      <c r="V408" s="5" t="n"/>
      <c r="W408" s="5" t="n"/>
      <c r="X408" s="5" t="n"/>
      <c r="Y408" s="5" t="n"/>
      <c r="Z408" s="5" t="n"/>
      <c r="AA408" s="5" t="n"/>
    </row>
    <row r="409" ht="15.75" customHeight="1">
      <c r="A409" s="5" t="n"/>
      <c r="B409" s="6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8" t="n"/>
      <c r="L409" s="8" t="n"/>
      <c r="M409" s="5" t="n"/>
      <c r="N409" s="16" t="n"/>
      <c r="O409" s="5" t="n"/>
      <c r="P409" s="5" t="n"/>
      <c r="Q409" s="5" t="n"/>
      <c r="R409" s="5" t="n"/>
      <c r="S409" s="5" t="n"/>
      <c r="T409" s="5" t="n"/>
      <c r="U409" s="5" t="n"/>
      <c r="V409" s="5" t="n"/>
      <c r="W409" s="5" t="n"/>
      <c r="X409" s="5" t="n"/>
      <c r="Y409" s="5" t="n"/>
      <c r="Z409" s="5" t="n"/>
      <c r="AA409" s="5" t="n"/>
    </row>
    <row r="410" ht="15.75" customHeight="1">
      <c r="A410" s="5" t="n"/>
      <c r="B410" s="6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8" t="n"/>
      <c r="L410" s="8" t="n"/>
      <c r="M410" s="5" t="n"/>
      <c r="N410" s="16" t="n"/>
      <c r="O410" s="5" t="n"/>
      <c r="P410" s="5" t="n"/>
      <c r="Q410" s="5" t="n"/>
      <c r="R410" s="5" t="n"/>
      <c r="S410" s="5" t="n"/>
      <c r="T410" s="5" t="n"/>
      <c r="U410" s="5" t="n"/>
      <c r="V410" s="5" t="n"/>
      <c r="W410" s="5" t="n"/>
      <c r="X410" s="5" t="n"/>
      <c r="Y410" s="5" t="n"/>
      <c r="Z410" s="5" t="n"/>
      <c r="AA410" s="5" t="n"/>
    </row>
    <row r="411" ht="15.75" customHeight="1">
      <c r="A411" s="5" t="n"/>
      <c r="B411" s="6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8" t="n"/>
      <c r="L411" s="8" t="n"/>
      <c r="M411" s="5" t="n"/>
      <c r="N411" s="16" t="n"/>
      <c r="O411" s="5" t="n"/>
      <c r="P411" s="5" t="n"/>
      <c r="Q411" s="5" t="n"/>
      <c r="R411" s="5" t="n"/>
      <c r="S411" s="5" t="n"/>
      <c r="T411" s="5" t="n"/>
      <c r="U411" s="5" t="n"/>
      <c r="V411" s="5" t="n"/>
      <c r="W411" s="5" t="n"/>
      <c r="X411" s="5" t="n"/>
      <c r="Y411" s="5" t="n"/>
      <c r="Z411" s="5" t="n"/>
      <c r="AA411" s="5" t="n"/>
    </row>
    <row r="412" ht="15.75" customHeight="1">
      <c r="A412" s="5" t="n"/>
      <c r="B412" s="6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8" t="n"/>
      <c r="L412" s="8" t="n"/>
      <c r="M412" s="5" t="n"/>
      <c r="N412" s="16" t="n"/>
      <c r="O412" s="5" t="n"/>
      <c r="P412" s="5" t="n"/>
      <c r="Q412" s="5" t="n"/>
      <c r="R412" s="5" t="n"/>
      <c r="S412" s="5" t="n"/>
      <c r="T412" s="5" t="n"/>
      <c r="U412" s="5" t="n"/>
      <c r="V412" s="5" t="n"/>
      <c r="W412" s="5" t="n"/>
      <c r="X412" s="5" t="n"/>
      <c r="Y412" s="5" t="n"/>
      <c r="Z412" s="5" t="n"/>
      <c r="AA412" s="5" t="n"/>
    </row>
    <row r="413" ht="15.75" customHeight="1">
      <c r="A413" s="5" t="n"/>
      <c r="B413" s="6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8" t="n"/>
      <c r="L413" s="8" t="n"/>
      <c r="M413" s="5" t="n"/>
      <c r="N413" s="16" t="n"/>
      <c r="O413" s="5" t="n"/>
      <c r="P413" s="5" t="n"/>
      <c r="Q413" s="5" t="n"/>
      <c r="R413" s="5" t="n"/>
      <c r="S413" s="5" t="n"/>
      <c r="T413" s="5" t="n"/>
      <c r="U413" s="5" t="n"/>
      <c r="V413" s="5" t="n"/>
      <c r="W413" s="5" t="n"/>
      <c r="X413" s="5" t="n"/>
      <c r="Y413" s="5" t="n"/>
      <c r="Z413" s="5" t="n"/>
      <c r="AA413" s="5" t="n"/>
    </row>
    <row r="414" ht="15.75" customHeight="1">
      <c r="A414" s="5" t="n"/>
      <c r="B414" s="6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8" t="n"/>
      <c r="L414" s="8" t="n"/>
      <c r="M414" s="5" t="n"/>
      <c r="N414" s="16" t="n"/>
      <c r="O414" s="5" t="n"/>
      <c r="P414" s="5" t="n"/>
      <c r="Q414" s="5" t="n"/>
      <c r="R414" s="5" t="n"/>
      <c r="S414" s="5" t="n"/>
      <c r="T414" s="5" t="n"/>
      <c r="U414" s="5" t="n"/>
      <c r="V414" s="5" t="n"/>
      <c r="W414" s="5" t="n"/>
      <c r="X414" s="5" t="n"/>
      <c r="Y414" s="5" t="n"/>
      <c r="Z414" s="5" t="n"/>
      <c r="AA414" s="5" t="n"/>
    </row>
    <row r="415" ht="15.75" customHeight="1">
      <c r="A415" s="5" t="n"/>
      <c r="B415" s="6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8" t="n"/>
      <c r="L415" s="8" t="n"/>
      <c r="M415" s="5" t="n"/>
      <c r="N415" s="16" t="n"/>
      <c r="O415" s="5" t="n"/>
      <c r="P415" s="5" t="n"/>
      <c r="Q415" s="5" t="n"/>
      <c r="R415" s="5" t="n"/>
      <c r="S415" s="5" t="n"/>
      <c r="T415" s="5" t="n"/>
      <c r="U415" s="5" t="n"/>
      <c r="V415" s="5" t="n"/>
      <c r="W415" s="5" t="n"/>
      <c r="X415" s="5" t="n"/>
      <c r="Y415" s="5" t="n"/>
      <c r="Z415" s="5" t="n"/>
      <c r="AA415" s="5" t="n"/>
    </row>
    <row r="416" ht="15.75" customHeight="1">
      <c r="A416" s="5" t="n"/>
      <c r="B416" s="6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8" t="n"/>
      <c r="L416" s="8" t="n"/>
      <c r="M416" s="5" t="n"/>
      <c r="N416" s="16" t="n"/>
      <c r="O416" s="5" t="n"/>
      <c r="P416" s="5" t="n"/>
      <c r="Q416" s="5" t="n"/>
      <c r="R416" s="5" t="n"/>
      <c r="S416" s="5" t="n"/>
      <c r="T416" s="5" t="n"/>
      <c r="U416" s="5" t="n"/>
      <c r="V416" s="5" t="n"/>
      <c r="W416" s="5" t="n"/>
      <c r="X416" s="5" t="n"/>
      <c r="Y416" s="5" t="n"/>
      <c r="Z416" s="5" t="n"/>
      <c r="AA416" s="5" t="n"/>
    </row>
    <row r="417" ht="15.75" customHeight="1">
      <c r="A417" s="5" t="n"/>
      <c r="B417" s="6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8" t="n"/>
      <c r="L417" s="8" t="n"/>
      <c r="M417" s="5" t="n"/>
      <c r="N417" s="16" t="n"/>
      <c r="O417" s="5" t="n"/>
      <c r="P417" s="5" t="n"/>
      <c r="Q417" s="5" t="n"/>
      <c r="R417" s="5" t="n"/>
      <c r="S417" s="5" t="n"/>
      <c r="T417" s="5" t="n"/>
      <c r="U417" s="5" t="n"/>
      <c r="V417" s="5" t="n"/>
      <c r="W417" s="5" t="n"/>
      <c r="X417" s="5" t="n"/>
      <c r="Y417" s="5" t="n"/>
      <c r="Z417" s="5" t="n"/>
      <c r="AA417" s="5" t="n"/>
    </row>
    <row r="418" ht="15.75" customHeight="1">
      <c r="A418" s="5" t="n"/>
      <c r="B418" s="6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8" t="n"/>
      <c r="L418" s="8" t="n"/>
      <c r="M418" s="5" t="n"/>
      <c r="N418" s="16" t="n"/>
      <c r="O418" s="5" t="n"/>
      <c r="P418" s="5" t="n"/>
      <c r="Q418" s="5" t="n"/>
      <c r="R418" s="5" t="n"/>
      <c r="S418" s="5" t="n"/>
      <c r="T418" s="5" t="n"/>
      <c r="U418" s="5" t="n"/>
      <c r="V418" s="5" t="n"/>
      <c r="W418" s="5" t="n"/>
      <c r="X418" s="5" t="n"/>
      <c r="Y418" s="5" t="n"/>
      <c r="Z418" s="5" t="n"/>
      <c r="AA418" s="5" t="n"/>
    </row>
    <row r="419" ht="15.75" customHeight="1">
      <c r="A419" s="5" t="n"/>
      <c r="B419" s="6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8" t="n"/>
      <c r="L419" s="8" t="n"/>
      <c r="M419" s="5" t="n"/>
      <c r="N419" s="16" t="n"/>
      <c r="O419" s="5" t="n"/>
      <c r="P419" s="5" t="n"/>
      <c r="Q419" s="5" t="n"/>
      <c r="R419" s="5" t="n"/>
      <c r="S419" s="5" t="n"/>
      <c r="T419" s="5" t="n"/>
      <c r="U419" s="5" t="n"/>
      <c r="V419" s="5" t="n"/>
      <c r="W419" s="5" t="n"/>
      <c r="X419" s="5" t="n"/>
      <c r="Y419" s="5" t="n"/>
      <c r="Z419" s="5" t="n"/>
      <c r="AA419" s="5" t="n"/>
    </row>
    <row r="420" ht="15.75" customHeight="1">
      <c r="A420" s="5" t="n"/>
      <c r="B420" s="6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8" t="n"/>
      <c r="L420" s="8" t="n"/>
      <c r="M420" s="5" t="n"/>
      <c r="N420" s="16" t="n"/>
      <c r="O420" s="5" t="n"/>
      <c r="P420" s="5" t="n"/>
      <c r="Q420" s="5" t="n"/>
      <c r="R420" s="5" t="n"/>
      <c r="S420" s="5" t="n"/>
      <c r="T420" s="5" t="n"/>
      <c r="U420" s="5" t="n"/>
      <c r="V420" s="5" t="n"/>
      <c r="W420" s="5" t="n"/>
      <c r="X420" s="5" t="n"/>
      <c r="Y420" s="5" t="n"/>
      <c r="Z420" s="5" t="n"/>
      <c r="AA420" s="5" t="n"/>
    </row>
    <row r="421" ht="15.75" customHeight="1">
      <c r="A421" s="5" t="n"/>
      <c r="B421" s="6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8" t="n"/>
      <c r="L421" s="8" t="n"/>
      <c r="M421" s="5" t="n"/>
      <c r="N421" s="16" t="n"/>
      <c r="O421" s="5" t="n"/>
      <c r="P421" s="5" t="n"/>
      <c r="Q421" s="5" t="n"/>
      <c r="R421" s="5" t="n"/>
      <c r="S421" s="5" t="n"/>
      <c r="T421" s="5" t="n"/>
      <c r="U421" s="5" t="n"/>
      <c r="V421" s="5" t="n"/>
      <c r="W421" s="5" t="n"/>
      <c r="X421" s="5" t="n"/>
      <c r="Y421" s="5" t="n"/>
      <c r="Z421" s="5" t="n"/>
      <c r="AA421" s="5" t="n"/>
    </row>
    <row r="422" ht="15.75" customHeight="1">
      <c r="A422" s="5" t="n"/>
      <c r="B422" s="6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8" t="n"/>
      <c r="L422" s="8" t="n"/>
      <c r="M422" s="5" t="n"/>
      <c r="N422" s="16" t="n"/>
      <c r="O422" s="5" t="n"/>
      <c r="P422" s="5" t="n"/>
      <c r="Q422" s="5" t="n"/>
      <c r="R422" s="5" t="n"/>
      <c r="S422" s="5" t="n"/>
      <c r="T422" s="5" t="n"/>
      <c r="U422" s="5" t="n"/>
      <c r="V422" s="5" t="n"/>
      <c r="W422" s="5" t="n"/>
      <c r="X422" s="5" t="n"/>
      <c r="Y422" s="5" t="n"/>
      <c r="Z422" s="5" t="n"/>
      <c r="AA422" s="5" t="n"/>
    </row>
    <row r="423" ht="15.75" customHeight="1">
      <c r="A423" s="5" t="n"/>
      <c r="B423" s="6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8" t="n"/>
      <c r="L423" s="8" t="n"/>
      <c r="M423" s="5" t="n"/>
      <c r="N423" s="16" t="n"/>
      <c r="O423" s="5" t="n"/>
      <c r="P423" s="5" t="n"/>
      <c r="Q423" s="5" t="n"/>
      <c r="R423" s="5" t="n"/>
      <c r="S423" s="5" t="n"/>
      <c r="T423" s="5" t="n"/>
      <c r="U423" s="5" t="n"/>
      <c r="V423" s="5" t="n"/>
      <c r="W423" s="5" t="n"/>
      <c r="X423" s="5" t="n"/>
      <c r="Y423" s="5" t="n"/>
      <c r="Z423" s="5" t="n"/>
      <c r="AA423" s="5" t="n"/>
    </row>
    <row r="424" ht="15.75" customHeight="1">
      <c r="A424" s="5" t="n"/>
      <c r="B424" s="6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8" t="n"/>
      <c r="L424" s="8" t="n"/>
      <c r="M424" s="5" t="n"/>
      <c r="N424" s="16" t="n"/>
      <c r="O424" s="5" t="n"/>
      <c r="P424" s="5" t="n"/>
      <c r="Q424" s="5" t="n"/>
      <c r="R424" s="5" t="n"/>
      <c r="S424" s="5" t="n"/>
      <c r="T424" s="5" t="n"/>
      <c r="U424" s="5" t="n"/>
      <c r="V424" s="5" t="n"/>
      <c r="W424" s="5" t="n"/>
      <c r="X424" s="5" t="n"/>
      <c r="Y424" s="5" t="n"/>
      <c r="Z424" s="5" t="n"/>
      <c r="AA424" s="5" t="n"/>
    </row>
    <row r="425" ht="15.75" customHeight="1">
      <c r="A425" s="5" t="n"/>
      <c r="B425" s="6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8" t="n"/>
      <c r="L425" s="8" t="n"/>
      <c r="M425" s="5" t="n"/>
      <c r="N425" s="16" t="n"/>
      <c r="O425" s="5" t="n"/>
      <c r="P425" s="5" t="n"/>
      <c r="Q425" s="5" t="n"/>
      <c r="R425" s="5" t="n"/>
      <c r="S425" s="5" t="n"/>
      <c r="T425" s="5" t="n"/>
      <c r="U425" s="5" t="n"/>
      <c r="V425" s="5" t="n"/>
      <c r="W425" s="5" t="n"/>
      <c r="X425" s="5" t="n"/>
      <c r="Y425" s="5" t="n"/>
      <c r="Z425" s="5" t="n"/>
      <c r="AA425" s="5" t="n"/>
    </row>
    <row r="426" ht="15.75" customHeight="1">
      <c r="A426" s="5" t="n"/>
      <c r="B426" s="6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8" t="n"/>
      <c r="L426" s="8" t="n"/>
      <c r="M426" s="5" t="n"/>
      <c r="N426" s="16" t="n"/>
      <c r="O426" s="5" t="n"/>
      <c r="P426" s="5" t="n"/>
      <c r="Q426" s="5" t="n"/>
      <c r="R426" s="5" t="n"/>
      <c r="S426" s="5" t="n"/>
      <c r="T426" s="5" t="n"/>
      <c r="U426" s="5" t="n"/>
      <c r="V426" s="5" t="n"/>
      <c r="W426" s="5" t="n"/>
      <c r="X426" s="5" t="n"/>
      <c r="Y426" s="5" t="n"/>
      <c r="Z426" s="5" t="n"/>
      <c r="AA426" s="5" t="n"/>
    </row>
    <row r="427" ht="15.75" customHeight="1">
      <c r="A427" s="5" t="n"/>
      <c r="B427" s="6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8" t="n"/>
      <c r="L427" s="8" t="n"/>
      <c r="M427" s="5" t="n"/>
      <c r="N427" s="16" t="n"/>
      <c r="O427" s="5" t="n"/>
      <c r="P427" s="5" t="n"/>
      <c r="Q427" s="5" t="n"/>
      <c r="R427" s="5" t="n"/>
      <c r="S427" s="5" t="n"/>
      <c r="T427" s="5" t="n"/>
      <c r="U427" s="5" t="n"/>
      <c r="V427" s="5" t="n"/>
      <c r="W427" s="5" t="n"/>
      <c r="X427" s="5" t="n"/>
      <c r="Y427" s="5" t="n"/>
      <c r="Z427" s="5" t="n"/>
      <c r="AA427" s="5" t="n"/>
    </row>
    <row r="428" ht="15.75" customHeight="1">
      <c r="A428" s="5" t="n"/>
      <c r="B428" s="6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8" t="n"/>
      <c r="L428" s="8" t="n"/>
      <c r="M428" s="5" t="n"/>
      <c r="N428" s="16" t="n"/>
      <c r="O428" s="5" t="n"/>
      <c r="P428" s="5" t="n"/>
      <c r="Q428" s="5" t="n"/>
      <c r="R428" s="5" t="n"/>
      <c r="S428" s="5" t="n"/>
      <c r="T428" s="5" t="n"/>
      <c r="U428" s="5" t="n"/>
      <c r="V428" s="5" t="n"/>
      <c r="W428" s="5" t="n"/>
      <c r="X428" s="5" t="n"/>
      <c r="Y428" s="5" t="n"/>
      <c r="Z428" s="5" t="n"/>
      <c r="AA428" s="5" t="n"/>
    </row>
    <row r="429" ht="15.75" customHeight="1">
      <c r="A429" s="5" t="n"/>
      <c r="B429" s="6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8" t="n"/>
      <c r="L429" s="8" t="n"/>
      <c r="M429" s="5" t="n"/>
      <c r="N429" s="16" t="n"/>
      <c r="O429" s="5" t="n"/>
      <c r="P429" s="5" t="n"/>
      <c r="Q429" s="5" t="n"/>
      <c r="R429" s="5" t="n"/>
      <c r="S429" s="5" t="n"/>
      <c r="T429" s="5" t="n"/>
      <c r="U429" s="5" t="n"/>
      <c r="V429" s="5" t="n"/>
      <c r="W429" s="5" t="n"/>
      <c r="X429" s="5" t="n"/>
      <c r="Y429" s="5" t="n"/>
      <c r="Z429" s="5" t="n"/>
      <c r="AA429" s="5" t="n"/>
    </row>
    <row r="430" ht="15.75" customHeight="1">
      <c r="A430" s="5" t="n"/>
      <c r="B430" s="6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8" t="n"/>
      <c r="L430" s="8" t="n"/>
      <c r="M430" s="5" t="n"/>
      <c r="N430" s="16" t="n"/>
      <c r="O430" s="5" t="n"/>
      <c r="P430" s="5" t="n"/>
      <c r="Q430" s="5" t="n"/>
      <c r="R430" s="5" t="n"/>
      <c r="S430" s="5" t="n"/>
      <c r="T430" s="5" t="n"/>
      <c r="U430" s="5" t="n"/>
      <c r="V430" s="5" t="n"/>
      <c r="W430" s="5" t="n"/>
      <c r="X430" s="5" t="n"/>
      <c r="Y430" s="5" t="n"/>
      <c r="Z430" s="5" t="n"/>
      <c r="AA430" s="5" t="n"/>
    </row>
    <row r="431" ht="15.75" customHeight="1">
      <c r="A431" s="5" t="n"/>
      <c r="B431" s="6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8" t="n"/>
      <c r="L431" s="8" t="n"/>
      <c r="M431" s="5" t="n"/>
      <c r="N431" s="16" t="n"/>
      <c r="O431" s="5" t="n"/>
      <c r="P431" s="5" t="n"/>
      <c r="Q431" s="5" t="n"/>
      <c r="R431" s="5" t="n"/>
      <c r="S431" s="5" t="n"/>
      <c r="T431" s="5" t="n"/>
      <c r="U431" s="5" t="n"/>
      <c r="V431" s="5" t="n"/>
      <c r="W431" s="5" t="n"/>
      <c r="X431" s="5" t="n"/>
      <c r="Y431" s="5" t="n"/>
      <c r="Z431" s="5" t="n"/>
      <c r="AA431" s="5" t="n"/>
    </row>
    <row r="432" ht="15.75" customHeight="1">
      <c r="A432" s="5" t="n"/>
      <c r="B432" s="6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8" t="n"/>
      <c r="L432" s="8" t="n"/>
      <c r="M432" s="5" t="n"/>
      <c r="N432" s="16" t="n"/>
      <c r="O432" s="5" t="n"/>
      <c r="P432" s="5" t="n"/>
      <c r="Q432" s="5" t="n"/>
      <c r="R432" s="5" t="n"/>
      <c r="S432" s="5" t="n"/>
      <c r="T432" s="5" t="n"/>
      <c r="U432" s="5" t="n"/>
      <c r="V432" s="5" t="n"/>
      <c r="W432" s="5" t="n"/>
      <c r="X432" s="5" t="n"/>
      <c r="Y432" s="5" t="n"/>
      <c r="Z432" s="5" t="n"/>
      <c r="AA432" s="5" t="n"/>
    </row>
    <row r="433" ht="15.75" customHeight="1">
      <c r="A433" s="5" t="n"/>
      <c r="B433" s="6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8" t="n"/>
      <c r="L433" s="8" t="n"/>
      <c r="M433" s="5" t="n"/>
      <c r="N433" s="16" t="n"/>
      <c r="O433" s="5" t="n"/>
      <c r="P433" s="5" t="n"/>
      <c r="Q433" s="5" t="n"/>
      <c r="R433" s="5" t="n"/>
      <c r="S433" s="5" t="n"/>
      <c r="T433" s="5" t="n"/>
      <c r="U433" s="5" t="n"/>
      <c r="V433" s="5" t="n"/>
      <c r="W433" s="5" t="n"/>
      <c r="X433" s="5" t="n"/>
      <c r="Y433" s="5" t="n"/>
      <c r="Z433" s="5" t="n"/>
      <c r="AA433" s="5" t="n"/>
    </row>
    <row r="434" ht="15.75" customHeight="1">
      <c r="A434" s="5" t="n"/>
      <c r="B434" s="6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8" t="n"/>
      <c r="L434" s="8" t="n"/>
      <c r="M434" s="5" t="n"/>
      <c r="N434" s="16" t="n"/>
      <c r="O434" s="5" t="n"/>
      <c r="P434" s="5" t="n"/>
      <c r="Q434" s="5" t="n"/>
      <c r="R434" s="5" t="n"/>
      <c r="S434" s="5" t="n"/>
      <c r="T434" s="5" t="n"/>
      <c r="U434" s="5" t="n"/>
      <c r="V434" s="5" t="n"/>
      <c r="W434" s="5" t="n"/>
      <c r="X434" s="5" t="n"/>
      <c r="Y434" s="5" t="n"/>
      <c r="Z434" s="5" t="n"/>
      <c r="AA434" s="5" t="n"/>
    </row>
    <row r="435" ht="15.75" customHeight="1">
      <c r="A435" s="5" t="n"/>
      <c r="B435" s="6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8" t="n"/>
      <c r="L435" s="8" t="n"/>
      <c r="M435" s="5" t="n"/>
      <c r="N435" s="16" t="n"/>
      <c r="O435" s="5" t="n"/>
      <c r="P435" s="5" t="n"/>
      <c r="Q435" s="5" t="n"/>
      <c r="R435" s="5" t="n"/>
      <c r="S435" s="5" t="n"/>
      <c r="T435" s="5" t="n"/>
      <c r="U435" s="5" t="n"/>
      <c r="V435" s="5" t="n"/>
      <c r="W435" s="5" t="n"/>
      <c r="X435" s="5" t="n"/>
      <c r="Y435" s="5" t="n"/>
      <c r="Z435" s="5" t="n"/>
      <c r="AA435" s="5" t="n"/>
    </row>
    <row r="436" ht="15.75" customHeight="1">
      <c r="A436" s="5" t="n"/>
      <c r="B436" s="6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8" t="n"/>
      <c r="L436" s="8" t="n"/>
      <c r="M436" s="5" t="n"/>
      <c r="N436" s="16" t="n"/>
      <c r="O436" s="5" t="n"/>
      <c r="P436" s="5" t="n"/>
      <c r="Q436" s="5" t="n"/>
      <c r="R436" s="5" t="n"/>
      <c r="S436" s="5" t="n"/>
      <c r="T436" s="5" t="n"/>
      <c r="U436" s="5" t="n"/>
      <c r="V436" s="5" t="n"/>
      <c r="W436" s="5" t="n"/>
      <c r="X436" s="5" t="n"/>
      <c r="Y436" s="5" t="n"/>
      <c r="Z436" s="5" t="n"/>
      <c r="AA436" s="5" t="n"/>
    </row>
    <row r="437" ht="15.75" customHeight="1">
      <c r="A437" s="5" t="n"/>
      <c r="B437" s="6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8" t="n"/>
      <c r="L437" s="8" t="n"/>
      <c r="M437" s="5" t="n"/>
      <c r="N437" s="16" t="n"/>
      <c r="O437" s="5" t="n"/>
      <c r="P437" s="5" t="n"/>
      <c r="Q437" s="5" t="n"/>
      <c r="R437" s="5" t="n"/>
      <c r="S437" s="5" t="n"/>
      <c r="T437" s="5" t="n"/>
      <c r="U437" s="5" t="n"/>
      <c r="V437" s="5" t="n"/>
      <c r="W437" s="5" t="n"/>
      <c r="X437" s="5" t="n"/>
      <c r="Y437" s="5" t="n"/>
      <c r="Z437" s="5" t="n"/>
      <c r="AA437" s="5" t="n"/>
    </row>
    <row r="438" ht="15.75" customHeight="1">
      <c r="A438" s="5" t="n"/>
      <c r="B438" s="6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8" t="n"/>
      <c r="L438" s="8" t="n"/>
      <c r="M438" s="5" t="n"/>
      <c r="N438" s="16" t="n"/>
      <c r="O438" s="5" t="n"/>
      <c r="P438" s="5" t="n"/>
      <c r="Q438" s="5" t="n"/>
      <c r="R438" s="5" t="n"/>
      <c r="S438" s="5" t="n"/>
      <c r="T438" s="5" t="n"/>
      <c r="U438" s="5" t="n"/>
      <c r="V438" s="5" t="n"/>
      <c r="W438" s="5" t="n"/>
      <c r="X438" s="5" t="n"/>
      <c r="Y438" s="5" t="n"/>
      <c r="Z438" s="5" t="n"/>
      <c r="AA438" s="5" t="n"/>
    </row>
    <row r="439" ht="15.75" customHeight="1">
      <c r="A439" s="5" t="n"/>
      <c r="B439" s="6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8" t="n"/>
      <c r="L439" s="8" t="n"/>
      <c r="M439" s="5" t="n"/>
      <c r="N439" s="16" t="n"/>
      <c r="O439" s="5" t="n"/>
      <c r="P439" s="5" t="n"/>
      <c r="Q439" s="5" t="n"/>
      <c r="R439" s="5" t="n"/>
      <c r="S439" s="5" t="n"/>
      <c r="T439" s="5" t="n"/>
      <c r="U439" s="5" t="n"/>
      <c r="V439" s="5" t="n"/>
      <c r="W439" s="5" t="n"/>
      <c r="X439" s="5" t="n"/>
      <c r="Y439" s="5" t="n"/>
      <c r="Z439" s="5" t="n"/>
      <c r="AA439" s="5" t="n"/>
    </row>
    <row r="440" ht="15.75" customHeight="1">
      <c r="A440" s="5" t="n"/>
      <c r="B440" s="6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8" t="n"/>
      <c r="L440" s="8" t="n"/>
      <c r="M440" s="5" t="n"/>
      <c r="N440" s="16" t="n"/>
      <c r="O440" s="5" t="n"/>
      <c r="P440" s="5" t="n"/>
      <c r="Q440" s="5" t="n"/>
      <c r="R440" s="5" t="n"/>
      <c r="S440" s="5" t="n"/>
      <c r="T440" s="5" t="n"/>
      <c r="U440" s="5" t="n"/>
      <c r="V440" s="5" t="n"/>
      <c r="W440" s="5" t="n"/>
      <c r="X440" s="5" t="n"/>
      <c r="Y440" s="5" t="n"/>
      <c r="Z440" s="5" t="n"/>
      <c r="AA440" s="5" t="n"/>
    </row>
    <row r="441" ht="15.75" customHeight="1">
      <c r="A441" s="5" t="n"/>
      <c r="B441" s="6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8" t="n"/>
      <c r="L441" s="8" t="n"/>
      <c r="M441" s="5" t="n"/>
      <c r="N441" s="16" t="n"/>
      <c r="O441" s="5" t="n"/>
      <c r="P441" s="5" t="n"/>
      <c r="Q441" s="5" t="n"/>
      <c r="R441" s="5" t="n"/>
      <c r="S441" s="5" t="n"/>
      <c r="T441" s="5" t="n"/>
      <c r="U441" s="5" t="n"/>
      <c r="V441" s="5" t="n"/>
      <c r="W441" s="5" t="n"/>
      <c r="X441" s="5" t="n"/>
      <c r="Y441" s="5" t="n"/>
      <c r="Z441" s="5" t="n"/>
      <c r="AA441" s="5" t="n"/>
    </row>
    <row r="442" ht="15.75" customHeight="1">
      <c r="A442" s="5" t="n"/>
      <c r="B442" s="6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8" t="n"/>
      <c r="L442" s="8" t="n"/>
      <c r="M442" s="5" t="n"/>
      <c r="N442" s="16" t="n"/>
      <c r="O442" s="5" t="n"/>
      <c r="P442" s="5" t="n"/>
      <c r="Q442" s="5" t="n"/>
      <c r="R442" s="5" t="n"/>
      <c r="S442" s="5" t="n"/>
      <c r="T442" s="5" t="n"/>
      <c r="U442" s="5" t="n"/>
      <c r="V442" s="5" t="n"/>
      <c r="W442" s="5" t="n"/>
      <c r="X442" s="5" t="n"/>
      <c r="Y442" s="5" t="n"/>
      <c r="Z442" s="5" t="n"/>
      <c r="AA442" s="5" t="n"/>
    </row>
    <row r="443" ht="15.75" customHeight="1">
      <c r="A443" s="5" t="n"/>
      <c r="B443" s="6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8" t="n"/>
      <c r="L443" s="8" t="n"/>
      <c r="M443" s="5" t="n"/>
      <c r="N443" s="16" t="n"/>
      <c r="O443" s="5" t="n"/>
      <c r="P443" s="5" t="n"/>
      <c r="Q443" s="5" t="n"/>
      <c r="R443" s="5" t="n"/>
      <c r="S443" s="5" t="n"/>
      <c r="T443" s="5" t="n"/>
      <c r="U443" s="5" t="n"/>
      <c r="V443" s="5" t="n"/>
      <c r="W443" s="5" t="n"/>
      <c r="X443" s="5" t="n"/>
      <c r="Y443" s="5" t="n"/>
      <c r="Z443" s="5" t="n"/>
      <c r="AA443" s="5" t="n"/>
    </row>
    <row r="444" ht="15.75" customHeight="1">
      <c r="A444" s="5" t="n"/>
      <c r="B444" s="6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8" t="n"/>
      <c r="L444" s="8" t="n"/>
      <c r="M444" s="5" t="n"/>
      <c r="N444" s="16" t="n"/>
      <c r="O444" s="5" t="n"/>
      <c r="P444" s="5" t="n"/>
      <c r="Q444" s="5" t="n"/>
      <c r="R444" s="5" t="n"/>
      <c r="S444" s="5" t="n"/>
      <c r="T444" s="5" t="n"/>
      <c r="U444" s="5" t="n"/>
      <c r="V444" s="5" t="n"/>
      <c r="W444" s="5" t="n"/>
      <c r="X444" s="5" t="n"/>
      <c r="Y444" s="5" t="n"/>
      <c r="Z444" s="5" t="n"/>
      <c r="AA444" s="5" t="n"/>
    </row>
    <row r="445" ht="15.75" customHeight="1">
      <c r="A445" s="5" t="n"/>
      <c r="B445" s="6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8" t="n"/>
      <c r="L445" s="8" t="n"/>
      <c r="M445" s="5" t="n"/>
      <c r="N445" s="16" t="n"/>
      <c r="O445" s="5" t="n"/>
      <c r="P445" s="5" t="n"/>
      <c r="Q445" s="5" t="n"/>
      <c r="R445" s="5" t="n"/>
      <c r="S445" s="5" t="n"/>
      <c r="T445" s="5" t="n"/>
      <c r="U445" s="5" t="n"/>
      <c r="V445" s="5" t="n"/>
      <c r="W445" s="5" t="n"/>
      <c r="X445" s="5" t="n"/>
      <c r="Y445" s="5" t="n"/>
      <c r="Z445" s="5" t="n"/>
      <c r="AA445" s="5" t="n"/>
    </row>
    <row r="446" ht="15.75" customHeight="1">
      <c r="A446" s="5" t="n"/>
      <c r="B446" s="6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8" t="n"/>
      <c r="L446" s="8" t="n"/>
      <c r="M446" s="5" t="n"/>
      <c r="N446" s="16" t="n"/>
      <c r="O446" s="5" t="n"/>
      <c r="P446" s="5" t="n"/>
      <c r="Q446" s="5" t="n"/>
      <c r="R446" s="5" t="n"/>
      <c r="S446" s="5" t="n"/>
      <c r="T446" s="5" t="n"/>
      <c r="U446" s="5" t="n"/>
      <c r="V446" s="5" t="n"/>
      <c r="W446" s="5" t="n"/>
      <c r="X446" s="5" t="n"/>
      <c r="Y446" s="5" t="n"/>
      <c r="Z446" s="5" t="n"/>
      <c r="AA446" s="5" t="n"/>
    </row>
    <row r="447" ht="15.75" customHeight="1">
      <c r="A447" s="5" t="n"/>
      <c r="B447" s="6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8" t="n"/>
      <c r="L447" s="8" t="n"/>
      <c r="M447" s="5" t="n"/>
      <c r="N447" s="16" t="n"/>
      <c r="O447" s="5" t="n"/>
      <c r="P447" s="5" t="n"/>
      <c r="Q447" s="5" t="n"/>
      <c r="R447" s="5" t="n"/>
      <c r="S447" s="5" t="n"/>
      <c r="T447" s="5" t="n"/>
      <c r="U447" s="5" t="n"/>
      <c r="V447" s="5" t="n"/>
      <c r="W447" s="5" t="n"/>
      <c r="X447" s="5" t="n"/>
      <c r="Y447" s="5" t="n"/>
      <c r="Z447" s="5" t="n"/>
      <c r="AA447" s="5" t="n"/>
    </row>
    <row r="448" ht="15.75" customHeight="1">
      <c r="A448" s="5" t="n"/>
      <c r="B448" s="6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8" t="n"/>
      <c r="L448" s="8" t="n"/>
      <c r="M448" s="5" t="n"/>
      <c r="N448" s="16" t="n"/>
      <c r="O448" s="5" t="n"/>
      <c r="P448" s="5" t="n"/>
      <c r="Q448" s="5" t="n"/>
      <c r="R448" s="5" t="n"/>
      <c r="S448" s="5" t="n"/>
      <c r="T448" s="5" t="n"/>
      <c r="U448" s="5" t="n"/>
      <c r="V448" s="5" t="n"/>
      <c r="W448" s="5" t="n"/>
      <c r="X448" s="5" t="n"/>
      <c r="Y448" s="5" t="n"/>
      <c r="Z448" s="5" t="n"/>
      <c r="AA448" s="5" t="n"/>
    </row>
    <row r="449" ht="15.75" customHeight="1">
      <c r="A449" s="5" t="n"/>
      <c r="B449" s="6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8" t="n"/>
      <c r="L449" s="8" t="n"/>
      <c r="M449" s="5" t="n"/>
      <c r="N449" s="16" t="n"/>
      <c r="O449" s="5" t="n"/>
      <c r="P449" s="5" t="n"/>
      <c r="Q449" s="5" t="n"/>
      <c r="R449" s="5" t="n"/>
      <c r="S449" s="5" t="n"/>
      <c r="T449" s="5" t="n"/>
      <c r="U449" s="5" t="n"/>
      <c r="V449" s="5" t="n"/>
      <c r="W449" s="5" t="n"/>
      <c r="X449" s="5" t="n"/>
      <c r="Y449" s="5" t="n"/>
      <c r="Z449" s="5" t="n"/>
      <c r="AA449" s="5" t="n"/>
    </row>
    <row r="450" ht="15.75" customHeight="1">
      <c r="A450" s="5" t="n"/>
      <c r="B450" s="6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8" t="n"/>
      <c r="L450" s="8" t="n"/>
      <c r="M450" s="5" t="n"/>
      <c r="N450" s="16" t="n"/>
      <c r="O450" s="5" t="n"/>
      <c r="P450" s="5" t="n"/>
      <c r="Q450" s="5" t="n"/>
      <c r="R450" s="5" t="n"/>
      <c r="S450" s="5" t="n"/>
      <c r="T450" s="5" t="n"/>
      <c r="U450" s="5" t="n"/>
      <c r="V450" s="5" t="n"/>
      <c r="W450" s="5" t="n"/>
      <c r="X450" s="5" t="n"/>
      <c r="Y450" s="5" t="n"/>
      <c r="Z450" s="5" t="n"/>
      <c r="AA450" s="5" t="n"/>
    </row>
    <row r="451" ht="15.75" customHeight="1">
      <c r="A451" s="5" t="n"/>
      <c r="B451" s="6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8" t="n"/>
      <c r="L451" s="8" t="n"/>
      <c r="M451" s="5" t="n"/>
      <c r="N451" s="16" t="n"/>
      <c r="O451" s="5" t="n"/>
      <c r="P451" s="5" t="n"/>
      <c r="Q451" s="5" t="n"/>
      <c r="R451" s="5" t="n"/>
      <c r="S451" s="5" t="n"/>
      <c r="T451" s="5" t="n"/>
      <c r="U451" s="5" t="n"/>
      <c r="V451" s="5" t="n"/>
      <c r="W451" s="5" t="n"/>
      <c r="X451" s="5" t="n"/>
      <c r="Y451" s="5" t="n"/>
      <c r="Z451" s="5" t="n"/>
      <c r="AA451" s="5" t="n"/>
    </row>
    <row r="452" ht="15.75" customHeight="1">
      <c r="A452" s="5" t="n"/>
      <c r="B452" s="6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8" t="n"/>
      <c r="L452" s="8" t="n"/>
      <c r="M452" s="5" t="n"/>
      <c r="N452" s="16" t="n"/>
      <c r="O452" s="5" t="n"/>
      <c r="P452" s="5" t="n"/>
      <c r="Q452" s="5" t="n"/>
      <c r="R452" s="5" t="n"/>
      <c r="S452" s="5" t="n"/>
      <c r="T452" s="5" t="n"/>
      <c r="U452" s="5" t="n"/>
      <c r="V452" s="5" t="n"/>
      <c r="W452" s="5" t="n"/>
      <c r="X452" s="5" t="n"/>
      <c r="Y452" s="5" t="n"/>
      <c r="Z452" s="5" t="n"/>
      <c r="AA452" s="5" t="n"/>
    </row>
    <row r="453" ht="15.75" customHeight="1">
      <c r="A453" s="5" t="n"/>
      <c r="B453" s="6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8" t="n"/>
      <c r="L453" s="8" t="n"/>
      <c r="M453" s="5" t="n"/>
      <c r="N453" s="16" t="n"/>
      <c r="O453" s="5" t="n"/>
      <c r="P453" s="5" t="n"/>
      <c r="Q453" s="5" t="n"/>
      <c r="R453" s="5" t="n"/>
      <c r="S453" s="5" t="n"/>
      <c r="T453" s="5" t="n"/>
      <c r="U453" s="5" t="n"/>
      <c r="V453" s="5" t="n"/>
      <c r="W453" s="5" t="n"/>
      <c r="X453" s="5" t="n"/>
      <c r="Y453" s="5" t="n"/>
      <c r="Z453" s="5" t="n"/>
      <c r="AA453" s="5" t="n"/>
    </row>
    <row r="454" ht="15.75" customHeight="1">
      <c r="A454" s="5" t="n"/>
      <c r="B454" s="6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8" t="n"/>
      <c r="L454" s="8" t="n"/>
      <c r="M454" s="5" t="n"/>
      <c r="N454" s="16" t="n"/>
      <c r="O454" s="5" t="n"/>
      <c r="P454" s="5" t="n"/>
      <c r="Q454" s="5" t="n"/>
      <c r="R454" s="5" t="n"/>
      <c r="S454" s="5" t="n"/>
      <c r="T454" s="5" t="n"/>
      <c r="U454" s="5" t="n"/>
      <c r="V454" s="5" t="n"/>
      <c r="W454" s="5" t="n"/>
      <c r="X454" s="5" t="n"/>
      <c r="Y454" s="5" t="n"/>
      <c r="Z454" s="5" t="n"/>
      <c r="AA454" s="5" t="n"/>
    </row>
    <row r="455" ht="15.75" customHeight="1">
      <c r="A455" s="5" t="n"/>
      <c r="B455" s="6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8" t="n"/>
      <c r="L455" s="8" t="n"/>
      <c r="M455" s="5" t="n"/>
      <c r="N455" s="16" t="n"/>
      <c r="O455" s="5" t="n"/>
      <c r="P455" s="5" t="n"/>
      <c r="Q455" s="5" t="n"/>
      <c r="R455" s="5" t="n"/>
      <c r="S455" s="5" t="n"/>
      <c r="T455" s="5" t="n"/>
      <c r="U455" s="5" t="n"/>
      <c r="V455" s="5" t="n"/>
      <c r="W455" s="5" t="n"/>
      <c r="X455" s="5" t="n"/>
      <c r="Y455" s="5" t="n"/>
      <c r="Z455" s="5" t="n"/>
      <c r="AA455" s="5" t="n"/>
    </row>
    <row r="456" ht="15.75" customHeight="1">
      <c r="A456" s="5" t="n"/>
      <c r="B456" s="6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8" t="n"/>
      <c r="L456" s="8" t="n"/>
      <c r="M456" s="5" t="n"/>
      <c r="N456" s="16" t="n"/>
      <c r="O456" s="5" t="n"/>
      <c r="P456" s="5" t="n"/>
      <c r="Q456" s="5" t="n"/>
      <c r="R456" s="5" t="n"/>
      <c r="S456" s="5" t="n"/>
      <c r="T456" s="5" t="n"/>
      <c r="U456" s="5" t="n"/>
      <c r="V456" s="5" t="n"/>
      <c r="W456" s="5" t="n"/>
      <c r="X456" s="5" t="n"/>
      <c r="Y456" s="5" t="n"/>
      <c r="Z456" s="5" t="n"/>
      <c r="AA456" s="5" t="n"/>
    </row>
    <row r="457" ht="15.75" customHeight="1">
      <c r="A457" s="5" t="n"/>
      <c r="B457" s="6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8" t="n"/>
      <c r="L457" s="8" t="n"/>
      <c r="M457" s="5" t="n"/>
      <c r="N457" s="16" t="n"/>
      <c r="O457" s="5" t="n"/>
      <c r="P457" s="5" t="n"/>
      <c r="Q457" s="5" t="n"/>
      <c r="R457" s="5" t="n"/>
      <c r="S457" s="5" t="n"/>
      <c r="T457" s="5" t="n"/>
      <c r="U457" s="5" t="n"/>
      <c r="V457" s="5" t="n"/>
      <c r="W457" s="5" t="n"/>
      <c r="X457" s="5" t="n"/>
      <c r="Y457" s="5" t="n"/>
      <c r="Z457" s="5" t="n"/>
      <c r="AA457" s="5" t="n"/>
    </row>
    <row r="458" ht="15.75" customHeight="1">
      <c r="A458" s="5" t="n"/>
      <c r="B458" s="6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8" t="n"/>
      <c r="L458" s="8" t="n"/>
      <c r="M458" s="5" t="n"/>
      <c r="N458" s="16" t="n"/>
      <c r="O458" s="5" t="n"/>
      <c r="P458" s="5" t="n"/>
      <c r="Q458" s="5" t="n"/>
      <c r="R458" s="5" t="n"/>
      <c r="S458" s="5" t="n"/>
      <c r="T458" s="5" t="n"/>
      <c r="U458" s="5" t="n"/>
      <c r="V458" s="5" t="n"/>
      <c r="W458" s="5" t="n"/>
      <c r="X458" s="5" t="n"/>
      <c r="Y458" s="5" t="n"/>
      <c r="Z458" s="5" t="n"/>
      <c r="AA458" s="5" t="n"/>
    </row>
    <row r="459" ht="15.75" customHeight="1">
      <c r="A459" s="5" t="n"/>
      <c r="B459" s="6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8" t="n"/>
      <c r="L459" s="8" t="n"/>
      <c r="M459" s="5" t="n"/>
      <c r="N459" s="16" t="n"/>
      <c r="O459" s="5" t="n"/>
      <c r="P459" s="5" t="n"/>
      <c r="Q459" s="5" t="n"/>
      <c r="R459" s="5" t="n"/>
      <c r="S459" s="5" t="n"/>
      <c r="T459" s="5" t="n"/>
      <c r="U459" s="5" t="n"/>
      <c r="V459" s="5" t="n"/>
      <c r="W459" s="5" t="n"/>
      <c r="X459" s="5" t="n"/>
      <c r="Y459" s="5" t="n"/>
      <c r="Z459" s="5" t="n"/>
      <c r="AA459" s="5" t="n"/>
    </row>
    <row r="460" ht="15.75" customHeight="1">
      <c r="A460" s="5" t="n"/>
      <c r="B460" s="6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8" t="n"/>
      <c r="L460" s="8" t="n"/>
      <c r="M460" s="5" t="n"/>
      <c r="N460" s="16" t="n"/>
      <c r="O460" s="5" t="n"/>
      <c r="P460" s="5" t="n"/>
      <c r="Q460" s="5" t="n"/>
      <c r="R460" s="5" t="n"/>
      <c r="S460" s="5" t="n"/>
      <c r="T460" s="5" t="n"/>
      <c r="U460" s="5" t="n"/>
      <c r="V460" s="5" t="n"/>
      <c r="W460" s="5" t="n"/>
      <c r="X460" s="5" t="n"/>
      <c r="Y460" s="5" t="n"/>
      <c r="Z460" s="5" t="n"/>
      <c r="AA460" s="5" t="n"/>
    </row>
    <row r="461" ht="15.75" customHeight="1">
      <c r="A461" s="5" t="n"/>
      <c r="B461" s="6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8" t="n"/>
      <c r="L461" s="8" t="n"/>
      <c r="M461" s="5" t="n"/>
      <c r="N461" s="16" t="n"/>
      <c r="O461" s="5" t="n"/>
      <c r="P461" s="5" t="n"/>
      <c r="Q461" s="5" t="n"/>
      <c r="R461" s="5" t="n"/>
      <c r="S461" s="5" t="n"/>
      <c r="T461" s="5" t="n"/>
      <c r="U461" s="5" t="n"/>
      <c r="V461" s="5" t="n"/>
      <c r="W461" s="5" t="n"/>
      <c r="X461" s="5" t="n"/>
      <c r="Y461" s="5" t="n"/>
      <c r="Z461" s="5" t="n"/>
      <c r="AA461" s="5" t="n"/>
    </row>
    <row r="462" ht="15.75" customHeight="1">
      <c r="A462" s="5" t="n"/>
      <c r="B462" s="6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8" t="n"/>
      <c r="L462" s="8" t="n"/>
      <c r="M462" s="5" t="n"/>
      <c r="N462" s="16" t="n"/>
      <c r="O462" s="5" t="n"/>
      <c r="P462" s="5" t="n"/>
      <c r="Q462" s="5" t="n"/>
      <c r="R462" s="5" t="n"/>
      <c r="S462" s="5" t="n"/>
      <c r="T462" s="5" t="n"/>
      <c r="U462" s="5" t="n"/>
      <c r="V462" s="5" t="n"/>
      <c r="W462" s="5" t="n"/>
      <c r="X462" s="5" t="n"/>
      <c r="Y462" s="5" t="n"/>
      <c r="Z462" s="5" t="n"/>
      <c r="AA462" s="5" t="n"/>
    </row>
    <row r="463" ht="15.75" customHeight="1">
      <c r="A463" s="5" t="n"/>
      <c r="B463" s="6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8" t="n"/>
      <c r="L463" s="8" t="n"/>
      <c r="M463" s="5" t="n"/>
      <c r="N463" s="16" t="n"/>
      <c r="O463" s="5" t="n"/>
      <c r="P463" s="5" t="n"/>
      <c r="Q463" s="5" t="n"/>
      <c r="R463" s="5" t="n"/>
      <c r="S463" s="5" t="n"/>
      <c r="T463" s="5" t="n"/>
      <c r="U463" s="5" t="n"/>
      <c r="V463" s="5" t="n"/>
      <c r="W463" s="5" t="n"/>
      <c r="X463" s="5" t="n"/>
      <c r="Y463" s="5" t="n"/>
      <c r="Z463" s="5" t="n"/>
      <c r="AA463" s="5" t="n"/>
    </row>
    <row r="464" ht="15.75" customHeight="1">
      <c r="A464" s="5" t="n"/>
      <c r="B464" s="6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8" t="n"/>
      <c r="L464" s="8" t="n"/>
      <c r="M464" s="5" t="n"/>
      <c r="N464" s="16" t="n"/>
      <c r="O464" s="5" t="n"/>
      <c r="P464" s="5" t="n"/>
      <c r="Q464" s="5" t="n"/>
      <c r="R464" s="5" t="n"/>
      <c r="S464" s="5" t="n"/>
      <c r="T464" s="5" t="n"/>
      <c r="U464" s="5" t="n"/>
      <c r="V464" s="5" t="n"/>
      <c r="W464" s="5" t="n"/>
      <c r="X464" s="5" t="n"/>
      <c r="Y464" s="5" t="n"/>
      <c r="Z464" s="5" t="n"/>
      <c r="AA464" s="5" t="n"/>
    </row>
    <row r="465" ht="15.75" customHeight="1">
      <c r="A465" s="5" t="n"/>
      <c r="B465" s="6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8" t="n"/>
      <c r="L465" s="8" t="n"/>
      <c r="M465" s="5" t="n"/>
      <c r="N465" s="16" t="n"/>
      <c r="O465" s="5" t="n"/>
      <c r="P465" s="5" t="n"/>
      <c r="Q465" s="5" t="n"/>
      <c r="R465" s="5" t="n"/>
      <c r="S465" s="5" t="n"/>
      <c r="T465" s="5" t="n"/>
      <c r="U465" s="5" t="n"/>
      <c r="V465" s="5" t="n"/>
      <c r="W465" s="5" t="n"/>
      <c r="X465" s="5" t="n"/>
      <c r="Y465" s="5" t="n"/>
      <c r="Z465" s="5" t="n"/>
      <c r="AA465" s="5" t="n"/>
    </row>
    <row r="466" ht="15.75" customHeight="1">
      <c r="A466" s="5" t="n"/>
      <c r="B466" s="6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8" t="n"/>
      <c r="L466" s="8" t="n"/>
      <c r="M466" s="5" t="n"/>
      <c r="N466" s="16" t="n"/>
      <c r="O466" s="5" t="n"/>
      <c r="P466" s="5" t="n"/>
      <c r="Q466" s="5" t="n"/>
      <c r="R466" s="5" t="n"/>
      <c r="S466" s="5" t="n"/>
      <c r="T466" s="5" t="n"/>
      <c r="U466" s="5" t="n"/>
      <c r="V466" s="5" t="n"/>
      <c r="W466" s="5" t="n"/>
      <c r="X466" s="5" t="n"/>
      <c r="Y466" s="5" t="n"/>
      <c r="Z466" s="5" t="n"/>
      <c r="AA466" s="5" t="n"/>
    </row>
    <row r="467" ht="15.75" customHeight="1">
      <c r="A467" s="5" t="n"/>
      <c r="B467" s="6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8" t="n"/>
      <c r="L467" s="8" t="n"/>
      <c r="M467" s="5" t="n"/>
      <c r="N467" s="16" t="n"/>
      <c r="O467" s="5" t="n"/>
      <c r="P467" s="5" t="n"/>
      <c r="Q467" s="5" t="n"/>
      <c r="R467" s="5" t="n"/>
      <c r="S467" s="5" t="n"/>
      <c r="T467" s="5" t="n"/>
      <c r="U467" s="5" t="n"/>
      <c r="V467" s="5" t="n"/>
      <c r="W467" s="5" t="n"/>
      <c r="X467" s="5" t="n"/>
      <c r="Y467" s="5" t="n"/>
      <c r="Z467" s="5" t="n"/>
      <c r="AA467" s="5" t="n"/>
    </row>
    <row r="468" ht="15.75" customHeight="1">
      <c r="A468" s="5" t="n"/>
      <c r="B468" s="6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8" t="n"/>
      <c r="L468" s="8" t="n"/>
      <c r="M468" s="5" t="n"/>
      <c r="N468" s="16" t="n"/>
      <c r="O468" s="5" t="n"/>
      <c r="P468" s="5" t="n"/>
      <c r="Q468" s="5" t="n"/>
      <c r="R468" s="5" t="n"/>
      <c r="S468" s="5" t="n"/>
      <c r="T468" s="5" t="n"/>
      <c r="U468" s="5" t="n"/>
      <c r="V468" s="5" t="n"/>
      <c r="W468" s="5" t="n"/>
      <c r="X468" s="5" t="n"/>
      <c r="Y468" s="5" t="n"/>
      <c r="Z468" s="5" t="n"/>
      <c r="AA468" s="5" t="n"/>
    </row>
    <row r="469" ht="15.75" customHeight="1">
      <c r="A469" s="5" t="n"/>
      <c r="B469" s="6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8" t="n"/>
      <c r="L469" s="8" t="n"/>
      <c r="M469" s="5" t="n"/>
      <c r="N469" s="16" t="n"/>
      <c r="O469" s="5" t="n"/>
      <c r="P469" s="5" t="n"/>
      <c r="Q469" s="5" t="n"/>
      <c r="R469" s="5" t="n"/>
      <c r="S469" s="5" t="n"/>
      <c r="T469" s="5" t="n"/>
      <c r="U469" s="5" t="n"/>
      <c r="V469" s="5" t="n"/>
      <c r="W469" s="5" t="n"/>
      <c r="X469" s="5" t="n"/>
      <c r="Y469" s="5" t="n"/>
      <c r="Z469" s="5" t="n"/>
      <c r="AA469" s="5" t="n"/>
    </row>
    <row r="470" ht="15.75" customHeight="1">
      <c r="A470" s="5" t="n"/>
      <c r="B470" s="6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8" t="n"/>
      <c r="L470" s="8" t="n"/>
      <c r="M470" s="5" t="n"/>
      <c r="N470" s="16" t="n"/>
      <c r="O470" s="5" t="n"/>
      <c r="P470" s="5" t="n"/>
      <c r="Q470" s="5" t="n"/>
      <c r="R470" s="5" t="n"/>
      <c r="S470" s="5" t="n"/>
      <c r="T470" s="5" t="n"/>
      <c r="U470" s="5" t="n"/>
      <c r="V470" s="5" t="n"/>
      <c r="W470" s="5" t="n"/>
      <c r="X470" s="5" t="n"/>
      <c r="Y470" s="5" t="n"/>
      <c r="Z470" s="5" t="n"/>
      <c r="AA470" s="5" t="n"/>
    </row>
    <row r="471" ht="15.75" customHeight="1">
      <c r="A471" s="5" t="n"/>
      <c r="B471" s="6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8" t="n"/>
      <c r="L471" s="8" t="n"/>
      <c r="M471" s="5" t="n"/>
      <c r="N471" s="16" t="n"/>
      <c r="O471" s="5" t="n"/>
      <c r="P471" s="5" t="n"/>
      <c r="Q471" s="5" t="n"/>
      <c r="R471" s="5" t="n"/>
      <c r="S471" s="5" t="n"/>
      <c r="T471" s="5" t="n"/>
      <c r="U471" s="5" t="n"/>
      <c r="V471" s="5" t="n"/>
      <c r="W471" s="5" t="n"/>
      <c r="X471" s="5" t="n"/>
      <c r="Y471" s="5" t="n"/>
      <c r="Z471" s="5" t="n"/>
      <c r="AA471" s="5" t="n"/>
    </row>
    <row r="472" ht="15.75" customHeight="1">
      <c r="A472" s="5" t="n"/>
      <c r="B472" s="6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8" t="n"/>
      <c r="L472" s="8" t="n"/>
      <c r="M472" s="5" t="n"/>
      <c r="N472" s="16" t="n"/>
      <c r="O472" s="5" t="n"/>
      <c r="P472" s="5" t="n"/>
      <c r="Q472" s="5" t="n"/>
      <c r="R472" s="5" t="n"/>
      <c r="S472" s="5" t="n"/>
      <c r="T472" s="5" t="n"/>
      <c r="U472" s="5" t="n"/>
      <c r="V472" s="5" t="n"/>
      <c r="W472" s="5" t="n"/>
      <c r="X472" s="5" t="n"/>
      <c r="Y472" s="5" t="n"/>
      <c r="Z472" s="5" t="n"/>
      <c r="AA472" s="5" t="n"/>
    </row>
    <row r="473" ht="15.75" customHeight="1">
      <c r="A473" s="5" t="n"/>
      <c r="B473" s="6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8" t="n"/>
      <c r="L473" s="8" t="n"/>
      <c r="M473" s="5" t="n"/>
      <c r="N473" s="16" t="n"/>
      <c r="O473" s="5" t="n"/>
      <c r="P473" s="5" t="n"/>
      <c r="Q473" s="5" t="n"/>
      <c r="R473" s="5" t="n"/>
      <c r="S473" s="5" t="n"/>
      <c r="T473" s="5" t="n"/>
      <c r="U473" s="5" t="n"/>
      <c r="V473" s="5" t="n"/>
      <c r="W473" s="5" t="n"/>
      <c r="X473" s="5" t="n"/>
      <c r="Y473" s="5" t="n"/>
      <c r="Z473" s="5" t="n"/>
      <c r="AA473" s="5" t="n"/>
    </row>
    <row r="474" ht="15.75" customHeight="1">
      <c r="A474" s="5" t="n"/>
      <c r="B474" s="6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8" t="n"/>
      <c r="L474" s="8" t="n"/>
      <c r="M474" s="5" t="n"/>
      <c r="N474" s="16" t="n"/>
      <c r="O474" s="5" t="n"/>
      <c r="P474" s="5" t="n"/>
      <c r="Q474" s="5" t="n"/>
      <c r="R474" s="5" t="n"/>
      <c r="S474" s="5" t="n"/>
      <c r="T474" s="5" t="n"/>
      <c r="U474" s="5" t="n"/>
      <c r="V474" s="5" t="n"/>
      <c r="W474" s="5" t="n"/>
      <c r="X474" s="5" t="n"/>
      <c r="Y474" s="5" t="n"/>
      <c r="Z474" s="5" t="n"/>
      <c r="AA474" s="5" t="n"/>
    </row>
    <row r="475" ht="15.75" customHeight="1">
      <c r="A475" s="5" t="n"/>
      <c r="B475" s="6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8" t="n"/>
      <c r="L475" s="8" t="n"/>
      <c r="M475" s="5" t="n"/>
      <c r="N475" s="16" t="n"/>
      <c r="O475" s="5" t="n"/>
      <c r="P475" s="5" t="n"/>
      <c r="Q475" s="5" t="n"/>
      <c r="R475" s="5" t="n"/>
      <c r="S475" s="5" t="n"/>
      <c r="T475" s="5" t="n"/>
      <c r="U475" s="5" t="n"/>
      <c r="V475" s="5" t="n"/>
      <c r="W475" s="5" t="n"/>
      <c r="X475" s="5" t="n"/>
      <c r="Y475" s="5" t="n"/>
      <c r="Z475" s="5" t="n"/>
      <c r="AA475" s="5" t="n"/>
    </row>
    <row r="476" ht="15.75" customHeight="1">
      <c r="A476" s="5" t="n"/>
      <c r="B476" s="6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8" t="n"/>
      <c r="L476" s="8" t="n"/>
      <c r="M476" s="5" t="n"/>
      <c r="N476" s="16" t="n"/>
      <c r="O476" s="5" t="n"/>
      <c r="P476" s="5" t="n"/>
      <c r="Q476" s="5" t="n"/>
      <c r="R476" s="5" t="n"/>
      <c r="S476" s="5" t="n"/>
      <c r="T476" s="5" t="n"/>
      <c r="U476" s="5" t="n"/>
      <c r="V476" s="5" t="n"/>
      <c r="W476" s="5" t="n"/>
      <c r="X476" s="5" t="n"/>
      <c r="Y476" s="5" t="n"/>
      <c r="Z476" s="5" t="n"/>
      <c r="AA476" s="5" t="n"/>
    </row>
    <row r="477" ht="15.75" customHeight="1">
      <c r="A477" s="5" t="n"/>
      <c r="B477" s="6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8" t="n"/>
      <c r="L477" s="8" t="n"/>
      <c r="M477" s="5" t="n"/>
      <c r="N477" s="16" t="n"/>
      <c r="O477" s="5" t="n"/>
      <c r="P477" s="5" t="n"/>
      <c r="Q477" s="5" t="n"/>
      <c r="R477" s="5" t="n"/>
      <c r="S477" s="5" t="n"/>
      <c r="T477" s="5" t="n"/>
      <c r="U477" s="5" t="n"/>
      <c r="V477" s="5" t="n"/>
      <c r="W477" s="5" t="n"/>
      <c r="X477" s="5" t="n"/>
      <c r="Y477" s="5" t="n"/>
      <c r="Z477" s="5" t="n"/>
      <c r="AA477" s="5" t="n"/>
    </row>
    <row r="478" ht="15.75" customHeight="1">
      <c r="A478" s="5" t="n"/>
      <c r="B478" s="6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8" t="n"/>
      <c r="L478" s="8" t="n"/>
      <c r="M478" s="5" t="n"/>
      <c r="N478" s="16" t="n"/>
      <c r="O478" s="5" t="n"/>
      <c r="P478" s="5" t="n"/>
      <c r="Q478" s="5" t="n"/>
      <c r="R478" s="5" t="n"/>
      <c r="S478" s="5" t="n"/>
      <c r="T478" s="5" t="n"/>
      <c r="U478" s="5" t="n"/>
      <c r="V478" s="5" t="n"/>
      <c r="W478" s="5" t="n"/>
      <c r="X478" s="5" t="n"/>
      <c r="Y478" s="5" t="n"/>
      <c r="Z478" s="5" t="n"/>
      <c r="AA478" s="5" t="n"/>
    </row>
    <row r="479" ht="15.75" customHeight="1">
      <c r="A479" s="5" t="n"/>
      <c r="B479" s="6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8" t="n"/>
      <c r="L479" s="8" t="n"/>
      <c r="M479" s="5" t="n"/>
      <c r="N479" s="16" t="n"/>
      <c r="O479" s="5" t="n"/>
      <c r="P479" s="5" t="n"/>
      <c r="Q479" s="5" t="n"/>
      <c r="R479" s="5" t="n"/>
      <c r="S479" s="5" t="n"/>
      <c r="T479" s="5" t="n"/>
      <c r="U479" s="5" t="n"/>
      <c r="V479" s="5" t="n"/>
      <c r="W479" s="5" t="n"/>
      <c r="X479" s="5" t="n"/>
      <c r="Y479" s="5" t="n"/>
      <c r="Z479" s="5" t="n"/>
      <c r="AA479" s="5" t="n"/>
    </row>
    <row r="480" ht="15.75" customHeight="1">
      <c r="A480" s="5" t="n"/>
      <c r="B480" s="6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8" t="n"/>
      <c r="L480" s="8" t="n"/>
      <c r="M480" s="5" t="n"/>
      <c r="N480" s="16" t="n"/>
      <c r="O480" s="5" t="n"/>
      <c r="P480" s="5" t="n"/>
      <c r="Q480" s="5" t="n"/>
      <c r="R480" s="5" t="n"/>
      <c r="S480" s="5" t="n"/>
      <c r="T480" s="5" t="n"/>
      <c r="U480" s="5" t="n"/>
      <c r="V480" s="5" t="n"/>
      <c r="W480" s="5" t="n"/>
      <c r="X480" s="5" t="n"/>
      <c r="Y480" s="5" t="n"/>
      <c r="Z480" s="5" t="n"/>
      <c r="AA480" s="5" t="n"/>
    </row>
    <row r="481" ht="15.75" customHeight="1">
      <c r="A481" s="5" t="n"/>
      <c r="B481" s="6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8" t="n"/>
      <c r="L481" s="8" t="n"/>
      <c r="M481" s="5" t="n"/>
      <c r="N481" s="16" t="n"/>
      <c r="O481" s="5" t="n"/>
      <c r="P481" s="5" t="n"/>
      <c r="Q481" s="5" t="n"/>
      <c r="R481" s="5" t="n"/>
      <c r="S481" s="5" t="n"/>
      <c r="T481" s="5" t="n"/>
      <c r="U481" s="5" t="n"/>
      <c r="V481" s="5" t="n"/>
      <c r="W481" s="5" t="n"/>
      <c r="X481" s="5" t="n"/>
      <c r="Y481" s="5" t="n"/>
      <c r="Z481" s="5" t="n"/>
      <c r="AA481" s="5" t="n"/>
    </row>
    <row r="482" ht="15.75" customHeight="1">
      <c r="A482" s="5" t="n"/>
      <c r="B482" s="6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8" t="n"/>
      <c r="L482" s="8" t="n"/>
      <c r="M482" s="5" t="n"/>
      <c r="N482" s="16" t="n"/>
      <c r="O482" s="5" t="n"/>
      <c r="P482" s="5" t="n"/>
      <c r="Q482" s="5" t="n"/>
      <c r="R482" s="5" t="n"/>
      <c r="S482" s="5" t="n"/>
      <c r="T482" s="5" t="n"/>
      <c r="U482" s="5" t="n"/>
      <c r="V482" s="5" t="n"/>
      <c r="W482" s="5" t="n"/>
      <c r="X482" s="5" t="n"/>
      <c r="Y482" s="5" t="n"/>
      <c r="Z482" s="5" t="n"/>
      <c r="AA482" s="5" t="n"/>
    </row>
    <row r="483" ht="15.75" customHeight="1">
      <c r="A483" s="5" t="n"/>
      <c r="B483" s="6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8" t="n"/>
      <c r="L483" s="8" t="n"/>
      <c r="M483" s="5" t="n"/>
      <c r="N483" s="16" t="n"/>
      <c r="O483" s="5" t="n"/>
      <c r="P483" s="5" t="n"/>
      <c r="Q483" s="5" t="n"/>
      <c r="R483" s="5" t="n"/>
      <c r="S483" s="5" t="n"/>
      <c r="T483" s="5" t="n"/>
      <c r="U483" s="5" t="n"/>
      <c r="V483" s="5" t="n"/>
      <c r="W483" s="5" t="n"/>
      <c r="X483" s="5" t="n"/>
      <c r="Y483" s="5" t="n"/>
      <c r="Z483" s="5" t="n"/>
      <c r="AA483" s="5" t="n"/>
    </row>
    <row r="484" ht="15.75" customHeight="1">
      <c r="A484" s="5" t="n"/>
      <c r="B484" s="6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8" t="n"/>
      <c r="L484" s="8" t="n"/>
      <c r="M484" s="5" t="n"/>
      <c r="N484" s="16" t="n"/>
      <c r="O484" s="5" t="n"/>
      <c r="P484" s="5" t="n"/>
      <c r="Q484" s="5" t="n"/>
      <c r="R484" s="5" t="n"/>
      <c r="S484" s="5" t="n"/>
      <c r="T484" s="5" t="n"/>
      <c r="U484" s="5" t="n"/>
      <c r="V484" s="5" t="n"/>
      <c r="W484" s="5" t="n"/>
      <c r="X484" s="5" t="n"/>
      <c r="Y484" s="5" t="n"/>
      <c r="Z484" s="5" t="n"/>
      <c r="AA484" s="5" t="n"/>
    </row>
    <row r="485" ht="15.75" customHeight="1">
      <c r="A485" s="5" t="n"/>
      <c r="B485" s="6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8" t="n"/>
      <c r="L485" s="8" t="n"/>
      <c r="M485" s="5" t="n"/>
      <c r="N485" s="16" t="n"/>
      <c r="O485" s="5" t="n"/>
      <c r="P485" s="5" t="n"/>
      <c r="Q485" s="5" t="n"/>
      <c r="R485" s="5" t="n"/>
      <c r="S485" s="5" t="n"/>
      <c r="T485" s="5" t="n"/>
      <c r="U485" s="5" t="n"/>
      <c r="V485" s="5" t="n"/>
      <c r="W485" s="5" t="n"/>
      <c r="X485" s="5" t="n"/>
      <c r="Y485" s="5" t="n"/>
      <c r="Z485" s="5" t="n"/>
      <c r="AA485" s="5" t="n"/>
    </row>
    <row r="486" ht="15.75" customHeight="1">
      <c r="A486" s="5" t="n"/>
      <c r="B486" s="6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8" t="n"/>
      <c r="L486" s="8" t="n"/>
      <c r="M486" s="5" t="n"/>
      <c r="N486" s="16" t="n"/>
      <c r="O486" s="5" t="n"/>
      <c r="P486" s="5" t="n"/>
      <c r="Q486" s="5" t="n"/>
      <c r="R486" s="5" t="n"/>
      <c r="S486" s="5" t="n"/>
      <c r="T486" s="5" t="n"/>
      <c r="U486" s="5" t="n"/>
      <c r="V486" s="5" t="n"/>
      <c r="W486" s="5" t="n"/>
      <c r="X486" s="5" t="n"/>
      <c r="Y486" s="5" t="n"/>
      <c r="Z486" s="5" t="n"/>
      <c r="AA486" s="5" t="n"/>
    </row>
    <row r="487" ht="15.75" customHeight="1">
      <c r="A487" s="5" t="n"/>
      <c r="B487" s="6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8" t="n"/>
      <c r="L487" s="8" t="n"/>
      <c r="M487" s="5" t="n"/>
      <c r="N487" s="16" t="n"/>
      <c r="O487" s="5" t="n"/>
      <c r="P487" s="5" t="n"/>
      <c r="Q487" s="5" t="n"/>
      <c r="R487" s="5" t="n"/>
      <c r="S487" s="5" t="n"/>
      <c r="T487" s="5" t="n"/>
      <c r="U487" s="5" t="n"/>
      <c r="V487" s="5" t="n"/>
      <c r="W487" s="5" t="n"/>
      <c r="X487" s="5" t="n"/>
      <c r="Y487" s="5" t="n"/>
      <c r="Z487" s="5" t="n"/>
      <c r="AA487" s="5" t="n"/>
    </row>
    <row r="488" ht="15.75" customHeight="1">
      <c r="A488" s="5" t="n"/>
      <c r="B488" s="6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8" t="n"/>
      <c r="L488" s="8" t="n"/>
      <c r="M488" s="5" t="n"/>
      <c r="N488" s="16" t="n"/>
      <c r="O488" s="5" t="n"/>
      <c r="P488" s="5" t="n"/>
      <c r="Q488" s="5" t="n"/>
      <c r="R488" s="5" t="n"/>
      <c r="S488" s="5" t="n"/>
      <c r="T488" s="5" t="n"/>
      <c r="U488" s="5" t="n"/>
      <c r="V488" s="5" t="n"/>
      <c r="W488" s="5" t="n"/>
      <c r="X488" s="5" t="n"/>
      <c r="Y488" s="5" t="n"/>
      <c r="Z488" s="5" t="n"/>
      <c r="AA488" s="5" t="n"/>
    </row>
    <row r="489" ht="15.75" customHeight="1">
      <c r="A489" s="5" t="n"/>
      <c r="B489" s="6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8" t="n"/>
      <c r="L489" s="8" t="n"/>
      <c r="M489" s="5" t="n"/>
      <c r="N489" s="16" t="n"/>
      <c r="O489" s="5" t="n"/>
      <c r="P489" s="5" t="n"/>
      <c r="Q489" s="5" t="n"/>
      <c r="R489" s="5" t="n"/>
      <c r="S489" s="5" t="n"/>
      <c r="T489" s="5" t="n"/>
      <c r="U489" s="5" t="n"/>
      <c r="V489" s="5" t="n"/>
      <c r="W489" s="5" t="n"/>
      <c r="X489" s="5" t="n"/>
      <c r="Y489" s="5" t="n"/>
      <c r="Z489" s="5" t="n"/>
      <c r="AA489" s="5" t="n"/>
    </row>
    <row r="490" ht="15.75" customHeight="1">
      <c r="A490" s="5" t="n"/>
      <c r="B490" s="6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8" t="n"/>
      <c r="L490" s="8" t="n"/>
      <c r="M490" s="5" t="n"/>
      <c r="N490" s="16" t="n"/>
      <c r="O490" s="5" t="n"/>
      <c r="P490" s="5" t="n"/>
      <c r="Q490" s="5" t="n"/>
      <c r="R490" s="5" t="n"/>
      <c r="S490" s="5" t="n"/>
      <c r="T490" s="5" t="n"/>
      <c r="U490" s="5" t="n"/>
      <c r="V490" s="5" t="n"/>
      <c r="W490" s="5" t="n"/>
      <c r="X490" s="5" t="n"/>
      <c r="Y490" s="5" t="n"/>
      <c r="Z490" s="5" t="n"/>
      <c r="AA490" s="5" t="n"/>
    </row>
    <row r="491" ht="15.75" customHeight="1">
      <c r="A491" s="5" t="n"/>
      <c r="B491" s="6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8" t="n"/>
      <c r="L491" s="8" t="n"/>
      <c r="M491" s="5" t="n"/>
      <c r="N491" s="16" t="n"/>
      <c r="O491" s="5" t="n"/>
      <c r="P491" s="5" t="n"/>
      <c r="Q491" s="5" t="n"/>
      <c r="R491" s="5" t="n"/>
      <c r="S491" s="5" t="n"/>
      <c r="T491" s="5" t="n"/>
      <c r="U491" s="5" t="n"/>
      <c r="V491" s="5" t="n"/>
      <c r="W491" s="5" t="n"/>
      <c r="X491" s="5" t="n"/>
      <c r="Y491" s="5" t="n"/>
      <c r="Z491" s="5" t="n"/>
      <c r="AA491" s="5" t="n"/>
    </row>
    <row r="492" ht="15.75" customHeight="1">
      <c r="A492" s="5" t="n"/>
      <c r="B492" s="6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8" t="n"/>
      <c r="L492" s="8" t="n"/>
      <c r="M492" s="5" t="n"/>
      <c r="N492" s="16" t="n"/>
      <c r="O492" s="5" t="n"/>
      <c r="P492" s="5" t="n"/>
      <c r="Q492" s="5" t="n"/>
      <c r="R492" s="5" t="n"/>
      <c r="S492" s="5" t="n"/>
      <c r="T492" s="5" t="n"/>
      <c r="U492" s="5" t="n"/>
      <c r="V492" s="5" t="n"/>
      <c r="W492" s="5" t="n"/>
      <c r="X492" s="5" t="n"/>
      <c r="Y492" s="5" t="n"/>
      <c r="Z492" s="5" t="n"/>
      <c r="AA492" s="5" t="n"/>
    </row>
    <row r="493" ht="15.75" customHeight="1">
      <c r="A493" s="5" t="n"/>
      <c r="B493" s="6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8" t="n"/>
      <c r="L493" s="8" t="n"/>
      <c r="M493" s="5" t="n"/>
      <c r="N493" s="16" t="n"/>
      <c r="O493" s="5" t="n"/>
      <c r="P493" s="5" t="n"/>
      <c r="Q493" s="5" t="n"/>
      <c r="R493" s="5" t="n"/>
      <c r="S493" s="5" t="n"/>
      <c r="T493" s="5" t="n"/>
      <c r="U493" s="5" t="n"/>
      <c r="V493" s="5" t="n"/>
      <c r="W493" s="5" t="n"/>
      <c r="X493" s="5" t="n"/>
      <c r="Y493" s="5" t="n"/>
      <c r="Z493" s="5" t="n"/>
      <c r="AA493" s="5" t="n"/>
    </row>
    <row r="494" ht="15.75" customHeight="1">
      <c r="A494" s="5" t="n"/>
      <c r="B494" s="6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8" t="n"/>
      <c r="L494" s="8" t="n"/>
      <c r="M494" s="5" t="n"/>
      <c r="N494" s="16" t="n"/>
      <c r="O494" s="5" t="n"/>
      <c r="P494" s="5" t="n"/>
      <c r="Q494" s="5" t="n"/>
      <c r="R494" s="5" t="n"/>
      <c r="S494" s="5" t="n"/>
      <c r="T494" s="5" t="n"/>
      <c r="U494" s="5" t="n"/>
      <c r="V494" s="5" t="n"/>
      <c r="W494" s="5" t="n"/>
      <c r="X494" s="5" t="n"/>
      <c r="Y494" s="5" t="n"/>
      <c r="Z494" s="5" t="n"/>
      <c r="AA494" s="5" t="n"/>
    </row>
    <row r="495" ht="15.75" customHeight="1">
      <c r="A495" s="5" t="n"/>
      <c r="B495" s="6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8" t="n"/>
      <c r="L495" s="8" t="n"/>
      <c r="M495" s="5" t="n"/>
      <c r="N495" s="16" t="n"/>
      <c r="O495" s="5" t="n"/>
      <c r="P495" s="5" t="n"/>
      <c r="Q495" s="5" t="n"/>
      <c r="R495" s="5" t="n"/>
      <c r="S495" s="5" t="n"/>
      <c r="T495" s="5" t="n"/>
      <c r="U495" s="5" t="n"/>
      <c r="V495" s="5" t="n"/>
      <c r="W495" s="5" t="n"/>
      <c r="X495" s="5" t="n"/>
      <c r="Y495" s="5" t="n"/>
      <c r="Z495" s="5" t="n"/>
      <c r="AA495" s="5" t="n"/>
    </row>
    <row r="496" ht="15.75" customHeight="1">
      <c r="A496" s="5" t="n"/>
      <c r="B496" s="6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8" t="n"/>
      <c r="L496" s="8" t="n"/>
      <c r="M496" s="5" t="n"/>
      <c r="N496" s="16" t="n"/>
      <c r="O496" s="5" t="n"/>
      <c r="P496" s="5" t="n"/>
      <c r="Q496" s="5" t="n"/>
      <c r="R496" s="5" t="n"/>
      <c r="S496" s="5" t="n"/>
      <c r="T496" s="5" t="n"/>
      <c r="U496" s="5" t="n"/>
      <c r="V496" s="5" t="n"/>
      <c r="W496" s="5" t="n"/>
      <c r="X496" s="5" t="n"/>
      <c r="Y496" s="5" t="n"/>
      <c r="Z496" s="5" t="n"/>
      <c r="AA496" s="5" t="n"/>
    </row>
    <row r="497" ht="15.75" customHeight="1">
      <c r="A497" s="5" t="n"/>
      <c r="B497" s="6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8" t="n"/>
      <c r="L497" s="8" t="n"/>
      <c r="M497" s="5" t="n"/>
      <c r="N497" s="16" t="n"/>
      <c r="O497" s="5" t="n"/>
      <c r="P497" s="5" t="n"/>
      <c r="Q497" s="5" t="n"/>
      <c r="R497" s="5" t="n"/>
      <c r="S497" s="5" t="n"/>
      <c r="T497" s="5" t="n"/>
      <c r="U497" s="5" t="n"/>
      <c r="V497" s="5" t="n"/>
      <c r="W497" s="5" t="n"/>
      <c r="X497" s="5" t="n"/>
      <c r="Y497" s="5" t="n"/>
      <c r="Z497" s="5" t="n"/>
      <c r="AA497" s="5" t="n"/>
    </row>
    <row r="498" ht="15.75" customHeight="1">
      <c r="A498" s="5" t="n"/>
      <c r="B498" s="6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8" t="n"/>
      <c r="L498" s="8" t="n"/>
      <c r="M498" s="5" t="n"/>
      <c r="N498" s="16" t="n"/>
      <c r="O498" s="5" t="n"/>
      <c r="P498" s="5" t="n"/>
      <c r="Q498" s="5" t="n"/>
      <c r="R498" s="5" t="n"/>
      <c r="S498" s="5" t="n"/>
      <c r="T498" s="5" t="n"/>
      <c r="U498" s="5" t="n"/>
      <c r="V498" s="5" t="n"/>
      <c r="W498" s="5" t="n"/>
      <c r="X498" s="5" t="n"/>
      <c r="Y498" s="5" t="n"/>
      <c r="Z498" s="5" t="n"/>
      <c r="AA498" s="5" t="n"/>
    </row>
    <row r="499" ht="15.75" customHeight="1">
      <c r="A499" s="5" t="n"/>
      <c r="B499" s="6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8" t="n"/>
      <c r="L499" s="8" t="n"/>
      <c r="M499" s="5" t="n"/>
      <c r="N499" s="16" t="n"/>
      <c r="O499" s="5" t="n"/>
      <c r="P499" s="5" t="n"/>
      <c r="Q499" s="5" t="n"/>
      <c r="R499" s="5" t="n"/>
      <c r="S499" s="5" t="n"/>
      <c r="T499" s="5" t="n"/>
      <c r="U499" s="5" t="n"/>
      <c r="V499" s="5" t="n"/>
      <c r="W499" s="5" t="n"/>
      <c r="X499" s="5" t="n"/>
      <c r="Y499" s="5" t="n"/>
      <c r="Z499" s="5" t="n"/>
      <c r="AA499" s="5" t="n"/>
    </row>
    <row r="500" ht="15.75" customHeight="1">
      <c r="A500" s="5" t="n"/>
      <c r="B500" s="6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8" t="n"/>
      <c r="L500" s="8" t="n"/>
      <c r="M500" s="5" t="n"/>
      <c r="N500" s="16" t="n"/>
      <c r="O500" s="5" t="n"/>
      <c r="P500" s="5" t="n"/>
      <c r="Q500" s="5" t="n"/>
      <c r="R500" s="5" t="n"/>
      <c r="S500" s="5" t="n"/>
      <c r="T500" s="5" t="n"/>
      <c r="U500" s="5" t="n"/>
      <c r="V500" s="5" t="n"/>
      <c r="W500" s="5" t="n"/>
      <c r="X500" s="5" t="n"/>
      <c r="Y500" s="5" t="n"/>
      <c r="Z500" s="5" t="n"/>
      <c r="AA500" s="5" t="n"/>
    </row>
    <row r="501" ht="15.75" customHeight="1">
      <c r="A501" s="5" t="n"/>
      <c r="B501" s="6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8" t="n"/>
      <c r="L501" s="8" t="n"/>
      <c r="M501" s="5" t="n"/>
      <c r="N501" s="16" t="n"/>
      <c r="O501" s="5" t="n"/>
      <c r="P501" s="5" t="n"/>
      <c r="Q501" s="5" t="n"/>
      <c r="R501" s="5" t="n"/>
      <c r="S501" s="5" t="n"/>
      <c r="T501" s="5" t="n"/>
      <c r="U501" s="5" t="n"/>
      <c r="V501" s="5" t="n"/>
      <c r="W501" s="5" t="n"/>
      <c r="X501" s="5" t="n"/>
      <c r="Y501" s="5" t="n"/>
      <c r="Z501" s="5" t="n"/>
      <c r="AA501" s="5" t="n"/>
    </row>
    <row r="502" ht="15.75" customHeight="1">
      <c r="A502" s="5" t="n"/>
      <c r="B502" s="6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8" t="n"/>
      <c r="L502" s="8" t="n"/>
      <c r="M502" s="5" t="n"/>
      <c r="N502" s="16" t="n"/>
      <c r="O502" s="5" t="n"/>
      <c r="P502" s="5" t="n"/>
      <c r="Q502" s="5" t="n"/>
      <c r="R502" s="5" t="n"/>
      <c r="S502" s="5" t="n"/>
      <c r="T502" s="5" t="n"/>
      <c r="U502" s="5" t="n"/>
      <c r="V502" s="5" t="n"/>
      <c r="W502" s="5" t="n"/>
      <c r="X502" s="5" t="n"/>
      <c r="Y502" s="5" t="n"/>
      <c r="Z502" s="5" t="n"/>
      <c r="AA502" s="5" t="n"/>
    </row>
    <row r="503" ht="15.75" customHeight="1">
      <c r="A503" s="5" t="n"/>
      <c r="B503" s="6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8" t="n"/>
      <c r="L503" s="8" t="n"/>
      <c r="M503" s="5" t="n"/>
      <c r="N503" s="16" t="n"/>
      <c r="O503" s="5" t="n"/>
      <c r="P503" s="5" t="n"/>
      <c r="Q503" s="5" t="n"/>
      <c r="R503" s="5" t="n"/>
      <c r="S503" s="5" t="n"/>
      <c r="T503" s="5" t="n"/>
      <c r="U503" s="5" t="n"/>
      <c r="V503" s="5" t="n"/>
      <c r="W503" s="5" t="n"/>
      <c r="X503" s="5" t="n"/>
      <c r="Y503" s="5" t="n"/>
      <c r="Z503" s="5" t="n"/>
      <c r="AA503" s="5" t="n"/>
    </row>
    <row r="504" ht="15.75" customHeight="1">
      <c r="A504" s="5" t="n"/>
      <c r="B504" s="6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8" t="n"/>
      <c r="L504" s="8" t="n"/>
      <c r="M504" s="5" t="n"/>
      <c r="N504" s="16" t="n"/>
      <c r="O504" s="5" t="n"/>
      <c r="P504" s="5" t="n"/>
      <c r="Q504" s="5" t="n"/>
      <c r="R504" s="5" t="n"/>
      <c r="S504" s="5" t="n"/>
      <c r="T504" s="5" t="n"/>
      <c r="U504" s="5" t="n"/>
      <c r="V504" s="5" t="n"/>
      <c r="W504" s="5" t="n"/>
      <c r="X504" s="5" t="n"/>
      <c r="Y504" s="5" t="n"/>
      <c r="Z504" s="5" t="n"/>
      <c r="AA504" s="5" t="n"/>
    </row>
    <row r="505" ht="15.75" customHeight="1">
      <c r="A505" s="5" t="n"/>
      <c r="B505" s="6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8" t="n"/>
      <c r="L505" s="8" t="n"/>
      <c r="M505" s="5" t="n"/>
      <c r="N505" s="16" t="n"/>
      <c r="O505" s="5" t="n"/>
      <c r="P505" s="5" t="n"/>
      <c r="Q505" s="5" t="n"/>
      <c r="R505" s="5" t="n"/>
      <c r="S505" s="5" t="n"/>
      <c r="T505" s="5" t="n"/>
      <c r="U505" s="5" t="n"/>
      <c r="V505" s="5" t="n"/>
      <c r="W505" s="5" t="n"/>
      <c r="X505" s="5" t="n"/>
      <c r="Y505" s="5" t="n"/>
      <c r="Z505" s="5" t="n"/>
      <c r="AA505" s="5" t="n"/>
    </row>
    <row r="506" ht="15.75" customHeight="1">
      <c r="A506" s="5" t="n"/>
      <c r="B506" s="6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8" t="n"/>
      <c r="L506" s="8" t="n"/>
      <c r="M506" s="5" t="n"/>
      <c r="N506" s="16" t="n"/>
      <c r="O506" s="5" t="n"/>
      <c r="P506" s="5" t="n"/>
      <c r="Q506" s="5" t="n"/>
      <c r="R506" s="5" t="n"/>
      <c r="S506" s="5" t="n"/>
      <c r="T506" s="5" t="n"/>
      <c r="U506" s="5" t="n"/>
      <c r="V506" s="5" t="n"/>
      <c r="W506" s="5" t="n"/>
      <c r="X506" s="5" t="n"/>
      <c r="Y506" s="5" t="n"/>
      <c r="Z506" s="5" t="n"/>
      <c r="AA506" s="5" t="n"/>
    </row>
    <row r="507" ht="15.75" customHeight="1">
      <c r="A507" s="5" t="n"/>
      <c r="B507" s="6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8" t="n"/>
      <c r="L507" s="8" t="n"/>
      <c r="M507" s="5" t="n"/>
      <c r="N507" s="16" t="n"/>
      <c r="O507" s="5" t="n"/>
      <c r="P507" s="5" t="n"/>
      <c r="Q507" s="5" t="n"/>
      <c r="R507" s="5" t="n"/>
      <c r="S507" s="5" t="n"/>
      <c r="T507" s="5" t="n"/>
      <c r="U507" s="5" t="n"/>
      <c r="V507" s="5" t="n"/>
      <c r="W507" s="5" t="n"/>
      <c r="X507" s="5" t="n"/>
      <c r="Y507" s="5" t="n"/>
      <c r="Z507" s="5" t="n"/>
      <c r="AA507" s="5" t="n"/>
    </row>
    <row r="508" ht="15.75" customHeight="1">
      <c r="A508" s="5" t="n"/>
      <c r="B508" s="6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8" t="n"/>
      <c r="L508" s="8" t="n"/>
      <c r="M508" s="5" t="n"/>
      <c r="N508" s="16" t="n"/>
      <c r="O508" s="5" t="n"/>
      <c r="P508" s="5" t="n"/>
      <c r="Q508" s="5" t="n"/>
      <c r="R508" s="5" t="n"/>
      <c r="S508" s="5" t="n"/>
      <c r="T508" s="5" t="n"/>
      <c r="U508" s="5" t="n"/>
      <c r="V508" s="5" t="n"/>
      <c r="W508" s="5" t="n"/>
      <c r="X508" s="5" t="n"/>
      <c r="Y508" s="5" t="n"/>
      <c r="Z508" s="5" t="n"/>
      <c r="AA508" s="5" t="n"/>
    </row>
    <row r="509" ht="15.75" customHeight="1">
      <c r="A509" s="5" t="n"/>
      <c r="B509" s="6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8" t="n"/>
      <c r="L509" s="8" t="n"/>
      <c r="M509" s="5" t="n"/>
      <c r="N509" s="16" t="n"/>
      <c r="O509" s="5" t="n"/>
      <c r="P509" s="5" t="n"/>
      <c r="Q509" s="5" t="n"/>
      <c r="R509" s="5" t="n"/>
      <c r="S509" s="5" t="n"/>
      <c r="T509" s="5" t="n"/>
      <c r="U509" s="5" t="n"/>
      <c r="V509" s="5" t="n"/>
      <c r="W509" s="5" t="n"/>
      <c r="X509" s="5" t="n"/>
      <c r="Y509" s="5" t="n"/>
      <c r="Z509" s="5" t="n"/>
      <c r="AA509" s="5" t="n"/>
    </row>
    <row r="510" ht="15.75" customHeight="1">
      <c r="A510" s="5" t="n"/>
      <c r="B510" s="6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8" t="n"/>
      <c r="L510" s="8" t="n"/>
      <c r="M510" s="5" t="n"/>
      <c r="N510" s="16" t="n"/>
      <c r="O510" s="5" t="n"/>
      <c r="P510" s="5" t="n"/>
      <c r="Q510" s="5" t="n"/>
      <c r="R510" s="5" t="n"/>
      <c r="S510" s="5" t="n"/>
      <c r="T510" s="5" t="n"/>
      <c r="U510" s="5" t="n"/>
      <c r="V510" s="5" t="n"/>
      <c r="W510" s="5" t="n"/>
      <c r="X510" s="5" t="n"/>
      <c r="Y510" s="5" t="n"/>
      <c r="Z510" s="5" t="n"/>
      <c r="AA510" s="5" t="n"/>
    </row>
    <row r="511" ht="15.75" customHeight="1">
      <c r="A511" s="5" t="n"/>
      <c r="B511" s="6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8" t="n"/>
      <c r="L511" s="8" t="n"/>
      <c r="M511" s="5" t="n"/>
      <c r="N511" s="16" t="n"/>
      <c r="O511" s="5" t="n"/>
      <c r="P511" s="5" t="n"/>
      <c r="Q511" s="5" t="n"/>
      <c r="R511" s="5" t="n"/>
      <c r="S511" s="5" t="n"/>
      <c r="T511" s="5" t="n"/>
      <c r="U511" s="5" t="n"/>
      <c r="V511" s="5" t="n"/>
      <c r="W511" s="5" t="n"/>
      <c r="X511" s="5" t="n"/>
      <c r="Y511" s="5" t="n"/>
      <c r="Z511" s="5" t="n"/>
      <c r="AA511" s="5" t="n"/>
    </row>
    <row r="512" ht="15.75" customHeight="1">
      <c r="A512" s="5" t="n"/>
      <c r="B512" s="6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8" t="n"/>
      <c r="L512" s="8" t="n"/>
      <c r="M512" s="5" t="n"/>
      <c r="N512" s="16" t="n"/>
      <c r="O512" s="5" t="n"/>
      <c r="P512" s="5" t="n"/>
      <c r="Q512" s="5" t="n"/>
      <c r="R512" s="5" t="n"/>
      <c r="S512" s="5" t="n"/>
      <c r="T512" s="5" t="n"/>
      <c r="U512" s="5" t="n"/>
      <c r="V512" s="5" t="n"/>
      <c r="W512" s="5" t="n"/>
      <c r="X512" s="5" t="n"/>
      <c r="Y512" s="5" t="n"/>
      <c r="Z512" s="5" t="n"/>
      <c r="AA512" s="5" t="n"/>
    </row>
    <row r="513" ht="15.75" customHeight="1">
      <c r="A513" s="5" t="n"/>
      <c r="B513" s="6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8" t="n"/>
      <c r="L513" s="8" t="n"/>
      <c r="M513" s="5" t="n"/>
      <c r="N513" s="16" t="n"/>
      <c r="O513" s="5" t="n"/>
      <c r="P513" s="5" t="n"/>
      <c r="Q513" s="5" t="n"/>
      <c r="R513" s="5" t="n"/>
      <c r="S513" s="5" t="n"/>
      <c r="T513" s="5" t="n"/>
      <c r="U513" s="5" t="n"/>
      <c r="V513" s="5" t="n"/>
      <c r="W513" s="5" t="n"/>
      <c r="X513" s="5" t="n"/>
      <c r="Y513" s="5" t="n"/>
      <c r="Z513" s="5" t="n"/>
      <c r="AA513" s="5" t="n"/>
    </row>
    <row r="514" ht="15.75" customHeight="1">
      <c r="A514" s="5" t="n"/>
      <c r="B514" s="6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8" t="n"/>
      <c r="L514" s="8" t="n"/>
      <c r="M514" s="5" t="n"/>
      <c r="N514" s="16" t="n"/>
      <c r="O514" s="5" t="n"/>
      <c r="P514" s="5" t="n"/>
      <c r="Q514" s="5" t="n"/>
      <c r="R514" s="5" t="n"/>
      <c r="S514" s="5" t="n"/>
      <c r="T514" s="5" t="n"/>
      <c r="U514" s="5" t="n"/>
      <c r="V514" s="5" t="n"/>
      <c r="W514" s="5" t="n"/>
      <c r="X514" s="5" t="n"/>
      <c r="Y514" s="5" t="n"/>
      <c r="Z514" s="5" t="n"/>
      <c r="AA514" s="5" t="n"/>
    </row>
    <row r="515" ht="15.75" customHeight="1">
      <c r="A515" s="5" t="n"/>
      <c r="B515" s="6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8" t="n"/>
      <c r="L515" s="8" t="n"/>
      <c r="M515" s="5" t="n"/>
      <c r="N515" s="16" t="n"/>
      <c r="O515" s="5" t="n"/>
      <c r="P515" s="5" t="n"/>
      <c r="Q515" s="5" t="n"/>
      <c r="R515" s="5" t="n"/>
      <c r="S515" s="5" t="n"/>
      <c r="T515" s="5" t="n"/>
      <c r="U515" s="5" t="n"/>
      <c r="V515" s="5" t="n"/>
      <c r="W515" s="5" t="n"/>
      <c r="X515" s="5" t="n"/>
      <c r="Y515" s="5" t="n"/>
      <c r="Z515" s="5" t="n"/>
      <c r="AA515" s="5" t="n"/>
    </row>
    <row r="516" ht="15.75" customHeight="1">
      <c r="A516" s="5" t="n"/>
      <c r="B516" s="6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8" t="n"/>
      <c r="L516" s="8" t="n"/>
      <c r="M516" s="5" t="n"/>
      <c r="N516" s="16" t="n"/>
      <c r="O516" s="5" t="n"/>
      <c r="P516" s="5" t="n"/>
      <c r="Q516" s="5" t="n"/>
      <c r="R516" s="5" t="n"/>
      <c r="S516" s="5" t="n"/>
      <c r="T516" s="5" t="n"/>
      <c r="U516" s="5" t="n"/>
      <c r="V516" s="5" t="n"/>
      <c r="W516" s="5" t="n"/>
      <c r="X516" s="5" t="n"/>
      <c r="Y516" s="5" t="n"/>
      <c r="Z516" s="5" t="n"/>
      <c r="AA516" s="5" t="n"/>
    </row>
    <row r="517" ht="15.75" customHeight="1">
      <c r="A517" s="5" t="n"/>
      <c r="B517" s="6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8" t="n"/>
      <c r="L517" s="8" t="n"/>
      <c r="M517" s="5" t="n"/>
      <c r="N517" s="16" t="n"/>
      <c r="O517" s="5" t="n"/>
      <c r="P517" s="5" t="n"/>
      <c r="Q517" s="5" t="n"/>
      <c r="R517" s="5" t="n"/>
      <c r="S517" s="5" t="n"/>
      <c r="T517" s="5" t="n"/>
      <c r="U517" s="5" t="n"/>
      <c r="V517" s="5" t="n"/>
      <c r="W517" s="5" t="n"/>
      <c r="X517" s="5" t="n"/>
      <c r="Y517" s="5" t="n"/>
      <c r="Z517" s="5" t="n"/>
      <c r="AA517" s="5" t="n"/>
    </row>
    <row r="518" ht="15.75" customHeight="1">
      <c r="A518" s="5" t="n"/>
      <c r="B518" s="6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8" t="n"/>
      <c r="L518" s="8" t="n"/>
      <c r="M518" s="5" t="n"/>
      <c r="N518" s="16" t="n"/>
      <c r="O518" s="5" t="n"/>
      <c r="P518" s="5" t="n"/>
      <c r="Q518" s="5" t="n"/>
      <c r="R518" s="5" t="n"/>
      <c r="S518" s="5" t="n"/>
      <c r="T518" s="5" t="n"/>
      <c r="U518" s="5" t="n"/>
      <c r="V518" s="5" t="n"/>
      <c r="W518" s="5" t="n"/>
      <c r="X518" s="5" t="n"/>
      <c r="Y518" s="5" t="n"/>
      <c r="Z518" s="5" t="n"/>
      <c r="AA518" s="5" t="n"/>
    </row>
    <row r="519" ht="15.75" customHeight="1">
      <c r="A519" s="5" t="n"/>
      <c r="B519" s="6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8" t="n"/>
      <c r="L519" s="8" t="n"/>
      <c r="M519" s="5" t="n"/>
      <c r="N519" s="16" t="n"/>
      <c r="O519" s="5" t="n"/>
      <c r="P519" s="5" t="n"/>
      <c r="Q519" s="5" t="n"/>
      <c r="R519" s="5" t="n"/>
      <c r="S519" s="5" t="n"/>
      <c r="T519" s="5" t="n"/>
      <c r="U519" s="5" t="n"/>
      <c r="V519" s="5" t="n"/>
      <c r="W519" s="5" t="n"/>
      <c r="X519" s="5" t="n"/>
      <c r="Y519" s="5" t="n"/>
      <c r="Z519" s="5" t="n"/>
      <c r="AA519" s="5" t="n"/>
    </row>
    <row r="520" ht="15.75" customHeight="1">
      <c r="A520" s="5" t="n"/>
      <c r="B520" s="6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8" t="n"/>
      <c r="L520" s="8" t="n"/>
      <c r="M520" s="5" t="n"/>
      <c r="N520" s="16" t="n"/>
      <c r="O520" s="5" t="n"/>
      <c r="P520" s="5" t="n"/>
      <c r="Q520" s="5" t="n"/>
      <c r="R520" s="5" t="n"/>
      <c r="S520" s="5" t="n"/>
      <c r="T520" s="5" t="n"/>
      <c r="U520" s="5" t="n"/>
      <c r="V520" s="5" t="n"/>
      <c r="W520" s="5" t="n"/>
      <c r="X520" s="5" t="n"/>
      <c r="Y520" s="5" t="n"/>
      <c r="Z520" s="5" t="n"/>
      <c r="AA520" s="5" t="n"/>
    </row>
    <row r="521" ht="15.75" customHeight="1">
      <c r="A521" s="5" t="n"/>
      <c r="B521" s="6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8" t="n"/>
      <c r="L521" s="8" t="n"/>
      <c r="M521" s="5" t="n"/>
      <c r="N521" s="16" t="n"/>
      <c r="O521" s="5" t="n"/>
      <c r="P521" s="5" t="n"/>
      <c r="Q521" s="5" t="n"/>
      <c r="R521" s="5" t="n"/>
      <c r="S521" s="5" t="n"/>
      <c r="T521" s="5" t="n"/>
      <c r="U521" s="5" t="n"/>
      <c r="V521" s="5" t="n"/>
      <c r="W521" s="5" t="n"/>
      <c r="X521" s="5" t="n"/>
      <c r="Y521" s="5" t="n"/>
      <c r="Z521" s="5" t="n"/>
      <c r="AA521" s="5" t="n"/>
    </row>
    <row r="522" ht="15.75" customHeight="1">
      <c r="A522" s="5" t="n"/>
      <c r="B522" s="6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8" t="n"/>
      <c r="L522" s="8" t="n"/>
      <c r="M522" s="5" t="n"/>
      <c r="N522" s="16" t="n"/>
      <c r="O522" s="5" t="n"/>
      <c r="P522" s="5" t="n"/>
      <c r="Q522" s="5" t="n"/>
      <c r="R522" s="5" t="n"/>
      <c r="S522" s="5" t="n"/>
      <c r="T522" s="5" t="n"/>
      <c r="U522" s="5" t="n"/>
      <c r="V522" s="5" t="n"/>
      <c r="W522" s="5" t="n"/>
      <c r="X522" s="5" t="n"/>
      <c r="Y522" s="5" t="n"/>
      <c r="Z522" s="5" t="n"/>
      <c r="AA522" s="5" t="n"/>
    </row>
    <row r="523" ht="15.75" customHeight="1">
      <c r="A523" s="5" t="n"/>
      <c r="B523" s="6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8" t="n"/>
      <c r="L523" s="8" t="n"/>
      <c r="M523" s="5" t="n"/>
      <c r="N523" s="16" t="n"/>
      <c r="O523" s="5" t="n"/>
      <c r="P523" s="5" t="n"/>
      <c r="Q523" s="5" t="n"/>
      <c r="R523" s="5" t="n"/>
      <c r="S523" s="5" t="n"/>
      <c r="T523" s="5" t="n"/>
      <c r="U523" s="5" t="n"/>
      <c r="V523" s="5" t="n"/>
      <c r="W523" s="5" t="n"/>
      <c r="X523" s="5" t="n"/>
      <c r="Y523" s="5" t="n"/>
      <c r="Z523" s="5" t="n"/>
      <c r="AA523" s="5" t="n"/>
    </row>
    <row r="524" ht="15.75" customHeight="1">
      <c r="A524" s="5" t="n"/>
      <c r="B524" s="6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8" t="n"/>
      <c r="L524" s="8" t="n"/>
      <c r="M524" s="5" t="n"/>
      <c r="N524" s="16" t="n"/>
      <c r="O524" s="5" t="n"/>
      <c r="P524" s="5" t="n"/>
      <c r="Q524" s="5" t="n"/>
      <c r="R524" s="5" t="n"/>
      <c r="S524" s="5" t="n"/>
      <c r="T524" s="5" t="n"/>
      <c r="U524" s="5" t="n"/>
      <c r="V524" s="5" t="n"/>
      <c r="W524" s="5" t="n"/>
      <c r="X524" s="5" t="n"/>
      <c r="Y524" s="5" t="n"/>
      <c r="Z524" s="5" t="n"/>
      <c r="AA524" s="5" t="n"/>
    </row>
    <row r="525" ht="15.75" customHeight="1">
      <c r="A525" s="5" t="n"/>
      <c r="B525" s="6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8" t="n"/>
      <c r="L525" s="8" t="n"/>
      <c r="M525" s="5" t="n"/>
      <c r="N525" s="16" t="n"/>
      <c r="O525" s="5" t="n"/>
      <c r="P525" s="5" t="n"/>
      <c r="Q525" s="5" t="n"/>
      <c r="R525" s="5" t="n"/>
      <c r="S525" s="5" t="n"/>
      <c r="T525" s="5" t="n"/>
      <c r="U525" s="5" t="n"/>
      <c r="V525" s="5" t="n"/>
      <c r="W525" s="5" t="n"/>
      <c r="X525" s="5" t="n"/>
      <c r="Y525" s="5" t="n"/>
      <c r="Z525" s="5" t="n"/>
      <c r="AA525" s="5" t="n"/>
    </row>
    <row r="526" ht="15.75" customHeight="1">
      <c r="A526" s="5" t="n"/>
      <c r="B526" s="6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8" t="n"/>
      <c r="L526" s="8" t="n"/>
      <c r="M526" s="5" t="n"/>
      <c r="N526" s="16" t="n"/>
      <c r="O526" s="5" t="n"/>
      <c r="P526" s="5" t="n"/>
      <c r="Q526" s="5" t="n"/>
      <c r="R526" s="5" t="n"/>
      <c r="S526" s="5" t="n"/>
      <c r="T526" s="5" t="n"/>
      <c r="U526" s="5" t="n"/>
      <c r="V526" s="5" t="n"/>
      <c r="W526" s="5" t="n"/>
      <c r="X526" s="5" t="n"/>
      <c r="Y526" s="5" t="n"/>
      <c r="Z526" s="5" t="n"/>
      <c r="AA526" s="5" t="n"/>
    </row>
    <row r="527" ht="15.75" customHeight="1">
      <c r="A527" s="5" t="n"/>
      <c r="B527" s="6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8" t="n"/>
      <c r="L527" s="8" t="n"/>
      <c r="M527" s="5" t="n"/>
      <c r="N527" s="16" t="n"/>
      <c r="O527" s="5" t="n"/>
      <c r="P527" s="5" t="n"/>
      <c r="Q527" s="5" t="n"/>
      <c r="R527" s="5" t="n"/>
      <c r="S527" s="5" t="n"/>
      <c r="T527" s="5" t="n"/>
      <c r="U527" s="5" t="n"/>
      <c r="V527" s="5" t="n"/>
      <c r="W527" s="5" t="n"/>
      <c r="X527" s="5" t="n"/>
      <c r="Y527" s="5" t="n"/>
      <c r="Z527" s="5" t="n"/>
      <c r="AA527" s="5" t="n"/>
    </row>
    <row r="528" ht="15.75" customHeight="1">
      <c r="A528" s="5" t="n"/>
      <c r="B528" s="6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8" t="n"/>
      <c r="L528" s="8" t="n"/>
      <c r="M528" s="5" t="n"/>
      <c r="N528" s="16" t="n"/>
      <c r="O528" s="5" t="n"/>
      <c r="P528" s="5" t="n"/>
      <c r="Q528" s="5" t="n"/>
      <c r="R528" s="5" t="n"/>
      <c r="S528" s="5" t="n"/>
      <c r="T528" s="5" t="n"/>
      <c r="U528" s="5" t="n"/>
      <c r="V528" s="5" t="n"/>
      <c r="W528" s="5" t="n"/>
      <c r="X528" s="5" t="n"/>
      <c r="Y528" s="5" t="n"/>
      <c r="Z528" s="5" t="n"/>
      <c r="AA528" s="5" t="n"/>
    </row>
    <row r="529" ht="15.75" customHeight="1">
      <c r="A529" s="5" t="n"/>
      <c r="B529" s="6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8" t="n"/>
      <c r="L529" s="8" t="n"/>
      <c r="M529" s="5" t="n"/>
      <c r="N529" s="16" t="n"/>
      <c r="O529" s="5" t="n"/>
      <c r="P529" s="5" t="n"/>
      <c r="Q529" s="5" t="n"/>
      <c r="R529" s="5" t="n"/>
      <c r="S529" s="5" t="n"/>
      <c r="T529" s="5" t="n"/>
      <c r="U529" s="5" t="n"/>
      <c r="V529" s="5" t="n"/>
      <c r="W529" s="5" t="n"/>
      <c r="X529" s="5" t="n"/>
      <c r="Y529" s="5" t="n"/>
      <c r="Z529" s="5" t="n"/>
      <c r="AA529" s="5" t="n"/>
    </row>
    <row r="530" ht="15.75" customHeight="1">
      <c r="A530" s="5" t="n"/>
      <c r="B530" s="6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8" t="n"/>
      <c r="L530" s="8" t="n"/>
      <c r="M530" s="5" t="n"/>
      <c r="N530" s="16" t="n"/>
      <c r="O530" s="5" t="n"/>
      <c r="P530" s="5" t="n"/>
      <c r="Q530" s="5" t="n"/>
      <c r="R530" s="5" t="n"/>
      <c r="S530" s="5" t="n"/>
      <c r="T530" s="5" t="n"/>
      <c r="U530" s="5" t="n"/>
      <c r="V530" s="5" t="n"/>
      <c r="W530" s="5" t="n"/>
      <c r="X530" s="5" t="n"/>
      <c r="Y530" s="5" t="n"/>
      <c r="Z530" s="5" t="n"/>
      <c r="AA530" s="5" t="n"/>
    </row>
    <row r="531" ht="15.75" customHeight="1">
      <c r="A531" s="5" t="n"/>
      <c r="B531" s="6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8" t="n"/>
      <c r="L531" s="8" t="n"/>
      <c r="M531" s="5" t="n"/>
      <c r="N531" s="16" t="n"/>
      <c r="O531" s="5" t="n"/>
      <c r="P531" s="5" t="n"/>
      <c r="Q531" s="5" t="n"/>
      <c r="R531" s="5" t="n"/>
      <c r="S531" s="5" t="n"/>
      <c r="T531" s="5" t="n"/>
      <c r="U531" s="5" t="n"/>
      <c r="V531" s="5" t="n"/>
      <c r="W531" s="5" t="n"/>
      <c r="X531" s="5" t="n"/>
      <c r="Y531" s="5" t="n"/>
      <c r="Z531" s="5" t="n"/>
      <c r="AA531" s="5" t="n"/>
    </row>
    <row r="532" ht="15.75" customHeight="1">
      <c r="A532" s="5" t="n"/>
      <c r="B532" s="6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8" t="n"/>
      <c r="L532" s="8" t="n"/>
      <c r="M532" s="5" t="n"/>
      <c r="N532" s="16" t="n"/>
      <c r="O532" s="5" t="n"/>
      <c r="P532" s="5" t="n"/>
      <c r="Q532" s="5" t="n"/>
      <c r="R532" s="5" t="n"/>
      <c r="S532" s="5" t="n"/>
      <c r="T532" s="5" t="n"/>
      <c r="U532" s="5" t="n"/>
      <c r="V532" s="5" t="n"/>
      <c r="W532" s="5" t="n"/>
      <c r="X532" s="5" t="n"/>
      <c r="Y532" s="5" t="n"/>
      <c r="Z532" s="5" t="n"/>
      <c r="AA532" s="5" t="n"/>
    </row>
    <row r="533" ht="15.75" customHeight="1">
      <c r="A533" s="5" t="n"/>
      <c r="B533" s="6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8" t="n"/>
      <c r="L533" s="8" t="n"/>
      <c r="M533" s="5" t="n"/>
      <c r="N533" s="16" t="n"/>
      <c r="O533" s="5" t="n"/>
      <c r="P533" s="5" t="n"/>
      <c r="Q533" s="5" t="n"/>
      <c r="R533" s="5" t="n"/>
      <c r="S533" s="5" t="n"/>
      <c r="T533" s="5" t="n"/>
      <c r="U533" s="5" t="n"/>
      <c r="V533" s="5" t="n"/>
      <c r="W533" s="5" t="n"/>
      <c r="X533" s="5" t="n"/>
      <c r="Y533" s="5" t="n"/>
      <c r="Z533" s="5" t="n"/>
      <c r="AA533" s="5" t="n"/>
    </row>
    <row r="534" ht="15.75" customHeight="1">
      <c r="A534" s="5" t="n"/>
      <c r="B534" s="6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8" t="n"/>
      <c r="L534" s="8" t="n"/>
      <c r="M534" s="5" t="n"/>
      <c r="N534" s="16" t="n"/>
      <c r="O534" s="5" t="n"/>
      <c r="P534" s="5" t="n"/>
      <c r="Q534" s="5" t="n"/>
      <c r="R534" s="5" t="n"/>
      <c r="S534" s="5" t="n"/>
      <c r="T534" s="5" t="n"/>
      <c r="U534" s="5" t="n"/>
      <c r="V534" s="5" t="n"/>
      <c r="W534" s="5" t="n"/>
      <c r="X534" s="5" t="n"/>
      <c r="Y534" s="5" t="n"/>
      <c r="Z534" s="5" t="n"/>
      <c r="AA534" s="5" t="n"/>
    </row>
    <row r="535" ht="15.75" customHeight="1">
      <c r="A535" s="5" t="n"/>
      <c r="B535" s="6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8" t="n"/>
      <c r="L535" s="8" t="n"/>
      <c r="M535" s="5" t="n"/>
      <c r="N535" s="16" t="n"/>
      <c r="O535" s="5" t="n"/>
      <c r="P535" s="5" t="n"/>
      <c r="Q535" s="5" t="n"/>
      <c r="R535" s="5" t="n"/>
      <c r="S535" s="5" t="n"/>
      <c r="T535" s="5" t="n"/>
      <c r="U535" s="5" t="n"/>
      <c r="V535" s="5" t="n"/>
      <c r="W535" s="5" t="n"/>
      <c r="X535" s="5" t="n"/>
      <c r="Y535" s="5" t="n"/>
      <c r="Z535" s="5" t="n"/>
      <c r="AA535" s="5" t="n"/>
    </row>
    <row r="536" ht="15.75" customHeight="1">
      <c r="A536" s="5" t="n"/>
      <c r="B536" s="6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8" t="n"/>
      <c r="L536" s="8" t="n"/>
      <c r="M536" s="5" t="n"/>
      <c r="N536" s="16" t="n"/>
      <c r="O536" s="5" t="n"/>
      <c r="P536" s="5" t="n"/>
      <c r="Q536" s="5" t="n"/>
      <c r="R536" s="5" t="n"/>
      <c r="S536" s="5" t="n"/>
      <c r="T536" s="5" t="n"/>
      <c r="U536" s="5" t="n"/>
      <c r="V536" s="5" t="n"/>
      <c r="W536" s="5" t="n"/>
      <c r="X536" s="5" t="n"/>
      <c r="Y536" s="5" t="n"/>
      <c r="Z536" s="5" t="n"/>
      <c r="AA536" s="5" t="n"/>
    </row>
    <row r="537" ht="15.75" customHeight="1">
      <c r="A537" s="5" t="n"/>
      <c r="B537" s="6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8" t="n"/>
      <c r="L537" s="8" t="n"/>
      <c r="M537" s="5" t="n"/>
      <c r="N537" s="16" t="n"/>
      <c r="O537" s="5" t="n"/>
      <c r="P537" s="5" t="n"/>
      <c r="Q537" s="5" t="n"/>
      <c r="R537" s="5" t="n"/>
      <c r="S537" s="5" t="n"/>
      <c r="T537" s="5" t="n"/>
      <c r="U537" s="5" t="n"/>
      <c r="V537" s="5" t="n"/>
      <c r="W537" s="5" t="n"/>
      <c r="X537" s="5" t="n"/>
      <c r="Y537" s="5" t="n"/>
      <c r="Z537" s="5" t="n"/>
      <c r="AA537" s="5" t="n"/>
    </row>
    <row r="538" ht="15.75" customHeight="1">
      <c r="A538" s="5" t="n"/>
      <c r="B538" s="6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8" t="n"/>
      <c r="L538" s="8" t="n"/>
      <c r="M538" s="5" t="n"/>
      <c r="N538" s="16" t="n"/>
      <c r="O538" s="5" t="n"/>
      <c r="P538" s="5" t="n"/>
      <c r="Q538" s="5" t="n"/>
      <c r="R538" s="5" t="n"/>
      <c r="S538" s="5" t="n"/>
      <c r="T538" s="5" t="n"/>
      <c r="U538" s="5" t="n"/>
      <c r="V538" s="5" t="n"/>
      <c r="W538" s="5" t="n"/>
      <c r="X538" s="5" t="n"/>
      <c r="Y538" s="5" t="n"/>
      <c r="Z538" s="5" t="n"/>
      <c r="AA538" s="5" t="n"/>
    </row>
    <row r="539" ht="15.75" customHeight="1">
      <c r="A539" s="5" t="n"/>
      <c r="B539" s="6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8" t="n"/>
      <c r="L539" s="8" t="n"/>
      <c r="M539" s="5" t="n"/>
      <c r="N539" s="16" t="n"/>
      <c r="O539" s="5" t="n"/>
      <c r="P539" s="5" t="n"/>
      <c r="Q539" s="5" t="n"/>
      <c r="R539" s="5" t="n"/>
      <c r="S539" s="5" t="n"/>
      <c r="T539" s="5" t="n"/>
      <c r="U539" s="5" t="n"/>
      <c r="V539" s="5" t="n"/>
      <c r="W539" s="5" t="n"/>
      <c r="X539" s="5" t="n"/>
      <c r="Y539" s="5" t="n"/>
      <c r="Z539" s="5" t="n"/>
      <c r="AA539" s="5" t="n"/>
    </row>
    <row r="540" ht="15.75" customHeight="1">
      <c r="A540" s="5" t="n"/>
      <c r="B540" s="6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8" t="n"/>
      <c r="L540" s="8" t="n"/>
      <c r="M540" s="5" t="n"/>
      <c r="N540" s="16" t="n"/>
      <c r="O540" s="5" t="n"/>
      <c r="P540" s="5" t="n"/>
      <c r="Q540" s="5" t="n"/>
      <c r="R540" s="5" t="n"/>
      <c r="S540" s="5" t="n"/>
      <c r="T540" s="5" t="n"/>
      <c r="U540" s="5" t="n"/>
      <c r="V540" s="5" t="n"/>
      <c r="W540" s="5" t="n"/>
      <c r="X540" s="5" t="n"/>
      <c r="Y540" s="5" t="n"/>
      <c r="Z540" s="5" t="n"/>
      <c r="AA540" s="5" t="n"/>
    </row>
    <row r="541" ht="15.75" customHeight="1">
      <c r="A541" s="5" t="n"/>
      <c r="B541" s="6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8" t="n"/>
      <c r="L541" s="8" t="n"/>
      <c r="M541" s="5" t="n"/>
      <c r="N541" s="16" t="n"/>
      <c r="O541" s="5" t="n"/>
      <c r="P541" s="5" t="n"/>
      <c r="Q541" s="5" t="n"/>
      <c r="R541" s="5" t="n"/>
      <c r="S541" s="5" t="n"/>
      <c r="T541" s="5" t="n"/>
      <c r="U541" s="5" t="n"/>
      <c r="V541" s="5" t="n"/>
      <c r="W541" s="5" t="n"/>
      <c r="X541" s="5" t="n"/>
      <c r="Y541" s="5" t="n"/>
      <c r="Z541" s="5" t="n"/>
      <c r="AA541" s="5" t="n"/>
    </row>
    <row r="542" ht="15.75" customHeight="1">
      <c r="A542" s="5" t="n"/>
      <c r="B542" s="6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8" t="n"/>
      <c r="L542" s="8" t="n"/>
      <c r="M542" s="5" t="n"/>
      <c r="N542" s="16" t="n"/>
      <c r="O542" s="5" t="n"/>
      <c r="P542" s="5" t="n"/>
      <c r="Q542" s="5" t="n"/>
      <c r="R542" s="5" t="n"/>
      <c r="S542" s="5" t="n"/>
      <c r="T542" s="5" t="n"/>
      <c r="U542" s="5" t="n"/>
      <c r="V542" s="5" t="n"/>
      <c r="W542" s="5" t="n"/>
      <c r="X542" s="5" t="n"/>
      <c r="Y542" s="5" t="n"/>
      <c r="Z542" s="5" t="n"/>
      <c r="AA542" s="5" t="n"/>
    </row>
    <row r="543" ht="15.75" customHeight="1">
      <c r="A543" s="5" t="n"/>
      <c r="B543" s="6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8" t="n"/>
      <c r="L543" s="8" t="n"/>
      <c r="M543" s="5" t="n"/>
      <c r="N543" s="16" t="n"/>
      <c r="O543" s="5" t="n"/>
      <c r="P543" s="5" t="n"/>
      <c r="Q543" s="5" t="n"/>
      <c r="R543" s="5" t="n"/>
      <c r="S543" s="5" t="n"/>
      <c r="T543" s="5" t="n"/>
      <c r="U543" s="5" t="n"/>
      <c r="V543" s="5" t="n"/>
      <c r="W543" s="5" t="n"/>
      <c r="X543" s="5" t="n"/>
      <c r="Y543" s="5" t="n"/>
      <c r="Z543" s="5" t="n"/>
      <c r="AA543" s="5" t="n"/>
    </row>
    <row r="544" ht="15.75" customHeight="1">
      <c r="A544" s="5" t="n"/>
      <c r="B544" s="6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8" t="n"/>
      <c r="L544" s="8" t="n"/>
      <c r="M544" s="5" t="n"/>
      <c r="N544" s="16" t="n"/>
      <c r="O544" s="5" t="n"/>
      <c r="P544" s="5" t="n"/>
      <c r="Q544" s="5" t="n"/>
      <c r="R544" s="5" t="n"/>
      <c r="S544" s="5" t="n"/>
      <c r="T544" s="5" t="n"/>
      <c r="U544" s="5" t="n"/>
      <c r="V544" s="5" t="n"/>
      <c r="W544" s="5" t="n"/>
      <c r="X544" s="5" t="n"/>
      <c r="Y544" s="5" t="n"/>
      <c r="Z544" s="5" t="n"/>
      <c r="AA544" s="5" t="n"/>
    </row>
    <row r="545" ht="15.75" customHeight="1">
      <c r="A545" s="5" t="n"/>
      <c r="B545" s="6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8" t="n"/>
      <c r="L545" s="8" t="n"/>
      <c r="M545" s="5" t="n"/>
      <c r="N545" s="16" t="n"/>
      <c r="O545" s="5" t="n"/>
      <c r="P545" s="5" t="n"/>
      <c r="Q545" s="5" t="n"/>
      <c r="R545" s="5" t="n"/>
      <c r="S545" s="5" t="n"/>
      <c r="T545" s="5" t="n"/>
      <c r="U545" s="5" t="n"/>
      <c r="V545" s="5" t="n"/>
      <c r="W545" s="5" t="n"/>
      <c r="X545" s="5" t="n"/>
      <c r="Y545" s="5" t="n"/>
      <c r="Z545" s="5" t="n"/>
      <c r="AA545" s="5" t="n"/>
    </row>
    <row r="546" ht="15.75" customHeight="1">
      <c r="A546" s="5" t="n"/>
      <c r="B546" s="6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8" t="n"/>
      <c r="L546" s="8" t="n"/>
      <c r="M546" s="5" t="n"/>
      <c r="N546" s="16" t="n"/>
      <c r="O546" s="5" t="n"/>
      <c r="P546" s="5" t="n"/>
      <c r="Q546" s="5" t="n"/>
      <c r="R546" s="5" t="n"/>
      <c r="S546" s="5" t="n"/>
      <c r="T546" s="5" t="n"/>
      <c r="U546" s="5" t="n"/>
      <c r="V546" s="5" t="n"/>
      <c r="W546" s="5" t="n"/>
      <c r="X546" s="5" t="n"/>
      <c r="Y546" s="5" t="n"/>
      <c r="Z546" s="5" t="n"/>
      <c r="AA546" s="5" t="n"/>
    </row>
    <row r="547" ht="15.75" customHeight="1">
      <c r="A547" s="5" t="n"/>
      <c r="B547" s="6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8" t="n"/>
      <c r="L547" s="8" t="n"/>
      <c r="M547" s="5" t="n"/>
      <c r="N547" s="16" t="n"/>
      <c r="O547" s="5" t="n"/>
      <c r="P547" s="5" t="n"/>
      <c r="Q547" s="5" t="n"/>
      <c r="R547" s="5" t="n"/>
      <c r="S547" s="5" t="n"/>
      <c r="T547" s="5" t="n"/>
      <c r="U547" s="5" t="n"/>
      <c r="V547" s="5" t="n"/>
      <c r="W547" s="5" t="n"/>
      <c r="X547" s="5" t="n"/>
      <c r="Y547" s="5" t="n"/>
      <c r="Z547" s="5" t="n"/>
      <c r="AA547" s="5" t="n"/>
    </row>
    <row r="548" ht="15.75" customHeight="1">
      <c r="A548" s="5" t="n"/>
      <c r="B548" s="6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8" t="n"/>
      <c r="L548" s="8" t="n"/>
      <c r="M548" s="5" t="n"/>
      <c r="N548" s="16" t="n"/>
      <c r="O548" s="5" t="n"/>
      <c r="P548" s="5" t="n"/>
      <c r="Q548" s="5" t="n"/>
      <c r="R548" s="5" t="n"/>
      <c r="S548" s="5" t="n"/>
      <c r="T548" s="5" t="n"/>
      <c r="U548" s="5" t="n"/>
      <c r="V548" s="5" t="n"/>
      <c r="W548" s="5" t="n"/>
      <c r="X548" s="5" t="n"/>
      <c r="Y548" s="5" t="n"/>
      <c r="Z548" s="5" t="n"/>
      <c r="AA548" s="5" t="n"/>
    </row>
    <row r="549" ht="15.75" customHeight="1">
      <c r="A549" s="5" t="n"/>
      <c r="B549" s="6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8" t="n"/>
      <c r="L549" s="8" t="n"/>
      <c r="M549" s="5" t="n"/>
      <c r="N549" s="16" t="n"/>
      <c r="O549" s="5" t="n"/>
      <c r="P549" s="5" t="n"/>
      <c r="Q549" s="5" t="n"/>
      <c r="R549" s="5" t="n"/>
      <c r="S549" s="5" t="n"/>
      <c r="T549" s="5" t="n"/>
      <c r="U549" s="5" t="n"/>
      <c r="V549" s="5" t="n"/>
      <c r="W549" s="5" t="n"/>
      <c r="X549" s="5" t="n"/>
      <c r="Y549" s="5" t="n"/>
      <c r="Z549" s="5" t="n"/>
      <c r="AA549" s="5" t="n"/>
    </row>
    <row r="550" ht="15.75" customHeight="1">
      <c r="A550" s="5" t="n"/>
      <c r="B550" s="6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8" t="n"/>
      <c r="L550" s="8" t="n"/>
      <c r="M550" s="5" t="n"/>
      <c r="N550" s="16" t="n"/>
      <c r="O550" s="5" t="n"/>
      <c r="P550" s="5" t="n"/>
      <c r="Q550" s="5" t="n"/>
      <c r="R550" s="5" t="n"/>
      <c r="S550" s="5" t="n"/>
      <c r="T550" s="5" t="n"/>
      <c r="U550" s="5" t="n"/>
      <c r="V550" s="5" t="n"/>
      <c r="W550" s="5" t="n"/>
      <c r="X550" s="5" t="n"/>
      <c r="Y550" s="5" t="n"/>
      <c r="Z550" s="5" t="n"/>
      <c r="AA550" s="5" t="n"/>
    </row>
    <row r="551" ht="15.75" customHeight="1">
      <c r="A551" s="5" t="n"/>
      <c r="B551" s="6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8" t="n"/>
      <c r="L551" s="8" t="n"/>
      <c r="M551" s="5" t="n"/>
      <c r="N551" s="16" t="n"/>
      <c r="O551" s="5" t="n"/>
      <c r="P551" s="5" t="n"/>
      <c r="Q551" s="5" t="n"/>
      <c r="R551" s="5" t="n"/>
      <c r="S551" s="5" t="n"/>
      <c r="T551" s="5" t="n"/>
      <c r="U551" s="5" t="n"/>
      <c r="V551" s="5" t="n"/>
      <c r="W551" s="5" t="n"/>
      <c r="X551" s="5" t="n"/>
      <c r="Y551" s="5" t="n"/>
      <c r="Z551" s="5" t="n"/>
      <c r="AA551" s="5" t="n"/>
    </row>
    <row r="552" ht="15.75" customHeight="1">
      <c r="A552" s="5" t="n"/>
      <c r="B552" s="6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8" t="n"/>
      <c r="L552" s="8" t="n"/>
      <c r="M552" s="5" t="n"/>
      <c r="N552" s="16" t="n"/>
      <c r="O552" s="5" t="n"/>
      <c r="P552" s="5" t="n"/>
      <c r="Q552" s="5" t="n"/>
      <c r="R552" s="5" t="n"/>
      <c r="S552" s="5" t="n"/>
      <c r="T552" s="5" t="n"/>
      <c r="U552" s="5" t="n"/>
      <c r="V552" s="5" t="n"/>
      <c r="W552" s="5" t="n"/>
      <c r="X552" s="5" t="n"/>
      <c r="Y552" s="5" t="n"/>
      <c r="Z552" s="5" t="n"/>
      <c r="AA552" s="5" t="n"/>
    </row>
    <row r="553" ht="15.75" customHeight="1">
      <c r="A553" s="5" t="n"/>
      <c r="B553" s="6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8" t="n"/>
      <c r="L553" s="8" t="n"/>
      <c r="M553" s="5" t="n"/>
      <c r="N553" s="16" t="n"/>
      <c r="O553" s="5" t="n"/>
      <c r="P553" s="5" t="n"/>
      <c r="Q553" s="5" t="n"/>
      <c r="R553" s="5" t="n"/>
      <c r="S553" s="5" t="n"/>
      <c r="T553" s="5" t="n"/>
      <c r="U553" s="5" t="n"/>
      <c r="V553" s="5" t="n"/>
      <c r="W553" s="5" t="n"/>
      <c r="X553" s="5" t="n"/>
      <c r="Y553" s="5" t="n"/>
      <c r="Z553" s="5" t="n"/>
      <c r="AA553" s="5" t="n"/>
    </row>
    <row r="554" ht="15.75" customHeight="1">
      <c r="A554" s="5" t="n"/>
      <c r="B554" s="6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8" t="n"/>
      <c r="L554" s="8" t="n"/>
      <c r="M554" s="5" t="n"/>
      <c r="N554" s="16" t="n"/>
      <c r="O554" s="5" t="n"/>
      <c r="P554" s="5" t="n"/>
      <c r="Q554" s="5" t="n"/>
      <c r="R554" s="5" t="n"/>
      <c r="S554" s="5" t="n"/>
      <c r="T554" s="5" t="n"/>
      <c r="U554" s="5" t="n"/>
      <c r="V554" s="5" t="n"/>
      <c r="W554" s="5" t="n"/>
      <c r="X554" s="5" t="n"/>
      <c r="Y554" s="5" t="n"/>
      <c r="Z554" s="5" t="n"/>
      <c r="AA554" s="5" t="n"/>
    </row>
    <row r="555" ht="15.75" customHeight="1">
      <c r="A555" s="5" t="n"/>
      <c r="B555" s="6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8" t="n"/>
      <c r="L555" s="8" t="n"/>
      <c r="M555" s="5" t="n"/>
      <c r="N555" s="16" t="n"/>
      <c r="O555" s="5" t="n"/>
      <c r="P555" s="5" t="n"/>
      <c r="Q555" s="5" t="n"/>
      <c r="R555" s="5" t="n"/>
      <c r="S555" s="5" t="n"/>
      <c r="T555" s="5" t="n"/>
      <c r="U555" s="5" t="n"/>
      <c r="V555" s="5" t="n"/>
      <c r="W555" s="5" t="n"/>
      <c r="X555" s="5" t="n"/>
      <c r="Y555" s="5" t="n"/>
      <c r="Z555" s="5" t="n"/>
      <c r="AA555" s="5" t="n"/>
    </row>
    <row r="556" ht="15.75" customHeight="1">
      <c r="A556" s="5" t="n"/>
      <c r="B556" s="6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8" t="n"/>
      <c r="L556" s="8" t="n"/>
      <c r="M556" s="5" t="n"/>
      <c r="N556" s="16" t="n"/>
      <c r="O556" s="5" t="n"/>
      <c r="P556" s="5" t="n"/>
      <c r="Q556" s="5" t="n"/>
      <c r="R556" s="5" t="n"/>
      <c r="S556" s="5" t="n"/>
      <c r="T556" s="5" t="n"/>
      <c r="U556" s="5" t="n"/>
      <c r="V556" s="5" t="n"/>
      <c r="W556" s="5" t="n"/>
      <c r="X556" s="5" t="n"/>
      <c r="Y556" s="5" t="n"/>
      <c r="Z556" s="5" t="n"/>
      <c r="AA556" s="5" t="n"/>
    </row>
    <row r="557" ht="15.75" customHeight="1">
      <c r="A557" s="5" t="n"/>
      <c r="B557" s="6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8" t="n"/>
      <c r="L557" s="8" t="n"/>
      <c r="M557" s="5" t="n"/>
      <c r="N557" s="16" t="n"/>
      <c r="O557" s="5" t="n"/>
      <c r="P557" s="5" t="n"/>
      <c r="Q557" s="5" t="n"/>
      <c r="R557" s="5" t="n"/>
      <c r="S557" s="5" t="n"/>
      <c r="T557" s="5" t="n"/>
      <c r="U557" s="5" t="n"/>
      <c r="V557" s="5" t="n"/>
      <c r="W557" s="5" t="n"/>
      <c r="X557" s="5" t="n"/>
      <c r="Y557" s="5" t="n"/>
      <c r="Z557" s="5" t="n"/>
      <c r="AA557" s="5" t="n"/>
    </row>
    <row r="558" ht="15.75" customHeight="1">
      <c r="A558" s="5" t="n"/>
      <c r="B558" s="6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8" t="n"/>
      <c r="L558" s="8" t="n"/>
      <c r="M558" s="5" t="n"/>
      <c r="N558" s="16" t="n"/>
      <c r="O558" s="5" t="n"/>
      <c r="P558" s="5" t="n"/>
      <c r="Q558" s="5" t="n"/>
      <c r="R558" s="5" t="n"/>
      <c r="S558" s="5" t="n"/>
      <c r="T558" s="5" t="n"/>
      <c r="U558" s="5" t="n"/>
      <c r="V558" s="5" t="n"/>
      <c r="W558" s="5" t="n"/>
      <c r="X558" s="5" t="n"/>
      <c r="Y558" s="5" t="n"/>
      <c r="Z558" s="5" t="n"/>
      <c r="AA558" s="5" t="n"/>
    </row>
    <row r="559" ht="15.75" customHeight="1">
      <c r="A559" s="5" t="n"/>
      <c r="B559" s="6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8" t="n"/>
      <c r="L559" s="8" t="n"/>
      <c r="M559" s="5" t="n"/>
      <c r="N559" s="16" t="n"/>
      <c r="O559" s="5" t="n"/>
      <c r="P559" s="5" t="n"/>
      <c r="Q559" s="5" t="n"/>
      <c r="R559" s="5" t="n"/>
      <c r="S559" s="5" t="n"/>
      <c r="T559" s="5" t="n"/>
      <c r="U559" s="5" t="n"/>
      <c r="V559" s="5" t="n"/>
      <c r="W559" s="5" t="n"/>
      <c r="X559" s="5" t="n"/>
      <c r="Y559" s="5" t="n"/>
      <c r="Z559" s="5" t="n"/>
      <c r="AA559" s="5" t="n"/>
    </row>
    <row r="560" ht="15.75" customHeight="1">
      <c r="A560" s="5" t="n"/>
      <c r="B560" s="6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8" t="n"/>
      <c r="L560" s="8" t="n"/>
      <c r="M560" s="5" t="n"/>
      <c r="N560" s="16" t="n"/>
      <c r="O560" s="5" t="n"/>
      <c r="P560" s="5" t="n"/>
      <c r="Q560" s="5" t="n"/>
      <c r="R560" s="5" t="n"/>
      <c r="S560" s="5" t="n"/>
      <c r="T560" s="5" t="n"/>
      <c r="U560" s="5" t="n"/>
      <c r="V560" s="5" t="n"/>
      <c r="W560" s="5" t="n"/>
      <c r="X560" s="5" t="n"/>
      <c r="Y560" s="5" t="n"/>
      <c r="Z560" s="5" t="n"/>
      <c r="AA560" s="5" t="n"/>
    </row>
    <row r="561" ht="15.75" customHeight="1">
      <c r="A561" s="5" t="n"/>
      <c r="B561" s="6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8" t="n"/>
      <c r="L561" s="8" t="n"/>
      <c r="M561" s="5" t="n"/>
      <c r="N561" s="16" t="n"/>
      <c r="O561" s="5" t="n"/>
      <c r="P561" s="5" t="n"/>
      <c r="Q561" s="5" t="n"/>
      <c r="R561" s="5" t="n"/>
      <c r="S561" s="5" t="n"/>
      <c r="T561" s="5" t="n"/>
      <c r="U561" s="5" t="n"/>
      <c r="V561" s="5" t="n"/>
      <c r="W561" s="5" t="n"/>
      <c r="X561" s="5" t="n"/>
      <c r="Y561" s="5" t="n"/>
      <c r="Z561" s="5" t="n"/>
      <c r="AA561" s="5" t="n"/>
    </row>
    <row r="562" ht="15.75" customHeight="1">
      <c r="A562" s="5" t="n"/>
      <c r="B562" s="6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8" t="n"/>
      <c r="L562" s="8" t="n"/>
      <c r="M562" s="5" t="n"/>
      <c r="N562" s="16" t="n"/>
      <c r="O562" s="5" t="n"/>
      <c r="P562" s="5" t="n"/>
      <c r="Q562" s="5" t="n"/>
      <c r="R562" s="5" t="n"/>
      <c r="S562" s="5" t="n"/>
      <c r="T562" s="5" t="n"/>
      <c r="U562" s="5" t="n"/>
      <c r="V562" s="5" t="n"/>
      <c r="W562" s="5" t="n"/>
      <c r="X562" s="5" t="n"/>
      <c r="Y562" s="5" t="n"/>
      <c r="Z562" s="5" t="n"/>
      <c r="AA562" s="5" t="n"/>
    </row>
    <row r="563" ht="15.75" customHeight="1">
      <c r="A563" s="5" t="n"/>
      <c r="B563" s="6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8" t="n"/>
      <c r="L563" s="8" t="n"/>
      <c r="M563" s="5" t="n"/>
      <c r="N563" s="16" t="n"/>
      <c r="O563" s="5" t="n"/>
      <c r="P563" s="5" t="n"/>
      <c r="Q563" s="5" t="n"/>
      <c r="R563" s="5" t="n"/>
      <c r="S563" s="5" t="n"/>
      <c r="T563" s="5" t="n"/>
      <c r="U563" s="5" t="n"/>
      <c r="V563" s="5" t="n"/>
      <c r="W563" s="5" t="n"/>
      <c r="X563" s="5" t="n"/>
      <c r="Y563" s="5" t="n"/>
      <c r="Z563" s="5" t="n"/>
      <c r="AA563" s="5" t="n"/>
    </row>
    <row r="564" ht="15.75" customHeight="1">
      <c r="A564" s="5" t="n"/>
      <c r="B564" s="6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8" t="n"/>
      <c r="L564" s="8" t="n"/>
      <c r="M564" s="5" t="n"/>
      <c r="N564" s="16" t="n"/>
      <c r="O564" s="5" t="n"/>
      <c r="P564" s="5" t="n"/>
      <c r="Q564" s="5" t="n"/>
      <c r="R564" s="5" t="n"/>
      <c r="S564" s="5" t="n"/>
      <c r="T564" s="5" t="n"/>
      <c r="U564" s="5" t="n"/>
      <c r="V564" s="5" t="n"/>
      <c r="W564" s="5" t="n"/>
      <c r="X564" s="5" t="n"/>
      <c r="Y564" s="5" t="n"/>
      <c r="Z564" s="5" t="n"/>
      <c r="AA564" s="5" t="n"/>
    </row>
    <row r="565" ht="15.75" customHeight="1">
      <c r="A565" s="5" t="n"/>
      <c r="B565" s="6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8" t="n"/>
      <c r="L565" s="8" t="n"/>
      <c r="M565" s="5" t="n"/>
      <c r="N565" s="16" t="n"/>
      <c r="O565" s="5" t="n"/>
      <c r="P565" s="5" t="n"/>
      <c r="Q565" s="5" t="n"/>
      <c r="R565" s="5" t="n"/>
      <c r="S565" s="5" t="n"/>
      <c r="T565" s="5" t="n"/>
      <c r="U565" s="5" t="n"/>
      <c r="V565" s="5" t="n"/>
      <c r="W565" s="5" t="n"/>
      <c r="X565" s="5" t="n"/>
      <c r="Y565" s="5" t="n"/>
      <c r="Z565" s="5" t="n"/>
      <c r="AA565" s="5" t="n"/>
    </row>
    <row r="566" ht="15.75" customHeight="1">
      <c r="A566" s="5" t="n"/>
      <c r="B566" s="6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8" t="n"/>
      <c r="L566" s="8" t="n"/>
      <c r="M566" s="5" t="n"/>
      <c r="N566" s="16" t="n"/>
      <c r="O566" s="5" t="n"/>
      <c r="P566" s="5" t="n"/>
      <c r="Q566" s="5" t="n"/>
      <c r="R566" s="5" t="n"/>
      <c r="S566" s="5" t="n"/>
      <c r="T566" s="5" t="n"/>
      <c r="U566" s="5" t="n"/>
      <c r="V566" s="5" t="n"/>
      <c r="W566" s="5" t="n"/>
      <c r="X566" s="5" t="n"/>
      <c r="Y566" s="5" t="n"/>
      <c r="Z566" s="5" t="n"/>
      <c r="AA566" s="5" t="n"/>
    </row>
    <row r="567" ht="15.75" customHeight="1">
      <c r="A567" s="5" t="n"/>
      <c r="B567" s="6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8" t="n"/>
      <c r="L567" s="8" t="n"/>
      <c r="M567" s="5" t="n"/>
      <c r="N567" s="16" t="n"/>
      <c r="O567" s="5" t="n"/>
      <c r="P567" s="5" t="n"/>
      <c r="Q567" s="5" t="n"/>
      <c r="R567" s="5" t="n"/>
      <c r="S567" s="5" t="n"/>
      <c r="T567" s="5" t="n"/>
      <c r="U567" s="5" t="n"/>
      <c r="V567" s="5" t="n"/>
      <c r="W567" s="5" t="n"/>
      <c r="X567" s="5" t="n"/>
      <c r="Y567" s="5" t="n"/>
      <c r="Z567" s="5" t="n"/>
      <c r="AA567" s="5" t="n"/>
    </row>
    <row r="568" ht="15.75" customHeight="1">
      <c r="A568" s="5" t="n"/>
      <c r="B568" s="6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8" t="n"/>
      <c r="L568" s="8" t="n"/>
      <c r="M568" s="5" t="n"/>
      <c r="N568" s="16" t="n"/>
      <c r="O568" s="5" t="n"/>
      <c r="P568" s="5" t="n"/>
      <c r="Q568" s="5" t="n"/>
      <c r="R568" s="5" t="n"/>
      <c r="S568" s="5" t="n"/>
      <c r="T568" s="5" t="n"/>
      <c r="U568" s="5" t="n"/>
      <c r="V568" s="5" t="n"/>
      <c r="W568" s="5" t="n"/>
      <c r="X568" s="5" t="n"/>
      <c r="Y568" s="5" t="n"/>
      <c r="Z568" s="5" t="n"/>
      <c r="AA568" s="5" t="n"/>
    </row>
    <row r="569" ht="15.75" customHeight="1">
      <c r="A569" s="5" t="n"/>
      <c r="B569" s="6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8" t="n"/>
      <c r="L569" s="8" t="n"/>
      <c r="M569" s="5" t="n"/>
      <c r="N569" s="16" t="n"/>
      <c r="O569" s="5" t="n"/>
      <c r="P569" s="5" t="n"/>
      <c r="Q569" s="5" t="n"/>
      <c r="R569" s="5" t="n"/>
      <c r="S569" s="5" t="n"/>
      <c r="T569" s="5" t="n"/>
      <c r="U569" s="5" t="n"/>
      <c r="V569" s="5" t="n"/>
      <c r="W569" s="5" t="n"/>
      <c r="X569" s="5" t="n"/>
      <c r="Y569" s="5" t="n"/>
      <c r="Z569" s="5" t="n"/>
      <c r="AA569" s="5" t="n"/>
    </row>
    <row r="570" ht="15.75" customHeight="1">
      <c r="A570" s="5" t="n"/>
      <c r="B570" s="6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8" t="n"/>
      <c r="L570" s="8" t="n"/>
      <c r="M570" s="5" t="n"/>
      <c r="N570" s="16" t="n"/>
      <c r="O570" s="5" t="n"/>
      <c r="P570" s="5" t="n"/>
      <c r="Q570" s="5" t="n"/>
      <c r="R570" s="5" t="n"/>
      <c r="S570" s="5" t="n"/>
      <c r="T570" s="5" t="n"/>
      <c r="U570" s="5" t="n"/>
      <c r="V570" s="5" t="n"/>
      <c r="W570" s="5" t="n"/>
      <c r="X570" s="5" t="n"/>
      <c r="Y570" s="5" t="n"/>
      <c r="Z570" s="5" t="n"/>
      <c r="AA570" s="5" t="n"/>
    </row>
    <row r="571" ht="15.75" customHeight="1">
      <c r="A571" s="5" t="n"/>
      <c r="B571" s="6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8" t="n"/>
      <c r="L571" s="8" t="n"/>
      <c r="M571" s="5" t="n"/>
      <c r="N571" s="16" t="n"/>
      <c r="O571" s="5" t="n"/>
      <c r="P571" s="5" t="n"/>
      <c r="Q571" s="5" t="n"/>
      <c r="R571" s="5" t="n"/>
      <c r="S571" s="5" t="n"/>
      <c r="T571" s="5" t="n"/>
      <c r="U571" s="5" t="n"/>
      <c r="V571" s="5" t="n"/>
      <c r="W571" s="5" t="n"/>
      <c r="X571" s="5" t="n"/>
      <c r="Y571" s="5" t="n"/>
      <c r="Z571" s="5" t="n"/>
      <c r="AA571" s="5" t="n"/>
    </row>
    <row r="572" ht="15.75" customHeight="1">
      <c r="A572" s="5" t="n"/>
      <c r="B572" s="6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8" t="n"/>
      <c r="L572" s="8" t="n"/>
      <c r="M572" s="5" t="n"/>
      <c r="N572" s="16" t="n"/>
      <c r="O572" s="5" t="n"/>
      <c r="P572" s="5" t="n"/>
      <c r="Q572" s="5" t="n"/>
      <c r="R572" s="5" t="n"/>
      <c r="S572" s="5" t="n"/>
      <c r="T572" s="5" t="n"/>
      <c r="U572" s="5" t="n"/>
      <c r="V572" s="5" t="n"/>
      <c r="W572" s="5" t="n"/>
      <c r="X572" s="5" t="n"/>
      <c r="Y572" s="5" t="n"/>
      <c r="Z572" s="5" t="n"/>
      <c r="AA572" s="5" t="n"/>
    </row>
    <row r="573" ht="15.75" customHeight="1">
      <c r="A573" s="5" t="n"/>
      <c r="B573" s="6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8" t="n"/>
      <c r="L573" s="8" t="n"/>
      <c r="M573" s="5" t="n"/>
      <c r="N573" s="16" t="n"/>
      <c r="O573" s="5" t="n"/>
      <c r="P573" s="5" t="n"/>
      <c r="Q573" s="5" t="n"/>
      <c r="R573" s="5" t="n"/>
      <c r="S573" s="5" t="n"/>
      <c r="T573" s="5" t="n"/>
      <c r="U573" s="5" t="n"/>
      <c r="V573" s="5" t="n"/>
      <c r="W573" s="5" t="n"/>
      <c r="X573" s="5" t="n"/>
      <c r="Y573" s="5" t="n"/>
      <c r="Z573" s="5" t="n"/>
      <c r="AA573" s="5" t="n"/>
    </row>
    <row r="574" ht="15.75" customHeight="1">
      <c r="A574" s="5" t="n"/>
      <c r="B574" s="6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8" t="n"/>
      <c r="L574" s="8" t="n"/>
      <c r="M574" s="5" t="n"/>
      <c r="N574" s="16" t="n"/>
      <c r="O574" s="5" t="n"/>
      <c r="P574" s="5" t="n"/>
      <c r="Q574" s="5" t="n"/>
      <c r="R574" s="5" t="n"/>
      <c r="S574" s="5" t="n"/>
      <c r="T574" s="5" t="n"/>
      <c r="U574" s="5" t="n"/>
      <c r="V574" s="5" t="n"/>
      <c r="W574" s="5" t="n"/>
      <c r="X574" s="5" t="n"/>
      <c r="Y574" s="5" t="n"/>
      <c r="Z574" s="5" t="n"/>
      <c r="AA574" s="5" t="n"/>
    </row>
    <row r="575" ht="15.75" customHeight="1">
      <c r="A575" s="5" t="n"/>
      <c r="B575" s="6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8" t="n"/>
      <c r="L575" s="8" t="n"/>
      <c r="M575" s="5" t="n"/>
      <c r="N575" s="16" t="n"/>
      <c r="O575" s="5" t="n"/>
      <c r="P575" s="5" t="n"/>
      <c r="Q575" s="5" t="n"/>
      <c r="R575" s="5" t="n"/>
      <c r="S575" s="5" t="n"/>
      <c r="T575" s="5" t="n"/>
      <c r="U575" s="5" t="n"/>
      <c r="V575" s="5" t="n"/>
      <c r="W575" s="5" t="n"/>
      <c r="X575" s="5" t="n"/>
      <c r="Y575" s="5" t="n"/>
      <c r="Z575" s="5" t="n"/>
      <c r="AA575" s="5" t="n"/>
    </row>
    <row r="576" ht="15.75" customHeight="1">
      <c r="A576" s="5" t="n"/>
      <c r="B576" s="6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8" t="n"/>
      <c r="L576" s="8" t="n"/>
      <c r="M576" s="5" t="n"/>
      <c r="N576" s="16" t="n"/>
      <c r="O576" s="5" t="n"/>
      <c r="P576" s="5" t="n"/>
      <c r="Q576" s="5" t="n"/>
      <c r="R576" s="5" t="n"/>
      <c r="S576" s="5" t="n"/>
      <c r="T576" s="5" t="n"/>
      <c r="U576" s="5" t="n"/>
      <c r="V576" s="5" t="n"/>
      <c r="W576" s="5" t="n"/>
      <c r="X576" s="5" t="n"/>
      <c r="Y576" s="5" t="n"/>
      <c r="Z576" s="5" t="n"/>
      <c r="AA576" s="5" t="n"/>
    </row>
    <row r="577" ht="15.75" customHeight="1">
      <c r="A577" s="5" t="n"/>
      <c r="B577" s="6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8" t="n"/>
      <c r="L577" s="8" t="n"/>
      <c r="M577" s="5" t="n"/>
      <c r="N577" s="16" t="n"/>
      <c r="O577" s="5" t="n"/>
      <c r="P577" s="5" t="n"/>
      <c r="Q577" s="5" t="n"/>
      <c r="R577" s="5" t="n"/>
      <c r="S577" s="5" t="n"/>
      <c r="T577" s="5" t="n"/>
      <c r="U577" s="5" t="n"/>
      <c r="V577" s="5" t="n"/>
      <c r="W577" s="5" t="n"/>
      <c r="X577" s="5" t="n"/>
      <c r="Y577" s="5" t="n"/>
      <c r="Z577" s="5" t="n"/>
      <c r="AA577" s="5" t="n"/>
    </row>
    <row r="578" ht="15.75" customHeight="1">
      <c r="A578" s="5" t="n"/>
      <c r="B578" s="6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8" t="n"/>
      <c r="L578" s="8" t="n"/>
      <c r="M578" s="5" t="n"/>
      <c r="N578" s="16" t="n"/>
      <c r="O578" s="5" t="n"/>
      <c r="P578" s="5" t="n"/>
      <c r="Q578" s="5" t="n"/>
      <c r="R578" s="5" t="n"/>
      <c r="S578" s="5" t="n"/>
      <c r="T578" s="5" t="n"/>
      <c r="U578" s="5" t="n"/>
      <c r="V578" s="5" t="n"/>
      <c r="W578" s="5" t="n"/>
      <c r="X578" s="5" t="n"/>
      <c r="Y578" s="5" t="n"/>
      <c r="Z578" s="5" t="n"/>
      <c r="AA578" s="5" t="n"/>
    </row>
    <row r="579" ht="15.75" customHeight="1">
      <c r="A579" s="5" t="n"/>
      <c r="B579" s="6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8" t="n"/>
      <c r="L579" s="8" t="n"/>
      <c r="M579" s="5" t="n"/>
      <c r="N579" s="16" t="n"/>
      <c r="O579" s="5" t="n"/>
      <c r="P579" s="5" t="n"/>
      <c r="Q579" s="5" t="n"/>
      <c r="R579" s="5" t="n"/>
      <c r="S579" s="5" t="n"/>
      <c r="T579" s="5" t="n"/>
      <c r="U579" s="5" t="n"/>
      <c r="V579" s="5" t="n"/>
      <c r="W579" s="5" t="n"/>
      <c r="X579" s="5" t="n"/>
      <c r="Y579" s="5" t="n"/>
      <c r="Z579" s="5" t="n"/>
      <c r="AA579" s="5" t="n"/>
    </row>
    <row r="580" ht="15.75" customHeight="1">
      <c r="A580" s="5" t="n"/>
      <c r="B580" s="6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8" t="n"/>
      <c r="L580" s="8" t="n"/>
      <c r="M580" s="5" t="n"/>
      <c r="N580" s="16" t="n"/>
      <c r="O580" s="5" t="n"/>
      <c r="P580" s="5" t="n"/>
      <c r="Q580" s="5" t="n"/>
      <c r="R580" s="5" t="n"/>
      <c r="S580" s="5" t="n"/>
      <c r="T580" s="5" t="n"/>
      <c r="U580" s="5" t="n"/>
      <c r="V580" s="5" t="n"/>
      <c r="W580" s="5" t="n"/>
      <c r="X580" s="5" t="n"/>
      <c r="Y580" s="5" t="n"/>
      <c r="Z580" s="5" t="n"/>
      <c r="AA580" s="5" t="n"/>
    </row>
    <row r="581" ht="15.75" customHeight="1">
      <c r="A581" s="5" t="n"/>
      <c r="B581" s="6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8" t="n"/>
      <c r="L581" s="8" t="n"/>
      <c r="M581" s="5" t="n"/>
      <c r="N581" s="16" t="n"/>
      <c r="O581" s="5" t="n"/>
      <c r="P581" s="5" t="n"/>
      <c r="Q581" s="5" t="n"/>
      <c r="R581" s="5" t="n"/>
      <c r="S581" s="5" t="n"/>
      <c r="T581" s="5" t="n"/>
      <c r="U581" s="5" t="n"/>
      <c r="V581" s="5" t="n"/>
      <c r="W581" s="5" t="n"/>
      <c r="X581" s="5" t="n"/>
      <c r="Y581" s="5" t="n"/>
      <c r="Z581" s="5" t="n"/>
      <c r="AA581" s="5" t="n"/>
    </row>
    <row r="582" ht="15.75" customHeight="1">
      <c r="A582" s="5" t="n"/>
      <c r="B582" s="6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8" t="n"/>
      <c r="L582" s="8" t="n"/>
      <c r="M582" s="5" t="n"/>
      <c r="N582" s="16" t="n"/>
      <c r="O582" s="5" t="n"/>
      <c r="P582" s="5" t="n"/>
      <c r="Q582" s="5" t="n"/>
      <c r="R582" s="5" t="n"/>
      <c r="S582" s="5" t="n"/>
      <c r="T582" s="5" t="n"/>
      <c r="U582" s="5" t="n"/>
      <c r="V582" s="5" t="n"/>
      <c r="W582" s="5" t="n"/>
      <c r="X582" s="5" t="n"/>
      <c r="Y582" s="5" t="n"/>
      <c r="Z582" s="5" t="n"/>
      <c r="AA582" s="5" t="n"/>
    </row>
    <row r="583" ht="15.75" customHeight="1">
      <c r="A583" s="5" t="n"/>
      <c r="B583" s="6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8" t="n"/>
      <c r="L583" s="8" t="n"/>
      <c r="M583" s="5" t="n"/>
      <c r="N583" s="16" t="n"/>
      <c r="O583" s="5" t="n"/>
      <c r="P583" s="5" t="n"/>
      <c r="Q583" s="5" t="n"/>
      <c r="R583" s="5" t="n"/>
      <c r="S583" s="5" t="n"/>
      <c r="T583" s="5" t="n"/>
      <c r="U583" s="5" t="n"/>
      <c r="V583" s="5" t="n"/>
      <c r="W583" s="5" t="n"/>
      <c r="X583" s="5" t="n"/>
      <c r="Y583" s="5" t="n"/>
      <c r="Z583" s="5" t="n"/>
      <c r="AA583" s="5" t="n"/>
    </row>
    <row r="584" ht="15.75" customHeight="1">
      <c r="A584" s="5" t="n"/>
      <c r="B584" s="6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8" t="n"/>
      <c r="L584" s="8" t="n"/>
      <c r="M584" s="5" t="n"/>
      <c r="N584" s="16" t="n"/>
      <c r="O584" s="5" t="n"/>
      <c r="P584" s="5" t="n"/>
      <c r="Q584" s="5" t="n"/>
      <c r="R584" s="5" t="n"/>
      <c r="S584" s="5" t="n"/>
      <c r="T584" s="5" t="n"/>
      <c r="U584" s="5" t="n"/>
      <c r="V584" s="5" t="n"/>
      <c r="W584" s="5" t="n"/>
      <c r="X584" s="5" t="n"/>
      <c r="Y584" s="5" t="n"/>
      <c r="Z584" s="5" t="n"/>
      <c r="AA584" s="5" t="n"/>
    </row>
    <row r="585" ht="15.75" customHeight="1">
      <c r="A585" s="5" t="n"/>
      <c r="B585" s="6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8" t="n"/>
      <c r="L585" s="8" t="n"/>
      <c r="M585" s="5" t="n"/>
      <c r="N585" s="16" t="n"/>
      <c r="O585" s="5" t="n"/>
      <c r="P585" s="5" t="n"/>
      <c r="Q585" s="5" t="n"/>
      <c r="R585" s="5" t="n"/>
      <c r="S585" s="5" t="n"/>
      <c r="T585" s="5" t="n"/>
      <c r="U585" s="5" t="n"/>
      <c r="V585" s="5" t="n"/>
      <c r="W585" s="5" t="n"/>
      <c r="X585" s="5" t="n"/>
      <c r="Y585" s="5" t="n"/>
      <c r="Z585" s="5" t="n"/>
      <c r="AA585" s="5" t="n"/>
    </row>
    <row r="586" ht="15.75" customHeight="1">
      <c r="A586" s="5" t="n"/>
      <c r="B586" s="6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8" t="n"/>
      <c r="L586" s="8" t="n"/>
      <c r="M586" s="5" t="n"/>
      <c r="N586" s="16" t="n"/>
      <c r="O586" s="5" t="n"/>
      <c r="P586" s="5" t="n"/>
      <c r="Q586" s="5" t="n"/>
      <c r="R586" s="5" t="n"/>
      <c r="S586" s="5" t="n"/>
      <c r="T586" s="5" t="n"/>
      <c r="U586" s="5" t="n"/>
      <c r="V586" s="5" t="n"/>
      <c r="W586" s="5" t="n"/>
      <c r="X586" s="5" t="n"/>
      <c r="Y586" s="5" t="n"/>
      <c r="Z586" s="5" t="n"/>
      <c r="AA586" s="5" t="n"/>
    </row>
    <row r="587" ht="15.75" customHeight="1">
      <c r="A587" s="5" t="n"/>
      <c r="B587" s="6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8" t="n"/>
      <c r="L587" s="8" t="n"/>
      <c r="M587" s="5" t="n"/>
      <c r="N587" s="16" t="n"/>
      <c r="O587" s="5" t="n"/>
      <c r="P587" s="5" t="n"/>
      <c r="Q587" s="5" t="n"/>
      <c r="R587" s="5" t="n"/>
      <c r="S587" s="5" t="n"/>
      <c r="T587" s="5" t="n"/>
      <c r="U587" s="5" t="n"/>
      <c r="V587" s="5" t="n"/>
      <c r="W587" s="5" t="n"/>
      <c r="X587" s="5" t="n"/>
      <c r="Y587" s="5" t="n"/>
      <c r="Z587" s="5" t="n"/>
      <c r="AA587" s="5" t="n"/>
    </row>
    <row r="588" ht="15.75" customHeight="1">
      <c r="A588" s="5" t="n"/>
      <c r="B588" s="6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8" t="n"/>
      <c r="L588" s="8" t="n"/>
      <c r="M588" s="5" t="n"/>
      <c r="N588" s="16" t="n"/>
      <c r="O588" s="5" t="n"/>
      <c r="P588" s="5" t="n"/>
      <c r="Q588" s="5" t="n"/>
      <c r="R588" s="5" t="n"/>
      <c r="S588" s="5" t="n"/>
      <c r="T588" s="5" t="n"/>
      <c r="U588" s="5" t="n"/>
      <c r="V588" s="5" t="n"/>
      <c r="W588" s="5" t="n"/>
      <c r="X588" s="5" t="n"/>
      <c r="Y588" s="5" t="n"/>
      <c r="Z588" s="5" t="n"/>
      <c r="AA588" s="5" t="n"/>
    </row>
    <row r="589" ht="15.75" customHeight="1">
      <c r="A589" s="5" t="n"/>
      <c r="B589" s="6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8" t="n"/>
      <c r="L589" s="8" t="n"/>
      <c r="M589" s="5" t="n"/>
      <c r="N589" s="16" t="n"/>
      <c r="O589" s="5" t="n"/>
      <c r="P589" s="5" t="n"/>
      <c r="Q589" s="5" t="n"/>
      <c r="R589" s="5" t="n"/>
      <c r="S589" s="5" t="n"/>
      <c r="T589" s="5" t="n"/>
      <c r="U589" s="5" t="n"/>
      <c r="V589" s="5" t="n"/>
      <c r="W589" s="5" t="n"/>
      <c r="X589" s="5" t="n"/>
      <c r="Y589" s="5" t="n"/>
      <c r="Z589" s="5" t="n"/>
      <c r="AA589" s="5" t="n"/>
    </row>
    <row r="590" ht="15.75" customHeight="1">
      <c r="A590" s="5" t="n"/>
      <c r="B590" s="6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8" t="n"/>
      <c r="L590" s="8" t="n"/>
      <c r="M590" s="5" t="n"/>
      <c r="N590" s="16" t="n"/>
      <c r="O590" s="5" t="n"/>
      <c r="P590" s="5" t="n"/>
      <c r="Q590" s="5" t="n"/>
      <c r="R590" s="5" t="n"/>
      <c r="S590" s="5" t="n"/>
      <c r="T590" s="5" t="n"/>
      <c r="U590" s="5" t="n"/>
      <c r="V590" s="5" t="n"/>
      <c r="W590" s="5" t="n"/>
      <c r="X590" s="5" t="n"/>
      <c r="Y590" s="5" t="n"/>
      <c r="Z590" s="5" t="n"/>
      <c r="AA590" s="5" t="n"/>
    </row>
    <row r="591" ht="15.75" customHeight="1">
      <c r="A591" s="5" t="n"/>
      <c r="B591" s="6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8" t="n"/>
      <c r="L591" s="8" t="n"/>
      <c r="M591" s="5" t="n"/>
      <c r="N591" s="16" t="n"/>
      <c r="O591" s="5" t="n"/>
      <c r="P591" s="5" t="n"/>
      <c r="Q591" s="5" t="n"/>
      <c r="R591" s="5" t="n"/>
      <c r="S591" s="5" t="n"/>
      <c r="T591" s="5" t="n"/>
      <c r="U591" s="5" t="n"/>
      <c r="V591" s="5" t="n"/>
      <c r="W591" s="5" t="n"/>
      <c r="X591" s="5" t="n"/>
      <c r="Y591" s="5" t="n"/>
      <c r="Z591" s="5" t="n"/>
      <c r="AA591" s="5" t="n"/>
    </row>
    <row r="592" ht="15.75" customHeight="1">
      <c r="A592" s="5" t="n"/>
      <c r="B592" s="6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8" t="n"/>
      <c r="L592" s="8" t="n"/>
      <c r="M592" s="5" t="n"/>
      <c r="N592" s="16" t="n"/>
      <c r="O592" s="5" t="n"/>
      <c r="P592" s="5" t="n"/>
      <c r="Q592" s="5" t="n"/>
      <c r="R592" s="5" t="n"/>
      <c r="S592" s="5" t="n"/>
      <c r="T592" s="5" t="n"/>
      <c r="U592" s="5" t="n"/>
      <c r="V592" s="5" t="n"/>
      <c r="W592" s="5" t="n"/>
      <c r="X592" s="5" t="n"/>
      <c r="Y592" s="5" t="n"/>
      <c r="Z592" s="5" t="n"/>
      <c r="AA592" s="5" t="n"/>
    </row>
    <row r="593" ht="15.75" customHeight="1">
      <c r="A593" s="5" t="n"/>
      <c r="B593" s="6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8" t="n"/>
      <c r="L593" s="8" t="n"/>
      <c r="M593" s="5" t="n"/>
      <c r="N593" s="16" t="n"/>
      <c r="O593" s="5" t="n"/>
      <c r="P593" s="5" t="n"/>
      <c r="Q593" s="5" t="n"/>
      <c r="R593" s="5" t="n"/>
      <c r="S593" s="5" t="n"/>
      <c r="T593" s="5" t="n"/>
      <c r="U593" s="5" t="n"/>
      <c r="V593" s="5" t="n"/>
      <c r="W593" s="5" t="n"/>
      <c r="X593" s="5" t="n"/>
      <c r="Y593" s="5" t="n"/>
      <c r="Z593" s="5" t="n"/>
      <c r="AA593" s="5" t="n"/>
    </row>
    <row r="594" ht="15.75" customHeight="1">
      <c r="A594" s="5" t="n"/>
      <c r="B594" s="6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8" t="n"/>
      <c r="L594" s="8" t="n"/>
      <c r="M594" s="5" t="n"/>
      <c r="N594" s="16" t="n"/>
      <c r="O594" s="5" t="n"/>
      <c r="P594" s="5" t="n"/>
      <c r="Q594" s="5" t="n"/>
      <c r="R594" s="5" t="n"/>
      <c r="S594" s="5" t="n"/>
      <c r="T594" s="5" t="n"/>
      <c r="U594" s="5" t="n"/>
      <c r="V594" s="5" t="n"/>
      <c r="W594" s="5" t="n"/>
      <c r="X594" s="5" t="n"/>
      <c r="Y594" s="5" t="n"/>
      <c r="Z594" s="5" t="n"/>
      <c r="AA594" s="5" t="n"/>
    </row>
    <row r="595" ht="15.75" customHeight="1">
      <c r="A595" s="5" t="n"/>
      <c r="B595" s="6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8" t="n"/>
      <c r="L595" s="8" t="n"/>
      <c r="M595" s="5" t="n"/>
      <c r="N595" s="16" t="n"/>
      <c r="O595" s="5" t="n"/>
      <c r="P595" s="5" t="n"/>
      <c r="Q595" s="5" t="n"/>
      <c r="R595" s="5" t="n"/>
      <c r="S595" s="5" t="n"/>
      <c r="T595" s="5" t="n"/>
      <c r="U595" s="5" t="n"/>
      <c r="V595" s="5" t="n"/>
      <c r="W595" s="5" t="n"/>
      <c r="X595" s="5" t="n"/>
      <c r="Y595" s="5" t="n"/>
      <c r="Z595" s="5" t="n"/>
      <c r="AA595" s="5" t="n"/>
    </row>
    <row r="596" ht="15.75" customHeight="1">
      <c r="A596" s="5" t="n"/>
      <c r="B596" s="6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8" t="n"/>
      <c r="L596" s="8" t="n"/>
      <c r="M596" s="5" t="n"/>
      <c r="N596" s="16" t="n"/>
      <c r="O596" s="5" t="n"/>
      <c r="P596" s="5" t="n"/>
      <c r="Q596" s="5" t="n"/>
      <c r="R596" s="5" t="n"/>
      <c r="S596" s="5" t="n"/>
      <c r="T596" s="5" t="n"/>
      <c r="U596" s="5" t="n"/>
      <c r="V596" s="5" t="n"/>
      <c r="W596" s="5" t="n"/>
      <c r="X596" s="5" t="n"/>
      <c r="Y596" s="5" t="n"/>
      <c r="Z596" s="5" t="n"/>
      <c r="AA596" s="5" t="n"/>
    </row>
    <row r="597" ht="15.75" customHeight="1">
      <c r="A597" s="5" t="n"/>
      <c r="B597" s="6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8" t="n"/>
      <c r="L597" s="8" t="n"/>
      <c r="M597" s="5" t="n"/>
      <c r="N597" s="16" t="n"/>
      <c r="O597" s="5" t="n"/>
      <c r="P597" s="5" t="n"/>
      <c r="Q597" s="5" t="n"/>
      <c r="R597" s="5" t="n"/>
      <c r="S597" s="5" t="n"/>
      <c r="T597" s="5" t="n"/>
      <c r="U597" s="5" t="n"/>
      <c r="V597" s="5" t="n"/>
      <c r="W597" s="5" t="n"/>
      <c r="X597" s="5" t="n"/>
      <c r="Y597" s="5" t="n"/>
      <c r="Z597" s="5" t="n"/>
      <c r="AA597" s="5" t="n"/>
    </row>
    <row r="598" ht="15.75" customHeight="1">
      <c r="A598" s="5" t="n"/>
      <c r="B598" s="6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8" t="n"/>
      <c r="L598" s="8" t="n"/>
      <c r="M598" s="5" t="n"/>
      <c r="N598" s="16" t="n"/>
      <c r="O598" s="5" t="n"/>
      <c r="P598" s="5" t="n"/>
      <c r="Q598" s="5" t="n"/>
      <c r="R598" s="5" t="n"/>
      <c r="S598" s="5" t="n"/>
      <c r="T598" s="5" t="n"/>
      <c r="U598" s="5" t="n"/>
      <c r="V598" s="5" t="n"/>
      <c r="W598" s="5" t="n"/>
      <c r="X598" s="5" t="n"/>
      <c r="Y598" s="5" t="n"/>
      <c r="Z598" s="5" t="n"/>
      <c r="AA598" s="5" t="n"/>
    </row>
    <row r="599" ht="15.75" customHeight="1">
      <c r="A599" s="5" t="n"/>
      <c r="B599" s="6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8" t="n"/>
      <c r="L599" s="8" t="n"/>
      <c r="M599" s="5" t="n"/>
      <c r="N599" s="16" t="n"/>
      <c r="O599" s="5" t="n"/>
      <c r="P599" s="5" t="n"/>
      <c r="Q599" s="5" t="n"/>
      <c r="R599" s="5" t="n"/>
      <c r="S599" s="5" t="n"/>
      <c r="T599" s="5" t="n"/>
      <c r="U599" s="5" t="n"/>
      <c r="V599" s="5" t="n"/>
      <c r="W599" s="5" t="n"/>
      <c r="X599" s="5" t="n"/>
      <c r="Y599" s="5" t="n"/>
      <c r="Z599" s="5" t="n"/>
      <c r="AA599" s="5" t="n"/>
    </row>
    <row r="600" ht="15.75" customHeight="1">
      <c r="A600" s="5" t="n"/>
      <c r="B600" s="6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8" t="n"/>
      <c r="L600" s="8" t="n"/>
      <c r="M600" s="5" t="n"/>
      <c r="N600" s="16" t="n"/>
      <c r="O600" s="5" t="n"/>
      <c r="P600" s="5" t="n"/>
      <c r="Q600" s="5" t="n"/>
      <c r="R600" s="5" t="n"/>
      <c r="S600" s="5" t="n"/>
      <c r="T600" s="5" t="n"/>
      <c r="U600" s="5" t="n"/>
      <c r="V600" s="5" t="n"/>
      <c r="W600" s="5" t="n"/>
      <c r="X600" s="5" t="n"/>
      <c r="Y600" s="5" t="n"/>
      <c r="Z600" s="5" t="n"/>
      <c r="AA600" s="5" t="n"/>
    </row>
    <row r="601" ht="15.75" customHeight="1">
      <c r="A601" s="5" t="n"/>
      <c r="B601" s="6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8" t="n"/>
      <c r="L601" s="8" t="n"/>
      <c r="M601" s="5" t="n"/>
      <c r="N601" s="16" t="n"/>
      <c r="O601" s="5" t="n"/>
      <c r="P601" s="5" t="n"/>
      <c r="Q601" s="5" t="n"/>
      <c r="R601" s="5" t="n"/>
      <c r="S601" s="5" t="n"/>
      <c r="T601" s="5" t="n"/>
      <c r="U601" s="5" t="n"/>
      <c r="V601" s="5" t="n"/>
      <c r="W601" s="5" t="n"/>
      <c r="X601" s="5" t="n"/>
      <c r="Y601" s="5" t="n"/>
      <c r="Z601" s="5" t="n"/>
      <c r="AA601" s="5" t="n"/>
    </row>
    <row r="602" ht="15.75" customHeight="1">
      <c r="A602" s="5" t="n"/>
      <c r="B602" s="6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8" t="n"/>
      <c r="L602" s="8" t="n"/>
      <c r="M602" s="5" t="n"/>
      <c r="N602" s="16" t="n"/>
      <c r="O602" s="5" t="n"/>
      <c r="P602" s="5" t="n"/>
      <c r="Q602" s="5" t="n"/>
      <c r="R602" s="5" t="n"/>
      <c r="S602" s="5" t="n"/>
      <c r="T602" s="5" t="n"/>
      <c r="U602" s="5" t="n"/>
      <c r="V602" s="5" t="n"/>
      <c r="W602" s="5" t="n"/>
      <c r="X602" s="5" t="n"/>
      <c r="Y602" s="5" t="n"/>
      <c r="Z602" s="5" t="n"/>
      <c r="AA602" s="5" t="n"/>
    </row>
    <row r="603" ht="15.75" customHeight="1">
      <c r="A603" s="5" t="n"/>
      <c r="B603" s="6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8" t="n"/>
      <c r="L603" s="8" t="n"/>
      <c r="M603" s="5" t="n"/>
      <c r="N603" s="16" t="n"/>
      <c r="O603" s="5" t="n"/>
      <c r="P603" s="5" t="n"/>
      <c r="Q603" s="5" t="n"/>
      <c r="R603" s="5" t="n"/>
      <c r="S603" s="5" t="n"/>
      <c r="T603" s="5" t="n"/>
      <c r="U603" s="5" t="n"/>
      <c r="V603" s="5" t="n"/>
      <c r="W603" s="5" t="n"/>
      <c r="X603" s="5" t="n"/>
      <c r="Y603" s="5" t="n"/>
      <c r="Z603" s="5" t="n"/>
      <c r="AA603" s="5" t="n"/>
    </row>
    <row r="604" ht="15.75" customHeight="1">
      <c r="A604" s="5" t="n"/>
      <c r="B604" s="6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8" t="n"/>
      <c r="L604" s="8" t="n"/>
      <c r="M604" s="5" t="n"/>
      <c r="N604" s="16" t="n"/>
      <c r="O604" s="5" t="n"/>
      <c r="P604" s="5" t="n"/>
      <c r="Q604" s="5" t="n"/>
      <c r="R604" s="5" t="n"/>
      <c r="S604" s="5" t="n"/>
      <c r="T604" s="5" t="n"/>
      <c r="U604" s="5" t="n"/>
      <c r="V604" s="5" t="n"/>
      <c r="W604" s="5" t="n"/>
      <c r="X604" s="5" t="n"/>
      <c r="Y604" s="5" t="n"/>
      <c r="Z604" s="5" t="n"/>
      <c r="AA604" s="5" t="n"/>
    </row>
    <row r="605" ht="15.75" customHeight="1">
      <c r="A605" s="5" t="n"/>
      <c r="B605" s="6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8" t="n"/>
      <c r="L605" s="8" t="n"/>
      <c r="M605" s="5" t="n"/>
      <c r="N605" s="16" t="n"/>
      <c r="O605" s="5" t="n"/>
      <c r="P605" s="5" t="n"/>
      <c r="Q605" s="5" t="n"/>
      <c r="R605" s="5" t="n"/>
      <c r="S605" s="5" t="n"/>
      <c r="T605" s="5" t="n"/>
      <c r="U605" s="5" t="n"/>
      <c r="V605" s="5" t="n"/>
      <c r="W605" s="5" t="n"/>
      <c r="X605" s="5" t="n"/>
      <c r="Y605" s="5" t="n"/>
      <c r="Z605" s="5" t="n"/>
      <c r="AA605" s="5" t="n"/>
    </row>
    <row r="606" ht="15.75" customHeight="1">
      <c r="A606" s="5" t="n"/>
      <c r="B606" s="6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8" t="n"/>
      <c r="L606" s="8" t="n"/>
      <c r="M606" s="5" t="n"/>
      <c r="N606" s="16" t="n"/>
      <c r="O606" s="5" t="n"/>
      <c r="P606" s="5" t="n"/>
      <c r="Q606" s="5" t="n"/>
      <c r="R606" s="5" t="n"/>
      <c r="S606" s="5" t="n"/>
      <c r="T606" s="5" t="n"/>
      <c r="U606" s="5" t="n"/>
      <c r="V606" s="5" t="n"/>
      <c r="W606" s="5" t="n"/>
      <c r="X606" s="5" t="n"/>
      <c r="Y606" s="5" t="n"/>
      <c r="Z606" s="5" t="n"/>
      <c r="AA606" s="5" t="n"/>
    </row>
    <row r="607" ht="15.75" customHeight="1">
      <c r="A607" s="5" t="n"/>
      <c r="B607" s="6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8" t="n"/>
      <c r="L607" s="8" t="n"/>
      <c r="M607" s="5" t="n"/>
      <c r="N607" s="16" t="n"/>
      <c r="O607" s="5" t="n"/>
      <c r="P607" s="5" t="n"/>
      <c r="Q607" s="5" t="n"/>
      <c r="R607" s="5" t="n"/>
      <c r="S607" s="5" t="n"/>
      <c r="T607" s="5" t="n"/>
      <c r="U607" s="5" t="n"/>
      <c r="V607" s="5" t="n"/>
      <c r="W607" s="5" t="n"/>
      <c r="X607" s="5" t="n"/>
      <c r="Y607" s="5" t="n"/>
      <c r="Z607" s="5" t="n"/>
      <c r="AA607" s="5" t="n"/>
    </row>
    <row r="608" ht="15.75" customHeight="1">
      <c r="A608" s="5" t="n"/>
      <c r="B608" s="6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8" t="n"/>
      <c r="L608" s="8" t="n"/>
      <c r="M608" s="5" t="n"/>
      <c r="N608" s="16" t="n"/>
      <c r="O608" s="5" t="n"/>
      <c r="P608" s="5" t="n"/>
      <c r="Q608" s="5" t="n"/>
      <c r="R608" s="5" t="n"/>
      <c r="S608" s="5" t="n"/>
      <c r="T608" s="5" t="n"/>
      <c r="U608" s="5" t="n"/>
      <c r="V608" s="5" t="n"/>
      <c r="W608" s="5" t="n"/>
      <c r="X608" s="5" t="n"/>
      <c r="Y608" s="5" t="n"/>
      <c r="Z608" s="5" t="n"/>
      <c r="AA608" s="5" t="n"/>
    </row>
    <row r="609" ht="15.75" customHeight="1">
      <c r="A609" s="5" t="n"/>
      <c r="B609" s="6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8" t="n"/>
      <c r="L609" s="8" t="n"/>
      <c r="M609" s="5" t="n"/>
      <c r="N609" s="16" t="n"/>
      <c r="O609" s="5" t="n"/>
      <c r="P609" s="5" t="n"/>
      <c r="Q609" s="5" t="n"/>
      <c r="R609" s="5" t="n"/>
      <c r="S609" s="5" t="n"/>
      <c r="T609" s="5" t="n"/>
      <c r="U609" s="5" t="n"/>
      <c r="V609" s="5" t="n"/>
      <c r="W609" s="5" t="n"/>
      <c r="X609" s="5" t="n"/>
      <c r="Y609" s="5" t="n"/>
      <c r="Z609" s="5" t="n"/>
      <c r="AA609" s="5" t="n"/>
    </row>
    <row r="610" ht="15.75" customHeight="1">
      <c r="A610" s="5" t="n"/>
      <c r="B610" s="6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8" t="n"/>
      <c r="L610" s="8" t="n"/>
      <c r="M610" s="5" t="n"/>
      <c r="N610" s="16" t="n"/>
      <c r="O610" s="5" t="n"/>
      <c r="P610" s="5" t="n"/>
      <c r="Q610" s="5" t="n"/>
      <c r="R610" s="5" t="n"/>
      <c r="S610" s="5" t="n"/>
      <c r="T610" s="5" t="n"/>
      <c r="U610" s="5" t="n"/>
      <c r="V610" s="5" t="n"/>
      <c r="W610" s="5" t="n"/>
      <c r="X610" s="5" t="n"/>
      <c r="Y610" s="5" t="n"/>
      <c r="Z610" s="5" t="n"/>
      <c r="AA610" s="5" t="n"/>
    </row>
    <row r="611" ht="15.75" customHeight="1">
      <c r="A611" s="5" t="n"/>
      <c r="B611" s="6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8" t="n"/>
      <c r="L611" s="8" t="n"/>
      <c r="M611" s="5" t="n"/>
      <c r="N611" s="16" t="n"/>
      <c r="O611" s="5" t="n"/>
      <c r="P611" s="5" t="n"/>
      <c r="Q611" s="5" t="n"/>
      <c r="R611" s="5" t="n"/>
      <c r="S611" s="5" t="n"/>
      <c r="T611" s="5" t="n"/>
      <c r="U611" s="5" t="n"/>
      <c r="V611" s="5" t="n"/>
      <c r="W611" s="5" t="n"/>
      <c r="X611" s="5" t="n"/>
      <c r="Y611" s="5" t="n"/>
      <c r="Z611" s="5" t="n"/>
      <c r="AA611" s="5" t="n"/>
    </row>
    <row r="612" ht="15.75" customHeight="1">
      <c r="A612" s="5" t="n"/>
      <c r="B612" s="6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8" t="n"/>
      <c r="L612" s="8" t="n"/>
      <c r="M612" s="5" t="n"/>
      <c r="N612" s="16" t="n"/>
      <c r="O612" s="5" t="n"/>
      <c r="P612" s="5" t="n"/>
      <c r="Q612" s="5" t="n"/>
      <c r="R612" s="5" t="n"/>
      <c r="S612" s="5" t="n"/>
      <c r="T612" s="5" t="n"/>
      <c r="U612" s="5" t="n"/>
      <c r="V612" s="5" t="n"/>
      <c r="W612" s="5" t="n"/>
      <c r="X612" s="5" t="n"/>
      <c r="Y612" s="5" t="n"/>
      <c r="Z612" s="5" t="n"/>
      <c r="AA612" s="5" t="n"/>
    </row>
    <row r="613" ht="15.75" customHeight="1">
      <c r="A613" s="5" t="n"/>
      <c r="B613" s="6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8" t="n"/>
      <c r="L613" s="8" t="n"/>
      <c r="M613" s="5" t="n"/>
      <c r="N613" s="16" t="n"/>
      <c r="O613" s="5" t="n"/>
      <c r="P613" s="5" t="n"/>
      <c r="Q613" s="5" t="n"/>
      <c r="R613" s="5" t="n"/>
      <c r="S613" s="5" t="n"/>
      <c r="T613" s="5" t="n"/>
      <c r="U613" s="5" t="n"/>
      <c r="V613" s="5" t="n"/>
      <c r="W613" s="5" t="n"/>
      <c r="X613" s="5" t="n"/>
      <c r="Y613" s="5" t="n"/>
      <c r="Z613" s="5" t="n"/>
      <c r="AA613" s="5" t="n"/>
    </row>
    <row r="614" ht="15.75" customHeight="1">
      <c r="A614" s="5" t="n"/>
      <c r="B614" s="6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8" t="n"/>
      <c r="L614" s="8" t="n"/>
      <c r="M614" s="5" t="n"/>
      <c r="N614" s="16" t="n"/>
      <c r="O614" s="5" t="n"/>
      <c r="P614" s="5" t="n"/>
      <c r="Q614" s="5" t="n"/>
      <c r="R614" s="5" t="n"/>
      <c r="S614" s="5" t="n"/>
      <c r="T614" s="5" t="n"/>
      <c r="U614" s="5" t="n"/>
      <c r="V614" s="5" t="n"/>
      <c r="W614" s="5" t="n"/>
      <c r="X614" s="5" t="n"/>
      <c r="Y614" s="5" t="n"/>
      <c r="Z614" s="5" t="n"/>
      <c r="AA614" s="5" t="n"/>
    </row>
    <row r="615" ht="15.75" customHeight="1">
      <c r="A615" s="5" t="n"/>
      <c r="B615" s="6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8" t="n"/>
      <c r="L615" s="8" t="n"/>
      <c r="M615" s="5" t="n"/>
      <c r="N615" s="16" t="n"/>
      <c r="O615" s="5" t="n"/>
      <c r="P615" s="5" t="n"/>
      <c r="Q615" s="5" t="n"/>
      <c r="R615" s="5" t="n"/>
      <c r="S615" s="5" t="n"/>
      <c r="T615" s="5" t="n"/>
      <c r="U615" s="5" t="n"/>
      <c r="V615" s="5" t="n"/>
      <c r="W615" s="5" t="n"/>
      <c r="X615" s="5" t="n"/>
      <c r="Y615" s="5" t="n"/>
      <c r="Z615" s="5" t="n"/>
      <c r="AA615" s="5" t="n"/>
    </row>
    <row r="616" ht="15.75" customHeight="1">
      <c r="A616" s="5" t="n"/>
      <c r="B616" s="6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8" t="n"/>
      <c r="L616" s="8" t="n"/>
      <c r="M616" s="5" t="n"/>
      <c r="N616" s="16" t="n"/>
      <c r="O616" s="5" t="n"/>
      <c r="P616" s="5" t="n"/>
      <c r="Q616" s="5" t="n"/>
      <c r="R616" s="5" t="n"/>
      <c r="S616" s="5" t="n"/>
      <c r="T616" s="5" t="n"/>
      <c r="U616" s="5" t="n"/>
      <c r="V616" s="5" t="n"/>
      <c r="W616" s="5" t="n"/>
      <c r="X616" s="5" t="n"/>
      <c r="Y616" s="5" t="n"/>
      <c r="Z616" s="5" t="n"/>
      <c r="AA616" s="5" t="n"/>
    </row>
    <row r="617" ht="15.75" customHeight="1">
      <c r="A617" s="5" t="n"/>
      <c r="B617" s="6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8" t="n"/>
      <c r="L617" s="8" t="n"/>
      <c r="M617" s="5" t="n"/>
      <c r="N617" s="16" t="n"/>
      <c r="O617" s="5" t="n"/>
      <c r="P617" s="5" t="n"/>
      <c r="Q617" s="5" t="n"/>
      <c r="R617" s="5" t="n"/>
      <c r="S617" s="5" t="n"/>
      <c r="T617" s="5" t="n"/>
      <c r="U617" s="5" t="n"/>
      <c r="V617" s="5" t="n"/>
      <c r="W617" s="5" t="n"/>
      <c r="X617" s="5" t="n"/>
      <c r="Y617" s="5" t="n"/>
      <c r="Z617" s="5" t="n"/>
      <c r="AA617" s="5" t="n"/>
    </row>
    <row r="618" ht="15.75" customHeight="1">
      <c r="A618" s="5" t="n"/>
      <c r="B618" s="6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8" t="n"/>
      <c r="L618" s="8" t="n"/>
      <c r="M618" s="5" t="n"/>
      <c r="N618" s="16" t="n"/>
      <c r="O618" s="5" t="n"/>
      <c r="P618" s="5" t="n"/>
      <c r="Q618" s="5" t="n"/>
      <c r="R618" s="5" t="n"/>
      <c r="S618" s="5" t="n"/>
      <c r="T618" s="5" t="n"/>
      <c r="U618" s="5" t="n"/>
      <c r="V618" s="5" t="n"/>
      <c r="W618" s="5" t="n"/>
      <c r="X618" s="5" t="n"/>
      <c r="Y618" s="5" t="n"/>
      <c r="Z618" s="5" t="n"/>
      <c r="AA618" s="5" t="n"/>
    </row>
    <row r="619" ht="15.75" customHeight="1">
      <c r="A619" s="5" t="n"/>
      <c r="B619" s="6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8" t="n"/>
      <c r="L619" s="8" t="n"/>
      <c r="M619" s="5" t="n"/>
      <c r="N619" s="16" t="n"/>
      <c r="O619" s="5" t="n"/>
      <c r="P619" s="5" t="n"/>
      <c r="Q619" s="5" t="n"/>
      <c r="R619" s="5" t="n"/>
      <c r="S619" s="5" t="n"/>
      <c r="T619" s="5" t="n"/>
      <c r="U619" s="5" t="n"/>
      <c r="V619" s="5" t="n"/>
      <c r="W619" s="5" t="n"/>
      <c r="X619" s="5" t="n"/>
      <c r="Y619" s="5" t="n"/>
      <c r="Z619" s="5" t="n"/>
      <c r="AA619" s="5" t="n"/>
    </row>
    <row r="620" ht="15.75" customHeight="1">
      <c r="A620" s="5" t="n"/>
      <c r="B620" s="6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8" t="n"/>
      <c r="L620" s="8" t="n"/>
      <c r="M620" s="5" t="n"/>
      <c r="N620" s="16" t="n"/>
      <c r="O620" s="5" t="n"/>
      <c r="P620" s="5" t="n"/>
      <c r="Q620" s="5" t="n"/>
      <c r="R620" s="5" t="n"/>
      <c r="S620" s="5" t="n"/>
      <c r="T620" s="5" t="n"/>
      <c r="U620" s="5" t="n"/>
      <c r="V620" s="5" t="n"/>
      <c r="W620" s="5" t="n"/>
      <c r="X620" s="5" t="n"/>
      <c r="Y620" s="5" t="n"/>
      <c r="Z620" s="5" t="n"/>
      <c r="AA620" s="5" t="n"/>
    </row>
    <row r="621" ht="15.75" customHeight="1">
      <c r="A621" s="5" t="n"/>
      <c r="B621" s="6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8" t="n"/>
      <c r="L621" s="8" t="n"/>
      <c r="M621" s="5" t="n"/>
      <c r="N621" s="16" t="n"/>
      <c r="O621" s="5" t="n"/>
      <c r="P621" s="5" t="n"/>
      <c r="Q621" s="5" t="n"/>
      <c r="R621" s="5" t="n"/>
      <c r="S621" s="5" t="n"/>
      <c r="T621" s="5" t="n"/>
      <c r="U621" s="5" t="n"/>
      <c r="V621" s="5" t="n"/>
      <c r="W621" s="5" t="n"/>
      <c r="X621" s="5" t="n"/>
      <c r="Y621" s="5" t="n"/>
      <c r="Z621" s="5" t="n"/>
      <c r="AA621" s="5" t="n"/>
    </row>
    <row r="622" ht="15.75" customHeight="1">
      <c r="A622" s="5" t="n"/>
      <c r="B622" s="6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8" t="n"/>
      <c r="L622" s="8" t="n"/>
      <c r="M622" s="5" t="n"/>
      <c r="N622" s="16" t="n"/>
      <c r="O622" s="5" t="n"/>
      <c r="P622" s="5" t="n"/>
      <c r="Q622" s="5" t="n"/>
      <c r="R622" s="5" t="n"/>
      <c r="S622" s="5" t="n"/>
      <c r="T622" s="5" t="n"/>
      <c r="U622" s="5" t="n"/>
      <c r="V622" s="5" t="n"/>
      <c r="W622" s="5" t="n"/>
      <c r="X622" s="5" t="n"/>
      <c r="Y622" s="5" t="n"/>
      <c r="Z622" s="5" t="n"/>
      <c r="AA622" s="5" t="n"/>
    </row>
    <row r="623" ht="15.75" customHeight="1">
      <c r="A623" s="5" t="n"/>
      <c r="B623" s="6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8" t="n"/>
      <c r="L623" s="8" t="n"/>
      <c r="M623" s="5" t="n"/>
      <c r="N623" s="16" t="n"/>
      <c r="O623" s="5" t="n"/>
      <c r="P623" s="5" t="n"/>
      <c r="Q623" s="5" t="n"/>
      <c r="R623" s="5" t="n"/>
      <c r="S623" s="5" t="n"/>
      <c r="T623" s="5" t="n"/>
      <c r="U623" s="5" t="n"/>
      <c r="V623" s="5" t="n"/>
      <c r="W623" s="5" t="n"/>
      <c r="X623" s="5" t="n"/>
      <c r="Y623" s="5" t="n"/>
      <c r="Z623" s="5" t="n"/>
      <c r="AA623" s="5" t="n"/>
    </row>
    <row r="624" ht="15.75" customHeight="1">
      <c r="A624" s="5" t="n"/>
      <c r="B624" s="6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8" t="n"/>
      <c r="L624" s="8" t="n"/>
      <c r="M624" s="5" t="n"/>
      <c r="N624" s="16" t="n"/>
      <c r="O624" s="5" t="n"/>
      <c r="P624" s="5" t="n"/>
      <c r="Q624" s="5" t="n"/>
      <c r="R624" s="5" t="n"/>
      <c r="S624" s="5" t="n"/>
      <c r="T624" s="5" t="n"/>
      <c r="U624" s="5" t="n"/>
      <c r="V624" s="5" t="n"/>
      <c r="W624" s="5" t="n"/>
      <c r="X624" s="5" t="n"/>
      <c r="Y624" s="5" t="n"/>
      <c r="Z624" s="5" t="n"/>
      <c r="AA624" s="5" t="n"/>
    </row>
    <row r="625" ht="15.75" customHeight="1">
      <c r="A625" s="5" t="n"/>
      <c r="B625" s="6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8" t="n"/>
      <c r="L625" s="8" t="n"/>
      <c r="M625" s="5" t="n"/>
      <c r="N625" s="16" t="n"/>
      <c r="O625" s="5" t="n"/>
      <c r="P625" s="5" t="n"/>
      <c r="Q625" s="5" t="n"/>
      <c r="R625" s="5" t="n"/>
      <c r="S625" s="5" t="n"/>
      <c r="T625" s="5" t="n"/>
      <c r="U625" s="5" t="n"/>
      <c r="V625" s="5" t="n"/>
      <c r="W625" s="5" t="n"/>
      <c r="X625" s="5" t="n"/>
      <c r="Y625" s="5" t="n"/>
      <c r="Z625" s="5" t="n"/>
      <c r="AA625" s="5" t="n"/>
    </row>
    <row r="626" ht="15.75" customHeight="1">
      <c r="A626" s="5" t="n"/>
      <c r="B626" s="6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8" t="n"/>
      <c r="L626" s="8" t="n"/>
      <c r="M626" s="5" t="n"/>
      <c r="N626" s="16" t="n"/>
      <c r="O626" s="5" t="n"/>
      <c r="P626" s="5" t="n"/>
      <c r="Q626" s="5" t="n"/>
      <c r="R626" s="5" t="n"/>
      <c r="S626" s="5" t="n"/>
      <c r="T626" s="5" t="n"/>
      <c r="U626" s="5" t="n"/>
      <c r="V626" s="5" t="n"/>
      <c r="W626" s="5" t="n"/>
      <c r="X626" s="5" t="n"/>
      <c r="Y626" s="5" t="n"/>
      <c r="Z626" s="5" t="n"/>
      <c r="AA626" s="5" t="n"/>
    </row>
    <row r="627" ht="15.75" customHeight="1">
      <c r="A627" s="5" t="n"/>
      <c r="B627" s="6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8" t="n"/>
      <c r="L627" s="8" t="n"/>
      <c r="M627" s="5" t="n"/>
      <c r="N627" s="16" t="n"/>
      <c r="O627" s="5" t="n"/>
      <c r="P627" s="5" t="n"/>
      <c r="Q627" s="5" t="n"/>
      <c r="R627" s="5" t="n"/>
      <c r="S627" s="5" t="n"/>
      <c r="T627" s="5" t="n"/>
      <c r="U627" s="5" t="n"/>
      <c r="V627" s="5" t="n"/>
      <c r="W627" s="5" t="n"/>
      <c r="X627" s="5" t="n"/>
      <c r="Y627" s="5" t="n"/>
      <c r="Z627" s="5" t="n"/>
      <c r="AA627" s="5" t="n"/>
    </row>
    <row r="628" ht="15.75" customHeight="1">
      <c r="A628" s="5" t="n"/>
      <c r="B628" s="6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8" t="n"/>
      <c r="L628" s="8" t="n"/>
      <c r="M628" s="5" t="n"/>
      <c r="N628" s="16" t="n"/>
      <c r="O628" s="5" t="n"/>
      <c r="P628" s="5" t="n"/>
      <c r="Q628" s="5" t="n"/>
      <c r="R628" s="5" t="n"/>
      <c r="S628" s="5" t="n"/>
      <c r="T628" s="5" t="n"/>
      <c r="U628" s="5" t="n"/>
      <c r="V628" s="5" t="n"/>
      <c r="W628" s="5" t="n"/>
      <c r="X628" s="5" t="n"/>
      <c r="Y628" s="5" t="n"/>
      <c r="Z628" s="5" t="n"/>
      <c r="AA628" s="5" t="n"/>
    </row>
    <row r="629" ht="15.75" customHeight="1">
      <c r="A629" s="5" t="n"/>
      <c r="B629" s="6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8" t="n"/>
      <c r="L629" s="8" t="n"/>
      <c r="M629" s="5" t="n"/>
      <c r="N629" s="16" t="n"/>
      <c r="O629" s="5" t="n"/>
      <c r="P629" s="5" t="n"/>
      <c r="Q629" s="5" t="n"/>
      <c r="R629" s="5" t="n"/>
      <c r="S629" s="5" t="n"/>
      <c r="T629" s="5" t="n"/>
      <c r="U629" s="5" t="n"/>
      <c r="V629" s="5" t="n"/>
      <c r="W629" s="5" t="n"/>
      <c r="X629" s="5" t="n"/>
      <c r="Y629" s="5" t="n"/>
      <c r="Z629" s="5" t="n"/>
      <c r="AA629" s="5" t="n"/>
    </row>
    <row r="630" ht="15.75" customHeight="1">
      <c r="A630" s="5" t="n"/>
      <c r="B630" s="6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8" t="n"/>
      <c r="L630" s="8" t="n"/>
      <c r="M630" s="5" t="n"/>
      <c r="N630" s="16" t="n"/>
      <c r="O630" s="5" t="n"/>
      <c r="P630" s="5" t="n"/>
      <c r="Q630" s="5" t="n"/>
      <c r="R630" s="5" t="n"/>
      <c r="S630" s="5" t="n"/>
      <c r="T630" s="5" t="n"/>
      <c r="U630" s="5" t="n"/>
      <c r="V630" s="5" t="n"/>
      <c r="W630" s="5" t="n"/>
      <c r="X630" s="5" t="n"/>
      <c r="Y630" s="5" t="n"/>
      <c r="Z630" s="5" t="n"/>
      <c r="AA630" s="5" t="n"/>
    </row>
    <row r="631" ht="15.75" customHeight="1">
      <c r="A631" s="5" t="n"/>
      <c r="B631" s="6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8" t="n"/>
      <c r="L631" s="8" t="n"/>
      <c r="M631" s="5" t="n"/>
      <c r="N631" s="16" t="n"/>
      <c r="O631" s="5" t="n"/>
      <c r="P631" s="5" t="n"/>
      <c r="Q631" s="5" t="n"/>
      <c r="R631" s="5" t="n"/>
      <c r="S631" s="5" t="n"/>
      <c r="T631" s="5" t="n"/>
      <c r="U631" s="5" t="n"/>
      <c r="V631" s="5" t="n"/>
      <c r="W631" s="5" t="n"/>
      <c r="X631" s="5" t="n"/>
      <c r="Y631" s="5" t="n"/>
      <c r="Z631" s="5" t="n"/>
      <c r="AA631" s="5" t="n"/>
    </row>
    <row r="632" ht="15.75" customHeight="1">
      <c r="A632" s="5" t="n"/>
      <c r="B632" s="6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8" t="n"/>
      <c r="L632" s="8" t="n"/>
      <c r="M632" s="5" t="n"/>
      <c r="N632" s="16" t="n"/>
      <c r="O632" s="5" t="n"/>
      <c r="P632" s="5" t="n"/>
      <c r="Q632" s="5" t="n"/>
      <c r="R632" s="5" t="n"/>
      <c r="S632" s="5" t="n"/>
      <c r="T632" s="5" t="n"/>
      <c r="U632" s="5" t="n"/>
      <c r="V632" s="5" t="n"/>
      <c r="W632" s="5" t="n"/>
      <c r="X632" s="5" t="n"/>
      <c r="Y632" s="5" t="n"/>
      <c r="Z632" s="5" t="n"/>
      <c r="AA632" s="5" t="n"/>
    </row>
    <row r="633" ht="15.75" customHeight="1">
      <c r="A633" s="5" t="n"/>
      <c r="B633" s="6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8" t="n"/>
      <c r="L633" s="8" t="n"/>
      <c r="M633" s="5" t="n"/>
      <c r="N633" s="16" t="n"/>
      <c r="O633" s="5" t="n"/>
      <c r="P633" s="5" t="n"/>
      <c r="Q633" s="5" t="n"/>
      <c r="R633" s="5" t="n"/>
      <c r="S633" s="5" t="n"/>
      <c r="T633" s="5" t="n"/>
      <c r="U633" s="5" t="n"/>
      <c r="V633" s="5" t="n"/>
      <c r="W633" s="5" t="n"/>
      <c r="X633" s="5" t="n"/>
      <c r="Y633" s="5" t="n"/>
      <c r="Z633" s="5" t="n"/>
      <c r="AA633" s="5" t="n"/>
    </row>
    <row r="634" ht="15.75" customHeight="1">
      <c r="A634" s="5" t="n"/>
      <c r="B634" s="6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8" t="n"/>
      <c r="L634" s="8" t="n"/>
      <c r="M634" s="5" t="n"/>
      <c r="N634" s="16" t="n"/>
      <c r="O634" s="5" t="n"/>
      <c r="P634" s="5" t="n"/>
      <c r="Q634" s="5" t="n"/>
      <c r="R634" s="5" t="n"/>
      <c r="S634" s="5" t="n"/>
      <c r="T634" s="5" t="n"/>
      <c r="U634" s="5" t="n"/>
      <c r="V634" s="5" t="n"/>
      <c r="W634" s="5" t="n"/>
      <c r="X634" s="5" t="n"/>
      <c r="Y634" s="5" t="n"/>
      <c r="Z634" s="5" t="n"/>
      <c r="AA634" s="5" t="n"/>
    </row>
    <row r="635" ht="15.75" customHeight="1">
      <c r="A635" s="5" t="n"/>
      <c r="B635" s="6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8" t="n"/>
      <c r="L635" s="8" t="n"/>
      <c r="M635" s="5" t="n"/>
      <c r="N635" s="16" t="n"/>
      <c r="O635" s="5" t="n"/>
      <c r="P635" s="5" t="n"/>
      <c r="Q635" s="5" t="n"/>
      <c r="R635" s="5" t="n"/>
      <c r="S635" s="5" t="n"/>
      <c r="T635" s="5" t="n"/>
      <c r="U635" s="5" t="n"/>
      <c r="V635" s="5" t="n"/>
      <c r="W635" s="5" t="n"/>
      <c r="X635" s="5" t="n"/>
      <c r="Y635" s="5" t="n"/>
      <c r="Z635" s="5" t="n"/>
      <c r="AA635" s="5" t="n"/>
    </row>
    <row r="636" ht="15.75" customHeight="1">
      <c r="A636" s="5" t="n"/>
      <c r="B636" s="6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8" t="n"/>
      <c r="L636" s="8" t="n"/>
      <c r="M636" s="5" t="n"/>
      <c r="N636" s="16" t="n"/>
      <c r="O636" s="5" t="n"/>
      <c r="P636" s="5" t="n"/>
      <c r="Q636" s="5" t="n"/>
      <c r="R636" s="5" t="n"/>
      <c r="S636" s="5" t="n"/>
      <c r="T636" s="5" t="n"/>
      <c r="U636" s="5" t="n"/>
      <c r="V636" s="5" t="n"/>
      <c r="W636" s="5" t="n"/>
      <c r="X636" s="5" t="n"/>
      <c r="Y636" s="5" t="n"/>
      <c r="Z636" s="5" t="n"/>
      <c r="AA636" s="5" t="n"/>
    </row>
    <row r="637" ht="15.75" customHeight="1">
      <c r="A637" s="5" t="n"/>
      <c r="B637" s="6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8" t="n"/>
      <c r="L637" s="8" t="n"/>
      <c r="M637" s="5" t="n"/>
      <c r="N637" s="16" t="n"/>
      <c r="O637" s="5" t="n"/>
      <c r="P637" s="5" t="n"/>
      <c r="Q637" s="5" t="n"/>
      <c r="R637" s="5" t="n"/>
      <c r="S637" s="5" t="n"/>
      <c r="T637" s="5" t="n"/>
      <c r="U637" s="5" t="n"/>
      <c r="V637" s="5" t="n"/>
      <c r="W637" s="5" t="n"/>
      <c r="X637" s="5" t="n"/>
      <c r="Y637" s="5" t="n"/>
      <c r="Z637" s="5" t="n"/>
      <c r="AA637" s="5" t="n"/>
    </row>
    <row r="638" ht="15.75" customHeight="1">
      <c r="A638" s="5" t="n"/>
      <c r="B638" s="6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8" t="n"/>
      <c r="L638" s="8" t="n"/>
      <c r="M638" s="5" t="n"/>
      <c r="N638" s="16" t="n"/>
      <c r="O638" s="5" t="n"/>
      <c r="P638" s="5" t="n"/>
      <c r="Q638" s="5" t="n"/>
      <c r="R638" s="5" t="n"/>
      <c r="S638" s="5" t="n"/>
      <c r="T638" s="5" t="n"/>
      <c r="U638" s="5" t="n"/>
      <c r="V638" s="5" t="n"/>
      <c r="W638" s="5" t="n"/>
      <c r="X638" s="5" t="n"/>
      <c r="Y638" s="5" t="n"/>
      <c r="Z638" s="5" t="n"/>
      <c r="AA638" s="5" t="n"/>
    </row>
    <row r="639" ht="15.75" customHeight="1">
      <c r="A639" s="5" t="n"/>
      <c r="B639" s="6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8" t="n"/>
      <c r="L639" s="8" t="n"/>
      <c r="M639" s="5" t="n"/>
      <c r="N639" s="16" t="n"/>
      <c r="O639" s="5" t="n"/>
      <c r="P639" s="5" t="n"/>
      <c r="Q639" s="5" t="n"/>
      <c r="R639" s="5" t="n"/>
      <c r="S639" s="5" t="n"/>
      <c r="T639" s="5" t="n"/>
      <c r="U639" s="5" t="n"/>
      <c r="V639" s="5" t="n"/>
      <c r="W639" s="5" t="n"/>
      <c r="X639" s="5" t="n"/>
      <c r="Y639" s="5" t="n"/>
      <c r="Z639" s="5" t="n"/>
      <c r="AA639" s="5" t="n"/>
    </row>
    <row r="640" ht="15.75" customHeight="1">
      <c r="A640" s="5" t="n"/>
      <c r="B640" s="6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8" t="n"/>
      <c r="L640" s="8" t="n"/>
      <c r="M640" s="5" t="n"/>
      <c r="N640" s="16" t="n"/>
      <c r="O640" s="5" t="n"/>
      <c r="P640" s="5" t="n"/>
      <c r="Q640" s="5" t="n"/>
      <c r="R640" s="5" t="n"/>
      <c r="S640" s="5" t="n"/>
      <c r="T640" s="5" t="n"/>
      <c r="U640" s="5" t="n"/>
      <c r="V640" s="5" t="n"/>
      <c r="W640" s="5" t="n"/>
      <c r="X640" s="5" t="n"/>
      <c r="Y640" s="5" t="n"/>
      <c r="Z640" s="5" t="n"/>
      <c r="AA640" s="5" t="n"/>
    </row>
    <row r="641" ht="15.75" customHeight="1">
      <c r="A641" s="5" t="n"/>
      <c r="B641" s="6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8" t="n"/>
      <c r="L641" s="8" t="n"/>
      <c r="M641" s="5" t="n"/>
      <c r="N641" s="16" t="n"/>
      <c r="O641" s="5" t="n"/>
      <c r="P641" s="5" t="n"/>
      <c r="Q641" s="5" t="n"/>
      <c r="R641" s="5" t="n"/>
      <c r="S641" s="5" t="n"/>
      <c r="T641" s="5" t="n"/>
      <c r="U641" s="5" t="n"/>
      <c r="V641" s="5" t="n"/>
      <c r="W641" s="5" t="n"/>
      <c r="X641" s="5" t="n"/>
      <c r="Y641" s="5" t="n"/>
      <c r="Z641" s="5" t="n"/>
      <c r="AA641" s="5" t="n"/>
    </row>
    <row r="642" ht="15.75" customHeight="1">
      <c r="A642" s="5" t="n"/>
      <c r="B642" s="6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8" t="n"/>
      <c r="L642" s="8" t="n"/>
      <c r="M642" s="5" t="n"/>
      <c r="N642" s="16" t="n"/>
      <c r="O642" s="5" t="n"/>
      <c r="P642" s="5" t="n"/>
      <c r="Q642" s="5" t="n"/>
      <c r="R642" s="5" t="n"/>
      <c r="S642" s="5" t="n"/>
      <c r="T642" s="5" t="n"/>
      <c r="U642" s="5" t="n"/>
      <c r="V642" s="5" t="n"/>
      <c r="W642" s="5" t="n"/>
      <c r="X642" s="5" t="n"/>
      <c r="Y642" s="5" t="n"/>
      <c r="Z642" s="5" t="n"/>
      <c r="AA642" s="5" t="n"/>
    </row>
    <row r="643" ht="15.75" customHeight="1">
      <c r="A643" s="5" t="n"/>
      <c r="B643" s="6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8" t="n"/>
      <c r="L643" s="8" t="n"/>
      <c r="M643" s="5" t="n"/>
      <c r="N643" s="16" t="n"/>
      <c r="O643" s="5" t="n"/>
      <c r="P643" s="5" t="n"/>
      <c r="Q643" s="5" t="n"/>
      <c r="R643" s="5" t="n"/>
      <c r="S643" s="5" t="n"/>
      <c r="T643" s="5" t="n"/>
      <c r="U643" s="5" t="n"/>
      <c r="V643" s="5" t="n"/>
      <c r="W643" s="5" t="n"/>
      <c r="X643" s="5" t="n"/>
      <c r="Y643" s="5" t="n"/>
      <c r="Z643" s="5" t="n"/>
      <c r="AA643" s="5" t="n"/>
    </row>
    <row r="644" ht="15.75" customHeight="1">
      <c r="A644" s="5" t="n"/>
      <c r="B644" s="6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8" t="n"/>
      <c r="L644" s="8" t="n"/>
      <c r="M644" s="5" t="n"/>
      <c r="N644" s="16" t="n"/>
      <c r="O644" s="5" t="n"/>
      <c r="P644" s="5" t="n"/>
      <c r="Q644" s="5" t="n"/>
      <c r="R644" s="5" t="n"/>
      <c r="S644" s="5" t="n"/>
      <c r="T644" s="5" t="n"/>
      <c r="U644" s="5" t="n"/>
      <c r="V644" s="5" t="n"/>
      <c r="W644" s="5" t="n"/>
      <c r="X644" s="5" t="n"/>
      <c r="Y644" s="5" t="n"/>
      <c r="Z644" s="5" t="n"/>
      <c r="AA644" s="5" t="n"/>
    </row>
    <row r="645" ht="15.75" customHeight="1">
      <c r="A645" s="5" t="n"/>
      <c r="B645" s="6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8" t="n"/>
      <c r="L645" s="8" t="n"/>
      <c r="M645" s="5" t="n"/>
      <c r="N645" s="16" t="n"/>
      <c r="O645" s="5" t="n"/>
      <c r="P645" s="5" t="n"/>
      <c r="Q645" s="5" t="n"/>
      <c r="R645" s="5" t="n"/>
      <c r="S645" s="5" t="n"/>
      <c r="T645" s="5" t="n"/>
      <c r="U645" s="5" t="n"/>
      <c r="V645" s="5" t="n"/>
      <c r="W645" s="5" t="n"/>
      <c r="X645" s="5" t="n"/>
      <c r="Y645" s="5" t="n"/>
      <c r="Z645" s="5" t="n"/>
      <c r="AA645" s="5" t="n"/>
    </row>
    <row r="646" ht="15.75" customHeight="1">
      <c r="A646" s="5" t="n"/>
      <c r="B646" s="6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8" t="n"/>
      <c r="L646" s="8" t="n"/>
      <c r="M646" s="5" t="n"/>
      <c r="N646" s="16" t="n"/>
      <c r="O646" s="5" t="n"/>
      <c r="P646" s="5" t="n"/>
      <c r="Q646" s="5" t="n"/>
      <c r="R646" s="5" t="n"/>
      <c r="S646" s="5" t="n"/>
      <c r="T646" s="5" t="n"/>
      <c r="U646" s="5" t="n"/>
      <c r="V646" s="5" t="n"/>
      <c r="W646" s="5" t="n"/>
      <c r="X646" s="5" t="n"/>
      <c r="Y646" s="5" t="n"/>
      <c r="Z646" s="5" t="n"/>
      <c r="AA646" s="5" t="n"/>
    </row>
    <row r="647" ht="15.75" customHeight="1">
      <c r="A647" s="5" t="n"/>
      <c r="B647" s="6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8" t="n"/>
      <c r="L647" s="8" t="n"/>
      <c r="M647" s="5" t="n"/>
      <c r="N647" s="16" t="n"/>
      <c r="O647" s="5" t="n"/>
      <c r="P647" s="5" t="n"/>
      <c r="Q647" s="5" t="n"/>
      <c r="R647" s="5" t="n"/>
      <c r="S647" s="5" t="n"/>
      <c r="T647" s="5" t="n"/>
      <c r="U647" s="5" t="n"/>
      <c r="V647" s="5" t="n"/>
      <c r="W647" s="5" t="n"/>
      <c r="X647" s="5" t="n"/>
      <c r="Y647" s="5" t="n"/>
      <c r="Z647" s="5" t="n"/>
      <c r="AA647" s="5" t="n"/>
    </row>
    <row r="648" ht="15.75" customHeight="1">
      <c r="A648" s="5" t="n"/>
      <c r="B648" s="6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8" t="n"/>
      <c r="L648" s="8" t="n"/>
      <c r="M648" s="5" t="n"/>
      <c r="N648" s="16" t="n"/>
      <c r="O648" s="5" t="n"/>
      <c r="P648" s="5" t="n"/>
      <c r="Q648" s="5" t="n"/>
      <c r="R648" s="5" t="n"/>
      <c r="S648" s="5" t="n"/>
      <c r="T648" s="5" t="n"/>
      <c r="U648" s="5" t="n"/>
      <c r="V648" s="5" t="n"/>
      <c r="W648" s="5" t="n"/>
      <c r="X648" s="5" t="n"/>
      <c r="Y648" s="5" t="n"/>
      <c r="Z648" s="5" t="n"/>
      <c r="AA648" s="5" t="n"/>
    </row>
    <row r="649" ht="15.75" customHeight="1">
      <c r="A649" s="5" t="n"/>
      <c r="B649" s="6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8" t="n"/>
      <c r="L649" s="8" t="n"/>
      <c r="M649" s="5" t="n"/>
      <c r="N649" s="16" t="n"/>
      <c r="O649" s="5" t="n"/>
      <c r="P649" s="5" t="n"/>
      <c r="Q649" s="5" t="n"/>
      <c r="R649" s="5" t="n"/>
      <c r="S649" s="5" t="n"/>
      <c r="T649" s="5" t="n"/>
      <c r="U649" s="5" t="n"/>
      <c r="V649" s="5" t="n"/>
      <c r="W649" s="5" t="n"/>
      <c r="X649" s="5" t="n"/>
      <c r="Y649" s="5" t="n"/>
      <c r="Z649" s="5" t="n"/>
      <c r="AA649" s="5" t="n"/>
    </row>
    <row r="650" ht="15.75" customHeight="1">
      <c r="A650" s="5" t="n"/>
      <c r="B650" s="6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8" t="n"/>
      <c r="L650" s="8" t="n"/>
      <c r="M650" s="5" t="n"/>
      <c r="N650" s="16" t="n"/>
      <c r="O650" s="5" t="n"/>
      <c r="P650" s="5" t="n"/>
      <c r="Q650" s="5" t="n"/>
      <c r="R650" s="5" t="n"/>
      <c r="S650" s="5" t="n"/>
      <c r="T650" s="5" t="n"/>
      <c r="U650" s="5" t="n"/>
      <c r="V650" s="5" t="n"/>
      <c r="W650" s="5" t="n"/>
      <c r="X650" s="5" t="n"/>
      <c r="Y650" s="5" t="n"/>
      <c r="Z650" s="5" t="n"/>
      <c r="AA650" s="5" t="n"/>
    </row>
    <row r="651" ht="15.75" customHeight="1">
      <c r="A651" s="5" t="n"/>
      <c r="B651" s="6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8" t="n"/>
      <c r="L651" s="8" t="n"/>
      <c r="M651" s="5" t="n"/>
      <c r="N651" s="16" t="n"/>
      <c r="O651" s="5" t="n"/>
      <c r="P651" s="5" t="n"/>
      <c r="Q651" s="5" t="n"/>
      <c r="R651" s="5" t="n"/>
      <c r="S651" s="5" t="n"/>
      <c r="T651" s="5" t="n"/>
      <c r="U651" s="5" t="n"/>
      <c r="V651" s="5" t="n"/>
      <c r="W651" s="5" t="n"/>
      <c r="X651" s="5" t="n"/>
      <c r="Y651" s="5" t="n"/>
      <c r="Z651" s="5" t="n"/>
      <c r="AA651" s="5" t="n"/>
    </row>
    <row r="652" ht="15.75" customHeight="1">
      <c r="A652" s="5" t="n"/>
      <c r="B652" s="6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8" t="n"/>
      <c r="L652" s="8" t="n"/>
      <c r="M652" s="5" t="n"/>
      <c r="N652" s="16" t="n"/>
      <c r="O652" s="5" t="n"/>
      <c r="P652" s="5" t="n"/>
      <c r="Q652" s="5" t="n"/>
      <c r="R652" s="5" t="n"/>
      <c r="S652" s="5" t="n"/>
      <c r="T652" s="5" t="n"/>
      <c r="U652" s="5" t="n"/>
      <c r="V652" s="5" t="n"/>
      <c r="W652" s="5" t="n"/>
      <c r="X652" s="5" t="n"/>
      <c r="Y652" s="5" t="n"/>
      <c r="Z652" s="5" t="n"/>
      <c r="AA652" s="5" t="n"/>
    </row>
    <row r="653" ht="15.75" customHeight="1">
      <c r="A653" s="5" t="n"/>
      <c r="B653" s="6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8" t="n"/>
      <c r="L653" s="8" t="n"/>
      <c r="M653" s="5" t="n"/>
      <c r="N653" s="16" t="n"/>
      <c r="O653" s="5" t="n"/>
      <c r="P653" s="5" t="n"/>
      <c r="Q653" s="5" t="n"/>
      <c r="R653" s="5" t="n"/>
      <c r="S653" s="5" t="n"/>
      <c r="T653" s="5" t="n"/>
      <c r="U653" s="5" t="n"/>
      <c r="V653" s="5" t="n"/>
      <c r="W653" s="5" t="n"/>
      <c r="X653" s="5" t="n"/>
      <c r="Y653" s="5" t="n"/>
      <c r="Z653" s="5" t="n"/>
      <c r="AA653" s="5" t="n"/>
    </row>
    <row r="654" ht="15.75" customHeight="1">
      <c r="A654" s="5" t="n"/>
      <c r="B654" s="6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8" t="n"/>
      <c r="L654" s="8" t="n"/>
      <c r="M654" s="5" t="n"/>
      <c r="N654" s="16" t="n"/>
      <c r="O654" s="5" t="n"/>
      <c r="P654" s="5" t="n"/>
      <c r="Q654" s="5" t="n"/>
      <c r="R654" s="5" t="n"/>
      <c r="S654" s="5" t="n"/>
      <c r="T654" s="5" t="n"/>
      <c r="U654" s="5" t="n"/>
      <c r="V654" s="5" t="n"/>
      <c r="W654" s="5" t="n"/>
      <c r="X654" s="5" t="n"/>
      <c r="Y654" s="5" t="n"/>
      <c r="Z654" s="5" t="n"/>
      <c r="AA654" s="5" t="n"/>
    </row>
    <row r="655" ht="15.75" customHeight="1">
      <c r="A655" s="5" t="n"/>
      <c r="B655" s="6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8" t="n"/>
      <c r="L655" s="8" t="n"/>
      <c r="M655" s="5" t="n"/>
      <c r="N655" s="16" t="n"/>
      <c r="O655" s="5" t="n"/>
      <c r="P655" s="5" t="n"/>
      <c r="Q655" s="5" t="n"/>
      <c r="R655" s="5" t="n"/>
      <c r="S655" s="5" t="n"/>
      <c r="T655" s="5" t="n"/>
      <c r="U655" s="5" t="n"/>
      <c r="V655" s="5" t="n"/>
      <c r="W655" s="5" t="n"/>
      <c r="X655" s="5" t="n"/>
      <c r="Y655" s="5" t="n"/>
      <c r="Z655" s="5" t="n"/>
      <c r="AA655" s="5" t="n"/>
    </row>
    <row r="656" ht="15.75" customHeight="1">
      <c r="A656" s="5" t="n"/>
      <c r="B656" s="6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8" t="n"/>
      <c r="L656" s="8" t="n"/>
      <c r="M656" s="5" t="n"/>
      <c r="N656" s="16" t="n"/>
      <c r="O656" s="5" t="n"/>
      <c r="P656" s="5" t="n"/>
      <c r="Q656" s="5" t="n"/>
      <c r="R656" s="5" t="n"/>
      <c r="S656" s="5" t="n"/>
      <c r="T656" s="5" t="n"/>
      <c r="U656" s="5" t="n"/>
      <c r="V656" s="5" t="n"/>
      <c r="W656" s="5" t="n"/>
      <c r="X656" s="5" t="n"/>
      <c r="Y656" s="5" t="n"/>
      <c r="Z656" s="5" t="n"/>
      <c r="AA656" s="5" t="n"/>
    </row>
    <row r="657" ht="15.75" customHeight="1">
      <c r="A657" s="5" t="n"/>
      <c r="B657" s="6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8" t="n"/>
      <c r="L657" s="8" t="n"/>
      <c r="M657" s="5" t="n"/>
      <c r="N657" s="16" t="n"/>
      <c r="O657" s="5" t="n"/>
      <c r="P657" s="5" t="n"/>
      <c r="Q657" s="5" t="n"/>
      <c r="R657" s="5" t="n"/>
      <c r="S657" s="5" t="n"/>
      <c r="T657" s="5" t="n"/>
      <c r="U657" s="5" t="n"/>
      <c r="V657" s="5" t="n"/>
      <c r="W657" s="5" t="n"/>
      <c r="X657" s="5" t="n"/>
      <c r="Y657" s="5" t="n"/>
      <c r="Z657" s="5" t="n"/>
      <c r="AA657" s="5" t="n"/>
    </row>
    <row r="658" ht="15.75" customHeight="1">
      <c r="A658" s="5" t="n"/>
      <c r="B658" s="6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8" t="n"/>
      <c r="L658" s="8" t="n"/>
      <c r="M658" s="5" t="n"/>
      <c r="N658" s="16" t="n"/>
      <c r="O658" s="5" t="n"/>
      <c r="P658" s="5" t="n"/>
      <c r="Q658" s="5" t="n"/>
      <c r="R658" s="5" t="n"/>
      <c r="S658" s="5" t="n"/>
      <c r="T658" s="5" t="n"/>
      <c r="U658" s="5" t="n"/>
      <c r="V658" s="5" t="n"/>
      <c r="W658" s="5" t="n"/>
      <c r="X658" s="5" t="n"/>
      <c r="Y658" s="5" t="n"/>
      <c r="Z658" s="5" t="n"/>
      <c r="AA658" s="5" t="n"/>
    </row>
    <row r="659" ht="15.75" customHeight="1">
      <c r="A659" s="5" t="n"/>
      <c r="B659" s="6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8" t="n"/>
      <c r="L659" s="8" t="n"/>
      <c r="M659" s="5" t="n"/>
      <c r="N659" s="16" t="n"/>
      <c r="O659" s="5" t="n"/>
      <c r="P659" s="5" t="n"/>
      <c r="Q659" s="5" t="n"/>
      <c r="R659" s="5" t="n"/>
      <c r="S659" s="5" t="n"/>
      <c r="T659" s="5" t="n"/>
      <c r="U659" s="5" t="n"/>
      <c r="V659" s="5" t="n"/>
      <c r="W659" s="5" t="n"/>
      <c r="X659" s="5" t="n"/>
      <c r="Y659" s="5" t="n"/>
      <c r="Z659" s="5" t="n"/>
      <c r="AA659" s="5" t="n"/>
    </row>
    <row r="660" ht="15.75" customHeight="1">
      <c r="A660" s="5" t="n"/>
      <c r="B660" s="6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8" t="n"/>
      <c r="L660" s="8" t="n"/>
      <c r="M660" s="5" t="n"/>
      <c r="N660" s="16" t="n"/>
      <c r="O660" s="5" t="n"/>
      <c r="P660" s="5" t="n"/>
      <c r="Q660" s="5" t="n"/>
      <c r="R660" s="5" t="n"/>
      <c r="S660" s="5" t="n"/>
      <c r="T660" s="5" t="n"/>
      <c r="U660" s="5" t="n"/>
      <c r="V660" s="5" t="n"/>
      <c r="W660" s="5" t="n"/>
      <c r="X660" s="5" t="n"/>
      <c r="Y660" s="5" t="n"/>
      <c r="Z660" s="5" t="n"/>
      <c r="AA660" s="5" t="n"/>
    </row>
    <row r="661" ht="15.75" customHeight="1">
      <c r="A661" s="5" t="n"/>
      <c r="B661" s="6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8" t="n"/>
      <c r="L661" s="8" t="n"/>
      <c r="M661" s="5" t="n"/>
      <c r="N661" s="16" t="n"/>
      <c r="O661" s="5" t="n"/>
      <c r="P661" s="5" t="n"/>
      <c r="Q661" s="5" t="n"/>
      <c r="R661" s="5" t="n"/>
      <c r="S661" s="5" t="n"/>
      <c r="T661" s="5" t="n"/>
      <c r="U661" s="5" t="n"/>
      <c r="V661" s="5" t="n"/>
      <c r="W661" s="5" t="n"/>
      <c r="X661" s="5" t="n"/>
      <c r="Y661" s="5" t="n"/>
      <c r="Z661" s="5" t="n"/>
      <c r="AA661" s="5" t="n"/>
    </row>
    <row r="662" ht="15.75" customHeight="1">
      <c r="A662" s="5" t="n"/>
      <c r="B662" s="6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8" t="n"/>
      <c r="L662" s="8" t="n"/>
      <c r="M662" s="5" t="n"/>
      <c r="N662" s="16" t="n"/>
      <c r="O662" s="5" t="n"/>
      <c r="P662" s="5" t="n"/>
      <c r="Q662" s="5" t="n"/>
      <c r="R662" s="5" t="n"/>
      <c r="S662" s="5" t="n"/>
      <c r="T662" s="5" t="n"/>
      <c r="U662" s="5" t="n"/>
      <c r="V662" s="5" t="n"/>
      <c r="W662" s="5" t="n"/>
      <c r="X662" s="5" t="n"/>
      <c r="Y662" s="5" t="n"/>
      <c r="Z662" s="5" t="n"/>
      <c r="AA662" s="5" t="n"/>
    </row>
    <row r="663" ht="15.75" customHeight="1">
      <c r="A663" s="5" t="n"/>
      <c r="B663" s="6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8" t="n"/>
      <c r="L663" s="8" t="n"/>
      <c r="M663" s="5" t="n"/>
      <c r="N663" s="16" t="n"/>
      <c r="O663" s="5" t="n"/>
      <c r="P663" s="5" t="n"/>
      <c r="Q663" s="5" t="n"/>
      <c r="R663" s="5" t="n"/>
      <c r="S663" s="5" t="n"/>
      <c r="T663" s="5" t="n"/>
      <c r="U663" s="5" t="n"/>
      <c r="V663" s="5" t="n"/>
      <c r="W663" s="5" t="n"/>
      <c r="X663" s="5" t="n"/>
      <c r="Y663" s="5" t="n"/>
      <c r="Z663" s="5" t="n"/>
      <c r="AA663" s="5" t="n"/>
    </row>
    <row r="664" ht="15.75" customHeight="1">
      <c r="A664" s="5" t="n"/>
      <c r="B664" s="6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8" t="n"/>
      <c r="L664" s="8" t="n"/>
      <c r="M664" s="5" t="n"/>
      <c r="N664" s="16" t="n"/>
      <c r="O664" s="5" t="n"/>
      <c r="P664" s="5" t="n"/>
      <c r="Q664" s="5" t="n"/>
      <c r="R664" s="5" t="n"/>
      <c r="S664" s="5" t="n"/>
      <c r="T664" s="5" t="n"/>
      <c r="U664" s="5" t="n"/>
      <c r="V664" s="5" t="n"/>
      <c r="W664" s="5" t="n"/>
      <c r="X664" s="5" t="n"/>
      <c r="Y664" s="5" t="n"/>
      <c r="Z664" s="5" t="n"/>
      <c r="AA664" s="5" t="n"/>
    </row>
    <row r="665" ht="15.75" customHeight="1">
      <c r="A665" s="5" t="n"/>
      <c r="B665" s="6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8" t="n"/>
      <c r="L665" s="8" t="n"/>
      <c r="M665" s="5" t="n"/>
      <c r="N665" s="16" t="n"/>
      <c r="O665" s="5" t="n"/>
      <c r="P665" s="5" t="n"/>
      <c r="Q665" s="5" t="n"/>
      <c r="R665" s="5" t="n"/>
      <c r="S665" s="5" t="n"/>
      <c r="T665" s="5" t="n"/>
      <c r="U665" s="5" t="n"/>
      <c r="V665" s="5" t="n"/>
      <c r="W665" s="5" t="n"/>
      <c r="X665" s="5" t="n"/>
      <c r="Y665" s="5" t="n"/>
      <c r="Z665" s="5" t="n"/>
      <c r="AA665" s="5" t="n"/>
    </row>
    <row r="666" ht="15.75" customHeight="1">
      <c r="A666" s="5" t="n"/>
      <c r="B666" s="6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8" t="n"/>
      <c r="L666" s="8" t="n"/>
      <c r="M666" s="5" t="n"/>
      <c r="N666" s="16" t="n"/>
      <c r="O666" s="5" t="n"/>
      <c r="P666" s="5" t="n"/>
      <c r="Q666" s="5" t="n"/>
      <c r="R666" s="5" t="n"/>
      <c r="S666" s="5" t="n"/>
      <c r="T666" s="5" t="n"/>
      <c r="U666" s="5" t="n"/>
      <c r="V666" s="5" t="n"/>
      <c r="W666" s="5" t="n"/>
      <c r="X666" s="5" t="n"/>
      <c r="Y666" s="5" t="n"/>
      <c r="Z666" s="5" t="n"/>
      <c r="AA666" s="5" t="n"/>
    </row>
    <row r="667" ht="15.75" customHeight="1">
      <c r="A667" s="5" t="n"/>
      <c r="B667" s="6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8" t="n"/>
      <c r="L667" s="8" t="n"/>
      <c r="M667" s="5" t="n"/>
      <c r="N667" s="16" t="n"/>
      <c r="O667" s="5" t="n"/>
      <c r="P667" s="5" t="n"/>
      <c r="Q667" s="5" t="n"/>
      <c r="R667" s="5" t="n"/>
      <c r="S667" s="5" t="n"/>
      <c r="T667" s="5" t="n"/>
      <c r="U667" s="5" t="n"/>
      <c r="V667" s="5" t="n"/>
      <c r="W667" s="5" t="n"/>
      <c r="X667" s="5" t="n"/>
      <c r="Y667" s="5" t="n"/>
      <c r="Z667" s="5" t="n"/>
      <c r="AA667" s="5" t="n"/>
    </row>
    <row r="668" ht="15.75" customHeight="1">
      <c r="A668" s="5" t="n"/>
      <c r="B668" s="6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8" t="n"/>
      <c r="L668" s="8" t="n"/>
      <c r="M668" s="5" t="n"/>
      <c r="N668" s="16" t="n"/>
      <c r="O668" s="5" t="n"/>
      <c r="P668" s="5" t="n"/>
      <c r="Q668" s="5" t="n"/>
      <c r="R668" s="5" t="n"/>
      <c r="S668" s="5" t="n"/>
      <c r="T668" s="5" t="n"/>
      <c r="U668" s="5" t="n"/>
      <c r="V668" s="5" t="n"/>
      <c r="W668" s="5" t="n"/>
      <c r="X668" s="5" t="n"/>
      <c r="Y668" s="5" t="n"/>
      <c r="Z668" s="5" t="n"/>
      <c r="AA668" s="5" t="n"/>
    </row>
    <row r="669" ht="15.75" customHeight="1">
      <c r="A669" s="5" t="n"/>
      <c r="B669" s="6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8" t="n"/>
      <c r="L669" s="8" t="n"/>
      <c r="M669" s="5" t="n"/>
      <c r="N669" s="16" t="n"/>
      <c r="O669" s="5" t="n"/>
      <c r="P669" s="5" t="n"/>
      <c r="Q669" s="5" t="n"/>
      <c r="R669" s="5" t="n"/>
      <c r="S669" s="5" t="n"/>
      <c r="T669" s="5" t="n"/>
      <c r="U669" s="5" t="n"/>
      <c r="V669" s="5" t="n"/>
      <c r="W669" s="5" t="n"/>
      <c r="X669" s="5" t="n"/>
      <c r="Y669" s="5" t="n"/>
      <c r="Z669" s="5" t="n"/>
      <c r="AA669" s="5" t="n"/>
    </row>
    <row r="670" ht="15.75" customHeight="1">
      <c r="A670" s="5" t="n"/>
      <c r="B670" s="6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8" t="n"/>
      <c r="L670" s="8" t="n"/>
      <c r="M670" s="5" t="n"/>
      <c r="N670" s="16" t="n"/>
      <c r="O670" s="5" t="n"/>
      <c r="P670" s="5" t="n"/>
      <c r="Q670" s="5" t="n"/>
      <c r="R670" s="5" t="n"/>
      <c r="S670" s="5" t="n"/>
      <c r="T670" s="5" t="n"/>
      <c r="U670" s="5" t="n"/>
      <c r="V670" s="5" t="n"/>
      <c r="W670" s="5" t="n"/>
      <c r="X670" s="5" t="n"/>
      <c r="Y670" s="5" t="n"/>
      <c r="Z670" s="5" t="n"/>
      <c r="AA670" s="5" t="n"/>
    </row>
    <row r="671" ht="15.75" customHeight="1">
      <c r="A671" s="5" t="n"/>
      <c r="B671" s="6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8" t="n"/>
      <c r="L671" s="8" t="n"/>
      <c r="M671" s="5" t="n"/>
      <c r="N671" s="16" t="n"/>
      <c r="O671" s="5" t="n"/>
      <c r="P671" s="5" t="n"/>
      <c r="Q671" s="5" t="n"/>
      <c r="R671" s="5" t="n"/>
      <c r="S671" s="5" t="n"/>
      <c r="T671" s="5" t="n"/>
      <c r="U671" s="5" t="n"/>
      <c r="V671" s="5" t="n"/>
      <c r="W671" s="5" t="n"/>
      <c r="X671" s="5" t="n"/>
      <c r="Y671" s="5" t="n"/>
      <c r="Z671" s="5" t="n"/>
      <c r="AA671" s="5" t="n"/>
    </row>
    <row r="672" ht="15.75" customHeight="1">
      <c r="A672" s="5" t="n"/>
      <c r="B672" s="6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8" t="n"/>
      <c r="L672" s="8" t="n"/>
      <c r="M672" s="5" t="n"/>
      <c r="N672" s="16" t="n"/>
      <c r="O672" s="5" t="n"/>
      <c r="P672" s="5" t="n"/>
      <c r="Q672" s="5" t="n"/>
      <c r="R672" s="5" t="n"/>
      <c r="S672" s="5" t="n"/>
      <c r="T672" s="5" t="n"/>
      <c r="U672" s="5" t="n"/>
      <c r="V672" s="5" t="n"/>
      <c r="W672" s="5" t="n"/>
      <c r="X672" s="5" t="n"/>
      <c r="Y672" s="5" t="n"/>
      <c r="Z672" s="5" t="n"/>
      <c r="AA672" s="5" t="n"/>
    </row>
    <row r="673" ht="15.75" customHeight="1">
      <c r="A673" s="5" t="n"/>
      <c r="B673" s="6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8" t="n"/>
      <c r="L673" s="8" t="n"/>
      <c r="M673" s="5" t="n"/>
      <c r="N673" s="16" t="n"/>
      <c r="O673" s="5" t="n"/>
      <c r="P673" s="5" t="n"/>
      <c r="Q673" s="5" t="n"/>
      <c r="R673" s="5" t="n"/>
      <c r="S673" s="5" t="n"/>
      <c r="T673" s="5" t="n"/>
      <c r="U673" s="5" t="n"/>
      <c r="V673" s="5" t="n"/>
      <c r="W673" s="5" t="n"/>
      <c r="X673" s="5" t="n"/>
      <c r="Y673" s="5" t="n"/>
      <c r="Z673" s="5" t="n"/>
      <c r="AA673" s="5" t="n"/>
    </row>
    <row r="674" ht="15.75" customHeight="1">
      <c r="A674" s="5" t="n"/>
      <c r="B674" s="6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8" t="n"/>
      <c r="L674" s="8" t="n"/>
      <c r="M674" s="5" t="n"/>
      <c r="N674" s="16" t="n"/>
      <c r="O674" s="5" t="n"/>
      <c r="P674" s="5" t="n"/>
      <c r="Q674" s="5" t="n"/>
      <c r="R674" s="5" t="n"/>
      <c r="S674" s="5" t="n"/>
      <c r="T674" s="5" t="n"/>
      <c r="U674" s="5" t="n"/>
      <c r="V674" s="5" t="n"/>
      <c r="W674" s="5" t="n"/>
      <c r="X674" s="5" t="n"/>
      <c r="Y674" s="5" t="n"/>
      <c r="Z674" s="5" t="n"/>
      <c r="AA674" s="5" t="n"/>
    </row>
    <row r="675" ht="15.75" customHeight="1">
      <c r="A675" s="5" t="n"/>
      <c r="B675" s="6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8" t="n"/>
      <c r="L675" s="8" t="n"/>
      <c r="M675" s="5" t="n"/>
      <c r="N675" s="16" t="n"/>
      <c r="O675" s="5" t="n"/>
      <c r="P675" s="5" t="n"/>
      <c r="Q675" s="5" t="n"/>
      <c r="R675" s="5" t="n"/>
      <c r="S675" s="5" t="n"/>
      <c r="T675" s="5" t="n"/>
      <c r="U675" s="5" t="n"/>
      <c r="V675" s="5" t="n"/>
      <c r="W675" s="5" t="n"/>
      <c r="X675" s="5" t="n"/>
      <c r="Y675" s="5" t="n"/>
      <c r="Z675" s="5" t="n"/>
      <c r="AA675" s="5" t="n"/>
    </row>
    <row r="676" ht="15.75" customHeight="1">
      <c r="A676" s="5" t="n"/>
      <c r="B676" s="6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8" t="n"/>
      <c r="L676" s="8" t="n"/>
      <c r="M676" s="5" t="n"/>
      <c r="N676" s="16" t="n"/>
      <c r="O676" s="5" t="n"/>
      <c r="P676" s="5" t="n"/>
      <c r="Q676" s="5" t="n"/>
      <c r="R676" s="5" t="n"/>
      <c r="S676" s="5" t="n"/>
      <c r="T676" s="5" t="n"/>
      <c r="U676" s="5" t="n"/>
      <c r="V676" s="5" t="n"/>
      <c r="W676" s="5" t="n"/>
      <c r="X676" s="5" t="n"/>
      <c r="Y676" s="5" t="n"/>
      <c r="Z676" s="5" t="n"/>
      <c r="AA676" s="5" t="n"/>
    </row>
    <row r="677" ht="15.75" customHeight="1">
      <c r="A677" s="5" t="n"/>
      <c r="B677" s="6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8" t="n"/>
      <c r="L677" s="8" t="n"/>
      <c r="M677" s="5" t="n"/>
      <c r="N677" s="16" t="n"/>
      <c r="O677" s="5" t="n"/>
      <c r="P677" s="5" t="n"/>
      <c r="Q677" s="5" t="n"/>
      <c r="R677" s="5" t="n"/>
      <c r="S677" s="5" t="n"/>
      <c r="T677" s="5" t="n"/>
      <c r="U677" s="5" t="n"/>
      <c r="V677" s="5" t="n"/>
      <c r="W677" s="5" t="n"/>
      <c r="X677" s="5" t="n"/>
      <c r="Y677" s="5" t="n"/>
      <c r="Z677" s="5" t="n"/>
      <c r="AA677" s="5" t="n"/>
    </row>
    <row r="678" ht="15.75" customHeight="1">
      <c r="A678" s="5" t="n"/>
      <c r="B678" s="6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8" t="n"/>
      <c r="L678" s="8" t="n"/>
      <c r="M678" s="5" t="n"/>
      <c r="N678" s="16" t="n"/>
      <c r="O678" s="5" t="n"/>
      <c r="P678" s="5" t="n"/>
      <c r="Q678" s="5" t="n"/>
      <c r="R678" s="5" t="n"/>
      <c r="S678" s="5" t="n"/>
      <c r="T678" s="5" t="n"/>
      <c r="U678" s="5" t="n"/>
      <c r="V678" s="5" t="n"/>
      <c r="W678" s="5" t="n"/>
      <c r="X678" s="5" t="n"/>
      <c r="Y678" s="5" t="n"/>
      <c r="Z678" s="5" t="n"/>
      <c r="AA678" s="5" t="n"/>
    </row>
    <row r="679" ht="15.75" customHeight="1">
      <c r="A679" s="5" t="n"/>
      <c r="B679" s="6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8" t="n"/>
      <c r="L679" s="8" t="n"/>
      <c r="M679" s="5" t="n"/>
      <c r="N679" s="16" t="n"/>
      <c r="O679" s="5" t="n"/>
      <c r="P679" s="5" t="n"/>
      <c r="Q679" s="5" t="n"/>
      <c r="R679" s="5" t="n"/>
      <c r="S679" s="5" t="n"/>
      <c r="T679" s="5" t="n"/>
      <c r="U679" s="5" t="n"/>
      <c r="V679" s="5" t="n"/>
      <c r="W679" s="5" t="n"/>
      <c r="X679" s="5" t="n"/>
      <c r="Y679" s="5" t="n"/>
      <c r="Z679" s="5" t="n"/>
      <c r="AA679" s="5" t="n"/>
    </row>
    <row r="680" ht="15.75" customHeight="1">
      <c r="A680" s="5" t="n"/>
      <c r="B680" s="6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8" t="n"/>
      <c r="L680" s="8" t="n"/>
      <c r="M680" s="5" t="n"/>
      <c r="N680" s="16" t="n"/>
      <c r="O680" s="5" t="n"/>
      <c r="P680" s="5" t="n"/>
      <c r="Q680" s="5" t="n"/>
      <c r="R680" s="5" t="n"/>
      <c r="S680" s="5" t="n"/>
      <c r="T680" s="5" t="n"/>
      <c r="U680" s="5" t="n"/>
      <c r="V680" s="5" t="n"/>
      <c r="W680" s="5" t="n"/>
      <c r="X680" s="5" t="n"/>
      <c r="Y680" s="5" t="n"/>
      <c r="Z680" s="5" t="n"/>
      <c r="AA680" s="5" t="n"/>
    </row>
    <row r="681" ht="15.75" customHeight="1">
      <c r="A681" s="5" t="n"/>
      <c r="B681" s="6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8" t="n"/>
      <c r="L681" s="8" t="n"/>
      <c r="M681" s="5" t="n"/>
      <c r="N681" s="16" t="n"/>
      <c r="O681" s="5" t="n"/>
      <c r="P681" s="5" t="n"/>
      <c r="Q681" s="5" t="n"/>
      <c r="R681" s="5" t="n"/>
      <c r="S681" s="5" t="n"/>
      <c r="T681" s="5" t="n"/>
      <c r="U681" s="5" t="n"/>
      <c r="V681" s="5" t="n"/>
      <c r="W681" s="5" t="n"/>
      <c r="X681" s="5" t="n"/>
      <c r="Y681" s="5" t="n"/>
      <c r="Z681" s="5" t="n"/>
      <c r="AA681" s="5" t="n"/>
    </row>
    <row r="682" ht="15.75" customHeight="1">
      <c r="A682" s="5" t="n"/>
      <c r="B682" s="6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8" t="n"/>
      <c r="L682" s="8" t="n"/>
      <c r="M682" s="5" t="n"/>
      <c r="N682" s="16" t="n"/>
      <c r="O682" s="5" t="n"/>
      <c r="P682" s="5" t="n"/>
      <c r="Q682" s="5" t="n"/>
      <c r="R682" s="5" t="n"/>
      <c r="S682" s="5" t="n"/>
      <c r="T682" s="5" t="n"/>
      <c r="U682" s="5" t="n"/>
      <c r="V682" s="5" t="n"/>
      <c r="W682" s="5" t="n"/>
      <c r="X682" s="5" t="n"/>
      <c r="Y682" s="5" t="n"/>
      <c r="Z682" s="5" t="n"/>
      <c r="AA682" s="5" t="n"/>
    </row>
    <row r="683" ht="15.75" customHeight="1">
      <c r="A683" s="5" t="n"/>
      <c r="B683" s="6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8" t="n"/>
      <c r="L683" s="8" t="n"/>
      <c r="M683" s="5" t="n"/>
      <c r="N683" s="16" t="n"/>
      <c r="O683" s="5" t="n"/>
      <c r="P683" s="5" t="n"/>
      <c r="Q683" s="5" t="n"/>
      <c r="R683" s="5" t="n"/>
      <c r="S683" s="5" t="n"/>
      <c r="T683" s="5" t="n"/>
      <c r="U683" s="5" t="n"/>
      <c r="V683" s="5" t="n"/>
      <c r="W683" s="5" t="n"/>
      <c r="X683" s="5" t="n"/>
      <c r="Y683" s="5" t="n"/>
      <c r="Z683" s="5" t="n"/>
      <c r="AA683" s="5" t="n"/>
    </row>
    <row r="684" ht="15.75" customHeight="1">
      <c r="A684" s="5" t="n"/>
      <c r="B684" s="6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8" t="n"/>
      <c r="L684" s="8" t="n"/>
      <c r="M684" s="5" t="n"/>
      <c r="N684" s="16" t="n"/>
      <c r="O684" s="5" t="n"/>
      <c r="P684" s="5" t="n"/>
      <c r="Q684" s="5" t="n"/>
      <c r="R684" s="5" t="n"/>
      <c r="S684" s="5" t="n"/>
      <c r="T684" s="5" t="n"/>
      <c r="U684" s="5" t="n"/>
      <c r="V684" s="5" t="n"/>
      <c r="W684" s="5" t="n"/>
      <c r="X684" s="5" t="n"/>
      <c r="Y684" s="5" t="n"/>
      <c r="Z684" s="5" t="n"/>
      <c r="AA684" s="5" t="n"/>
    </row>
    <row r="685" ht="15.75" customHeight="1">
      <c r="A685" s="5" t="n"/>
      <c r="B685" s="6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8" t="n"/>
      <c r="L685" s="8" t="n"/>
      <c r="M685" s="5" t="n"/>
      <c r="N685" s="16" t="n"/>
      <c r="O685" s="5" t="n"/>
      <c r="P685" s="5" t="n"/>
      <c r="Q685" s="5" t="n"/>
      <c r="R685" s="5" t="n"/>
      <c r="S685" s="5" t="n"/>
      <c r="T685" s="5" t="n"/>
      <c r="U685" s="5" t="n"/>
      <c r="V685" s="5" t="n"/>
      <c r="W685" s="5" t="n"/>
      <c r="X685" s="5" t="n"/>
      <c r="Y685" s="5" t="n"/>
      <c r="Z685" s="5" t="n"/>
      <c r="AA685" s="5" t="n"/>
    </row>
    <row r="686" ht="15.75" customHeight="1">
      <c r="A686" s="5" t="n"/>
      <c r="B686" s="6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8" t="n"/>
      <c r="L686" s="8" t="n"/>
      <c r="M686" s="5" t="n"/>
      <c r="N686" s="16" t="n"/>
      <c r="O686" s="5" t="n"/>
      <c r="P686" s="5" t="n"/>
      <c r="Q686" s="5" t="n"/>
      <c r="R686" s="5" t="n"/>
      <c r="S686" s="5" t="n"/>
      <c r="T686" s="5" t="n"/>
      <c r="U686" s="5" t="n"/>
      <c r="V686" s="5" t="n"/>
      <c r="W686" s="5" t="n"/>
      <c r="X686" s="5" t="n"/>
      <c r="Y686" s="5" t="n"/>
      <c r="Z686" s="5" t="n"/>
      <c r="AA686" s="5" t="n"/>
    </row>
    <row r="687" ht="15.75" customHeight="1">
      <c r="A687" s="5" t="n"/>
      <c r="B687" s="6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8" t="n"/>
      <c r="L687" s="8" t="n"/>
      <c r="M687" s="5" t="n"/>
      <c r="N687" s="16" t="n"/>
      <c r="O687" s="5" t="n"/>
      <c r="P687" s="5" t="n"/>
      <c r="Q687" s="5" t="n"/>
      <c r="R687" s="5" t="n"/>
      <c r="S687" s="5" t="n"/>
      <c r="T687" s="5" t="n"/>
      <c r="U687" s="5" t="n"/>
      <c r="V687" s="5" t="n"/>
      <c r="W687" s="5" t="n"/>
      <c r="X687" s="5" t="n"/>
      <c r="Y687" s="5" t="n"/>
      <c r="Z687" s="5" t="n"/>
      <c r="AA687" s="5" t="n"/>
    </row>
    <row r="688" ht="15.75" customHeight="1">
      <c r="A688" s="5" t="n"/>
      <c r="B688" s="6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8" t="n"/>
      <c r="L688" s="8" t="n"/>
      <c r="M688" s="5" t="n"/>
      <c r="N688" s="16" t="n"/>
      <c r="O688" s="5" t="n"/>
      <c r="P688" s="5" t="n"/>
      <c r="Q688" s="5" t="n"/>
      <c r="R688" s="5" t="n"/>
      <c r="S688" s="5" t="n"/>
      <c r="T688" s="5" t="n"/>
      <c r="U688" s="5" t="n"/>
      <c r="V688" s="5" t="n"/>
      <c r="W688" s="5" t="n"/>
      <c r="X688" s="5" t="n"/>
      <c r="Y688" s="5" t="n"/>
      <c r="Z688" s="5" t="n"/>
      <c r="AA688" s="5" t="n"/>
    </row>
    <row r="689" ht="15.75" customHeight="1">
      <c r="A689" s="5" t="n"/>
      <c r="B689" s="6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8" t="n"/>
      <c r="L689" s="8" t="n"/>
      <c r="M689" s="5" t="n"/>
      <c r="N689" s="16" t="n"/>
      <c r="O689" s="5" t="n"/>
      <c r="P689" s="5" t="n"/>
      <c r="Q689" s="5" t="n"/>
      <c r="R689" s="5" t="n"/>
      <c r="S689" s="5" t="n"/>
      <c r="T689" s="5" t="n"/>
      <c r="U689" s="5" t="n"/>
      <c r="V689" s="5" t="n"/>
      <c r="W689" s="5" t="n"/>
      <c r="X689" s="5" t="n"/>
      <c r="Y689" s="5" t="n"/>
      <c r="Z689" s="5" t="n"/>
      <c r="AA689" s="5" t="n"/>
    </row>
    <row r="690" ht="15.75" customHeight="1">
      <c r="A690" s="5" t="n"/>
      <c r="B690" s="6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8" t="n"/>
      <c r="L690" s="8" t="n"/>
      <c r="M690" s="5" t="n"/>
      <c r="N690" s="16" t="n"/>
      <c r="O690" s="5" t="n"/>
      <c r="P690" s="5" t="n"/>
      <c r="Q690" s="5" t="n"/>
      <c r="R690" s="5" t="n"/>
      <c r="S690" s="5" t="n"/>
      <c r="T690" s="5" t="n"/>
      <c r="U690" s="5" t="n"/>
      <c r="V690" s="5" t="n"/>
      <c r="W690" s="5" t="n"/>
      <c r="X690" s="5" t="n"/>
      <c r="Y690" s="5" t="n"/>
      <c r="Z690" s="5" t="n"/>
      <c r="AA690" s="5" t="n"/>
    </row>
    <row r="691" ht="15.75" customHeight="1">
      <c r="A691" s="5" t="n"/>
      <c r="B691" s="6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8" t="n"/>
      <c r="L691" s="8" t="n"/>
      <c r="M691" s="5" t="n"/>
      <c r="N691" s="16" t="n"/>
      <c r="O691" s="5" t="n"/>
      <c r="P691" s="5" t="n"/>
      <c r="Q691" s="5" t="n"/>
      <c r="R691" s="5" t="n"/>
      <c r="S691" s="5" t="n"/>
      <c r="T691" s="5" t="n"/>
      <c r="U691" s="5" t="n"/>
      <c r="V691" s="5" t="n"/>
      <c r="W691" s="5" t="n"/>
      <c r="X691" s="5" t="n"/>
      <c r="Y691" s="5" t="n"/>
      <c r="Z691" s="5" t="n"/>
      <c r="AA691" s="5" t="n"/>
    </row>
    <row r="692" ht="15.75" customHeight="1">
      <c r="A692" s="5" t="n"/>
      <c r="B692" s="6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8" t="n"/>
      <c r="L692" s="8" t="n"/>
      <c r="M692" s="5" t="n"/>
      <c r="N692" s="16" t="n"/>
      <c r="O692" s="5" t="n"/>
      <c r="P692" s="5" t="n"/>
      <c r="Q692" s="5" t="n"/>
      <c r="R692" s="5" t="n"/>
      <c r="S692" s="5" t="n"/>
      <c r="T692" s="5" t="n"/>
      <c r="U692" s="5" t="n"/>
      <c r="V692" s="5" t="n"/>
      <c r="W692" s="5" t="n"/>
      <c r="X692" s="5" t="n"/>
      <c r="Y692" s="5" t="n"/>
      <c r="Z692" s="5" t="n"/>
      <c r="AA692" s="5" t="n"/>
    </row>
    <row r="693" ht="15.75" customHeight="1">
      <c r="A693" s="5" t="n"/>
      <c r="B693" s="6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8" t="n"/>
      <c r="L693" s="8" t="n"/>
      <c r="M693" s="5" t="n"/>
      <c r="N693" s="16" t="n"/>
      <c r="O693" s="5" t="n"/>
      <c r="P693" s="5" t="n"/>
      <c r="Q693" s="5" t="n"/>
      <c r="R693" s="5" t="n"/>
      <c r="S693" s="5" t="n"/>
      <c r="T693" s="5" t="n"/>
      <c r="U693" s="5" t="n"/>
      <c r="V693" s="5" t="n"/>
      <c r="W693" s="5" t="n"/>
      <c r="X693" s="5" t="n"/>
      <c r="Y693" s="5" t="n"/>
      <c r="Z693" s="5" t="n"/>
      <c r="AA693" s="5" t="n"/>
    </row>
    <row r="694" ht="15.75" customHeight="1">
      <c r="A694" s="5" t="n"/>
      <c r="B694" s="6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8" t="n"/>
      <c r="L694" s="8" t="n"/>
      <c r="M694" s="5" t="n"/>
      <c r="N694" s="16" t="n"/>
      <c r="O694" s="5" t="n"/>
      <c r="P694" s="5" t="n"/>
      <c r="Q694" s="5" t="n"/>
      <c r="R694" s="5" t="n"/>
      <c r="S694" s="5" t="n"/>
      <c r="T694" s="5" t="n"/>
      <c r="U694" s="5" t="n"/>
      <c r="V694" s="5" t="n"/>
      <c r="W694" s="5" t="n"/>
      <c r="X694" s="5" t="n"/>
      <c r="Y694" s="5" t="n"/>
      <c r="Z694" s="5" t="n"/>
      <c r="AA694" s="5" t="n"/>
    </row>
    <row r="695" ht="15.75" customHeight="1">
      <c r="A695" s="5" t="n"/>
      <c r="B695" s="6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8" t="n"/>
      <c r="L695" s="8" t="n"/>
      <c r="M695" s="5" t="n"/>
      <c r="N695" s="16" t="n"/>
      <c r="O695" s="5" t="n"/>
      <c r="P695" s="5" t="n"/>
      <c r="Q695" s="5" t="n"/>
      <c r="R695" s="5" t="n"/>
      <c r="S695" s="5" t="n"/>
      <c r="T695" s="5" t="n"/>
      <c r="U695" s="5" t="n"/>
      <c r="V695" s="5" t="n"/>
      <c r="W695" s="5" t="n"/>
      <c r="X695" s="5" t="n"/>
      <c r="Y695" s="5" t="n"/>
      <c r="Z695" s="5" t="n"/>
      <c r="AA695" s="5" t="n"/>
    </row>
    <row r="696" ht="15.75" customHeight="1">
      <c r="A696" s="5" t="n"/>
      <c r="B696" s="6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8" t="n"/>
      <c r="L696" s="8" t="n"/>
      <c r="M696" s="5" t="n"/>
      <c r="N696" s="16" t="n"/>
      <c r="O696" s="5" t="n"/>
      <c r="P696" s="5" t="n"/>
      <c r="Q696" s="5" t="n"/>
      <c r="R696" s="5" t="n"/>
      <c r="S696" s="5" t="n"/>
      <c r="T696" s="5" t="n"/>
      <c r="U696" s="5" t="n"/>
      <c r="V696" s="5" t="n"/>
      <c r="W696" s="5" t="n"/>
      <c r="X696" s="5" t="n"/>
      <c r="Y696" s="5" t="n"/>
      <c r="Z696" s="5" t="n"/>
      <c r="AA696" s="5" t="n"/>
    </row>
    <row r="697" ht="15.75" customHeight="1">
      <c r="A697" s="5" t="n"/>
      <c r="B697" s="6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8" t="n"/>
      <c r="L697" s="8" t="n"/>
      <c r="M697" s="5" t="n"/>
      <c r="N697" s="16" t="n"/>
      <c r="O697" s="5" t="n"/>
      <c r="P697" s="5" t="n"/>
      <c r="Q697" s="5" t="n"/>
      <c r="R697" s="5" t="n"/>
      <c r="S697" s="5" t="n"/>
      <c r="T697" s="5" t="n"/>
      <c r="U697" s="5" t="n"/>
      <c r="V697" s="5" t="n"/>
      <c r="W697" s="5" t="n"/>
      <c r="X697" s="5" t="n"/>
      <c r="Y697" s="5" t="n"/>
      <c r="Z697" s="5" t="n"/>
      <c r="AA697" s="5" t="n"/>
    </row>
    <row r="698" ht="15.75" customHeight="1">
      <c r="A698" s="5" t="n"/>
      <c r="B698" s="6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8" t="n"/>
      <c r="L698" s="8" t="n"/>
      <c r="M698" s="5" t="n"/>
      <c r="N698" s="16" t="n"/>
      <c r="O698" s="5" t="n"/>
      <c r="P698" s="5" t="n"/>
      <c r="Q698" s="5" t="n"/>
      <c r="R698" s="5" t="n"/>
      <c r="S698" s="5" t="n"/>
      <c r="T698" s="5" t="n"/>
      <c r="U698" s="5" t="n"/>
      <c r="V698" s="5" t="n"/>
      <c r="W698" s="5" t="n"/>
      <c r="X698" s="5" t="n"/>
      <c r="Y698" s="5" t="n"/>
      <c r="Z698" s="5" t="n"/>
      <c r="AA698" s="5" t="n"/>
    </row>
    <row r="699" ht="15.75" customHeight="1">
      <c r="A699" s="5" t="n"/>
      <c r="B699" s="6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8" t="n"/>
      <c r="L699" s="8" t="n"/>
      <c r="M699" s="5" t="n"/>
      <c r="N699" s="16" t="n"/>
      <c r="O699" s="5" t="n"/>
      <c r="P699" s="5" t="n"/>
      <c r="Q699" s="5" t="n"/>
      <c r="R699" s="5" t="n"/>
      <c r="S699" s="5" t="n"/>
      <c r="T699" s="5" t="n"/>
      <c r="U699" s="5" t="n"/>
      <c r="V699" s="5" t="n"/>
      <c r="W699" s="5" t="n"/>
      <c r="X699" s="5" t="n"/>
      <c r="Y699" s="5" t="n"/>
      <c r="Z699" s="5" t="n"/>
      <c r="AA699" s="5" t="n"/>
    </row>
    <row r="700" ht="15.75" customHeight="1">
      <c r="A700" s="5" t="n"/>
      <c r="B700" s="6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8" t="n"/>
      <c r="L700" s="8" t="n"/>
      <c r="M700" s="5" t="n"/>
      <c r="N700" s="16" t="n"/>
      <c r="O700" s="5" t="n"/>
      <c r="P700" s="5" t="n"/>
      <c r="Q700" s="5" t="n"/>
      <c r="R700" s="5" t="n"/>
      <c r="S700" s="5" t="n"/>
      <c r="T700" s="5" t="n"/>
      <c r="U700" s="5" t="n"/>
      <c r="V700" s="5" t="n"/>
      <c r="W700" s="5" t="n"/>
      <c r="X700" s="5" t="n"/>
      <c r="Y700" s="5" t="n"/>
      <c r="Z700" s="5" t="n"/>
      <c r="AA700" s="5" t="n"/>
    </row>
    <row r="701" ht="15.75" customHeight="1">
      <c r="A701" s="5" t="n"/>
      <c r="B701" s="6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8" t="n"/>
      <c r="L701" s="8" t="n"/>
      <c r="M701" s="5" t="n"/>
      <c r="N701" s="16" t="n"/>
      <c r="O701" s="5" t="n"/>
      <c r="P701" s="5" t="n"/>
      <c r="Q701" s="5" t="n"/>
      <c r="R701" s="5" t="n"/>
      <c r="S701" s="5" t="n"/>
      <c r="T701" s="5" t="n"/>
      <c r="U701" s="5" t="n"/>
      <c r="V701" s="5" t="n"/>
      <c r="W701" s="5" t="n"/>
      <c r="X701" s="5" t="n"/>
      <c r="Y701" s="5" t="n"/>
      <c r="Z701" s="5" t="n"/>
      <c r="AA701" s="5" t="n"/>
    </row>
    <row r="702" ht="15.75" customHeight="1">
      <c r="A702" s="5" t="n"/>
      <c r="B702" s="6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8" t="n"/>
      <c r="L702" s="8" t="n"/>
      <c r="M702" s="5" t="n"/>
      <c r="N702" s="16" t="n"/>
      <c r="O702" s="5" t="n"/>
      <c r="P702" s="5" t="n"/>
      <c r="Q702" s="5" t="n"/>
      <c r="R702" s="5" t="n"/>
      <c r="S702" s="5" t="n"/>
      <c r="T702" s="5" t="n"/>
      <c r="U702" s="5" t="n"/>
      <c r="V702" s="5" t="n"/>
      <c r="W702" s="5" t="n"/>
      <c r="X702" s="5" t="n"/>
      <c r="Y702" s="5" t="n"/>
      <c r="Z702" s="5" t="n"/>
      <c r="AA702" s="5" t="n"/>
    </row>
    <row r="703" ht="15.75" customHeight="1">
      <c r="A703" s="5" t="n"/>
      <c r="B703" s="6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8" t="n"/>
      <c r="L703" s="8" t="n"/>
      <c r="M703" s="5" t="n"/>
      <c r="N703" s="16" t="n"/>
      <c r="O703" s="5" t="n"/>
      <c r="P703" s="5" t="n"/>
      <c r="Q703" s="5" t="n"/>
      <c r="R703" s="5" t="n"/>
      <c r="S703" s="5" t="n"/>
      <c r="T703" s="5" t="n"/>
      <c r="U703" s="5" t="n"/>
      <c r="V703" s="5" t="n"/>
      <c r="W703" s="5" t="n"/>
      <c r="X703" s="5" t="n"/>
      <c r="Y703" s="5" t="n"/>
      <c r="Z703" s="5" t="n"/>
      <c r="AA703" s="5" t="n"/>
    </row>
    <row r="704" ht="15.75" customHeight="1">
      <c r="A704" s="5" t="n"/>
      <c r="B704" s="6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8" t="n"/>
      <c r="L704" s="8" t="n"/>
      <c r="M704" s="5" t="n"/>
      <c r="N704" s="16" t="n"/>
      <c r="O704" s="5" t="n"/>
      <c r="P704" s="5" t="n"/>
      <c r="Q704" s="5" t="n"/>
      <c r="R704" s="5" t="n"/>
      <c r="S704" s="5" t="n"/>
      <c r="T704" s="5" t="n"/>
      <c r="U704" s="5" t="n"/>
      <c r="V704" s="5" t="n"/>
      <c r="W704" s="5" t="n"/>
      <c r="X704" s="5" t="n"/>
      <c r="Y704" s="5" t="n"/>
      <c r="Z704" s="5" t="n"/>
      <c r="AA704" s="5" t="n"/>
    </row>
    <row r="705" ht="15.75" customHeight="1">
      <c r="A705" s="5" t="n"/>
      <c r="B705" s="6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8" t="n"/>
      <c r="L705" s="8" t="n"/>
      <c r="M705" s="5" t="n"/>
      <c r="N705" s="16" t="n"/>
      <c r="O705" s="5" t="n"/>
      <c r="P705" s="5" t="n"/>
      <c r="Q705" s="5" t="n"/>
      <c r="R705" s="5" t="n"/>
      <c r="S705" s="5" t="n"/>
      <c r="T705" s="5" t="n"/>
      <c r="U705" s="5" t="n"/>
      <c r="V705" s="5" t="n"/>
      <c r="W705" s="5" t="n"/>
      <c r="X705" s="5" t="n"/>
      <c r="Y705" s="5" t="n"/>
      <c r="Z705" s="5" t="n"/>
      <c r="AA705" s="5" t="n"/>
    </row>
    <row r="706" ht="15.75" customHeight="1">
      <c r="A706" s="5" t="n"/>
      <c r="B706" s="6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8" t="n"/>
      <c r="L706" s="8" t="n"/>
      <c r="M706" s="5" t="n"/>
      <c r="N706" s="16" t="n"/>
      <c r="O706" s="5" t="n"/>
      <c r="P706" s="5" t="n"/>
      <c r="Q706" s="5" t="n"/>
      <c r="R706" s="5" t="n"/>
      <c r="S706" s="5" t="n"/>
      <c r="T706" s="5" t="n"/>
      <c r="U706" s="5" t="n"/>
      <c r="V706" s="5" t="n"/>
      <c r="W706" s="5" t="n"/>
      <c r="X706" s="5" t="n"/>
      <c r="Y706" s="5" t="n"/>
      <c r="Z706" s="5" t="n"/>
      <c r="AA706" s="5" t="n"/>
    </row>
    <row r="707" ht="15.75" customHeight="1">
      <c r="A707" s="5" t="n"/>
      <c r="B707" s="6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8" t="n"/>
      <c r="L707" s="8" t="n"/>
      <c r="M707" s="5" t="n"/>
      <c r="N707" s="16" t="n"/>
      <c r="O707" s="5" t="n"/>
      <c r="P707" s="5" t="n"/>
      <c r="Q707" s="5" t="n"/>
      <c r="R707" s="5" t="n"/>
      <c r="S707" s="5" t="n"/>
      <c r="T707" s="5" t="n"/>
      <c r="U707" s="5" t="n"/>
      <c r="V707" s="5" t="n"/>
      <c r="W707" s="5" t="n"/>
      <c r="X707" s="5" t="n"/>
      <c r="Y707" s="5" t="n"/>
      <c r="Z707" s="5" t="n"/>
      <c r="AA707" s="5" t="n"/>
    </row>
    <row r="708" ht="15.75" customHeight="1">
      <c r="A708" s="5" t="n"/>
      <c r="B708" s="6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8" t="n"/>
      <c r="L708" s="8" t="n"/>
      <c r="M708" s="5" t="n"/>
      <c r="N708" s="16" t="n"/>
      <c r="O708" s="5" t="n"/>
      <c r="P708" s="5" t="n"/>
      <c r="Q708" s="5" t="n"/>
      <c r="R708" s="5" t="n"/>
      <c r="S708" s="5" t="n"/>
      <c r="T708" s="5" t="n"/>
      <c r="U708" s="5" t="n"/>
      <c r="V708" s="5" t="n"/>
      <c r="W708" s="5" t="n"/>
      <c r="X708" s="5" t="n"/>
      <c r="Y708" s="5" t="n"/>
      <c r="Z708" s="5" t="n"/>
      <c r="AA708" s="5" t="n"/>
    </row>
    <row r="709" ht="15.75" customHeight="1">
      <c r="A709" s="5" t="n"/>
      <c r="B709" s="6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8" t="n"/>
      <c r="L709" s="8" t="n"/>
      <c r="M709" s="5" t="n"/>
      <c r="N709" s="16" t="n"/>
      <c r="O709" s="5" t="n"/>
      <c r="P709" s="5" t="n"/>
      <c r="Q709" s="5" t="n"/>
      <c r="R709" s="5" t="n"/>
      <c r="S709" s="5" t="n"/>
      <c r="T709" s="5" t="n"/>
      <c r="U709" s="5" t="n"/>
      <c r="V709" s="5" t="n"/>
      <c r="W709" s="5" t="n"/>
      <c r="X709" s="5" t="n"/>
      <c r="Y709" s="5" t="n"/>
      <c r="Z709" s="5" t="n"/>
      <c r="AA709" s="5" t="n"/>
    </row>
    <row r="710" ht="15.75" customHeight="1">
      <c r="A710" s="5" t="n"/>
      <c r="B710" s="6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8" t="n"/>
      <c r="L710" s="8" t="n"/>
      <c r="M710" s="5" t="n"/>
      <c r="N710" s="16" t="n"/>
      <c r="O710" s="5" t="n"/>
      <c r="P710" s="5" t="n"/>
      <c r="Q710" s="5" t="n"/>
      <c r="R710" s="5" t="n"/>
      <c r="S710" s="5" t="n"/>
      <c r="T710" s="5" t="n"/>
      <c r="U710" s="5" t="n"/>
      <c r="V710" s="5" t="n"/>
      <c r="W710" s="5" t="n"/>
      <c r="X710" s="5" t="n"/>
      <c r="Y710" s="5" t="n"/>
      <c r="Z710" s="5" t="n"/>
      <c r="AA710" s="5" t="n"/>
    </row>
    <row r="711" ht="15.75" customHeight="1">
      <c r="A711" s="5" t="n"/>
      <c r="B711" s="6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8" t="n"/>
      <c r="L711" s="8" t="n"/>
      <c r="M711" s="5" t="n"/>
      <c r="N711" s="16" t="n"/>
      <c r="O711" s="5" t="n"/>
      <c r="P711" s="5" t="n"/>
      <c r="Q711" s="5" t="n"/>
      <c r="R711" s="5" t="n"/>
      <c r="S711" s="5" t="n"/>
      <c r="T711" s="5" t="n"/>
      <c r="U711" s="5" t="n"/>
      <c r="V711" s="5" t="n"/>
      <c r="W711" s="5" t="n"/>
      <c r="X711" s="5" t="n"/>
      <c r="Y711" s="5" t="n"/>
      <c r="Z711" s="5" t="n"/>
      <c r="AA711" s="5" t="n"/>
    </row>
    <row r="712" ht="15.75" customHeight="1">
      <c r="A712" s="5" t="n"/>
      <c r="B712" s="6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8" t="n"/>
      <c r="L712" s="8" t="n"/>
      <c r="M712" s="5" t="n"/>
      <c r="N712" s="16" t="n"/>
      <c r="O712" s="5" t="n"/>
      <c r="P712" s="5" t="n"/>
      <c r="Q712" s="5" t="n"/>
      <c r="R712" s="5" t="n"/>
      <c r="S712" s="5" t="n"/>
      <c r="T712" s="5" t="n"/>
      <c r="U712" s="5" t="n"/>
      <c r="V712" s="5" t="n"/>
      <c r="W712" s="5" t="n"/>
      <c r="X712" s="5" t="n"/>
      <c r="Y712" s="5" t="n"/>
      <c r="Z712" s="5" t="n"/>
      <c r="AA712" s="5" t="n"/>
    </row>
    <row r="713" ht="15.75" customHeight="1">
      <c r="A713" s="5" t="n"/>
      <c r="B713" s="6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8" t="n"/>
      <c r="L713" s="8" t="n"/>
      <c r="M713" s="5" t="n"/>
      <c r="N713" s="16" t="n"/>
      <c r="O713" s="5" t="n"/>
      <c r="P713" s="5" t="n"/>
      <c r="Q713" s="5" t="n"/>
      <c r="R713" s="5" t="n"/>
      <c r="S713" s="5" t="n"/>
      <c r="T713" s="5" t="n"/>
      <c r="U713" s="5" t="n"/>
      <c r="V713" s="5" t="n"/>
      <c r="W713" s="5" t="n"/>
      <c r="X713" s="5" t="n"/>
      <c r="Y713" s="5" t="n"/>
      <c r="Z713" s="5" t="n"/>
      <c r="AA713" s="5" t="n"/>
    </row>
    <row r="714" ht="15.75" customHeight="1">
      <c r="A714" s="5" t="n"/>
      <c r="B714" s="6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8" t="n"/>
      <c r="L714" s="8" t="n"/>
      <c r="M714" s="5" t="n"/>
      <c r="N714" s="16" t="n"/>
      <c r="O714" s="5" t="n"/>
      <c r="P714" s="5" t="n"/>
      <c r="Q714" s="5" t="n"/>
      <c r="R714" s="5" t="n"/>
      <c r="S714" s="5" t="n"/>
      <c r="T714" s="5" t="n"/>
      <c r="U714" s="5" t="n"/>
      <c r="V714" s="5" t="n"/>
      <c r="W714" s="5" t="n"/>
      <c r="X714" s="5" t="n"/>
      <c r="Y714" s="5" t="n"/>
      <c r="Z714" s="5" t="n"/>
      <c r="AA714" s="5" t="n"/>
    </row>
    <row r="715" ht="15.75" customHeight="1">
      <c r="A715" s="5" t="n"/>
      <c r="B715" s="6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8" t="n"/>
      <c r="L715" s="8" t="n"/>
      <c r="M715" s="5" t="n"/>
      <c r="N715" s="16" t="n"/>
      <c r="O715" s="5" t="n"/>
      <c r="P715" s="5" t="n"/>
      <c r="Q715" s="5" t="n"/>
      <c r="R715" s="5" t="n"/>
      <c r="S715" s="5" t="n"/>
      <c r="T715" s="5" t="n"/>
      <c r="U715" s="5" t="n"/>
      <c r="V715" s="5" t="n"/>
      <c r="W715" s="5" t="n"/>
      <c r="X715" s="5" t="n"/>
      <c r="Y715" s="5" t="n"/>
      <c r="Z715" s="5" t="n"/>
      <c r="AA715" s="5" t="n"/>
    </row>
    <row r="716" ht="15.75" customHeight="1">
      <c r="A716" s="5" t="n"/>
      <c r="B716" s="6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8" t="n"/>
      <c r="L716" s="8" t="n"/>
      <c r="M716" s="5" t="n"/>
      <c r="N716" s="16" t="n"/>
      <c r="O716" s="5" t="n"/>
      <c r="P716" s="5" t="n"/>
      <c r="Q716" s="5" t="n"/>
      <c r="R716" s="5" t="n"/>
      <c r="S716" s="5" t="n"/>
      <c r="T716" s="5" t="n"/>
      <c r="U716" s="5" t="n"/>
      <c r="V716" s="5" t="n"/>
      <c r="W716" s="5" t="n"/>
      <c r="X716" s="5" t="n"/>
      <c r="Y716" s="5" t="n"/>
      <c r="Z716" s="5" t="n"/>
      <c r="AA716" s="5" t="n"/>
    </row>
    <row r="717" ht="15.75" customHeight="1">
      <c r="A717" s="5" t="n"/>
      <c r="B717" s="6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8" t="n"/>
      <c r="L717" s="8" t="n"/>
      <c r="M717" s="5" t="n"/>
      <c r="N717" s="16" t="n"/>
      <c r="O717" s="5" t="n"/>
      <c r="P717" s="5" t="n"/>
      <c r="Q717" s="5" t="n"/>
      <c r="R717" s="5" t="n"/>
      <c r="S717" s="5" t="n"/>
      <c r="T717" s="5" t="n"/>
      <c r="U717" s="5" t="n"/>
      <c r="V717" s="5" t="n"/>
      <c r="W717" s="5" t="n"/>
      <c r="X717" s="5" t="n"/>
      <c r="Y717" s="5" t="n"/>
      <c r="Z717" s="5" t="n"/>
      <c r="AA717" s="5" t="n"/>
    </row>
    <row r="718" ht="15.75" customHeight="1">
      <c r="A718" s="5" t="n"/>
      <c r="B718" s="6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8" t="n"/>
      <c r="L718" s="8" t="n"/>
      <c r="M718" s="5" t="n"/>
      <c r="N718" s="16" t="n"/>
      <c r="O718" s="5" t="n"/>
      <c r="P718" s="5" t="n"/>
      <c r="Q718" s="5" t="n"/>
      <c r="R718" s="5" t="n"/>
      <c r="S718" s="5" t="n"/>
      <c r="T718" s="5" t="n"/>
      <c r="U718" s="5" t="n"/>
      <c r="V718" s="5" t="n"/>
      <c r="W718" s="5" t="n"/>
      <c r="X718" s="5" t="n"/>
      <c r="Y718" s="5" t="n"/>
      <c r="Z718" s="5" t="n"/>
      <c r="AA718" s="5" t="n"/>
    </row>
    <row r="719" ht="15.75" customHeight="1">
      <c r="A719" s="5" t="n"/>
      <c r="B719" s="6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8" t="n"/>
      <c r="L719" s="8" t="n"/>
      <c r="M719" s="5" t="n"/>
      <c r="N719" s="16" t="n"/>
      <c r="O719" s="5" t="n"/>
      <c r="P719" s="5" t="n"/>
      <c r="Q719" s="5" t="n"/>
      <c r="R719" s="5" t="n"/>
      <c r="S719" s="5" t="n"/>
      <c r="T719" s="5" t="n"/>
      <c r="U719" s="5" t="n"/>
      <c r="V719" s="5" t="n"/>
      <c r="W719" s="5" t="n"/>
      <c r="X719" s="5" t="n"/>
      <c r="Y719" s="5" t="n"/>
      <c r="Z719" s="5" t="n"/>
      <c r="AA719" s="5" t="n"/>
    </row>
    <row r="720" ht="15.75" customHeight="1">
      <c r="A720" s="5" t="n"/>
      <c r="B720" s="6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8" t="n"/>
      <c r="L720" s="8" t="n"/>
      <c r="M720" s="5" t="n"/>
      <c r="N720" s="16" t="n"/>
      <c r="O720" s="5" t="n"/>
      <c r="P720" s="5" t="n"/>
      <c r="Q720" s="5" t="n"/>
      <c r="R720" s="5" t="n"/>
      <c r="S720" s="5" t="n"/>
      <c r="T720" s="5" t="n"/>
      <c r="U720" s="5" t="n"/>
      <c r="V720" s="5" t="n"/>
      <c r="W720" s="5" t="n"/>
      <c r="X720" s="5" t="n"/>
      <c r="Y720" s="5" t="n"/>
      <c r="Z720" s="5" t="n"/>
      <c r="AA720" s="5" t="n"/>
    </row>
    <row r="721" ht="15.75" customHeight="1">
      <c r="A721" s="5" t="n"/>
      <c r="B721" s="6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8" t="n"/>
      <c r="L721" s="8" t="n"/>
      <c r="M721" s="5" t="n"/>
      <c r="N721" s="16" t="n"/>
      <c r="O721" s="5" t="n"/>
      <c r="P721" s="5" t="n"/>
      <c r="Q721" s="5" t="n"/>
      <c r="R721" s="5" t="n"/>
      <c r="S721" s="5" t="n"/>
      <c r="T721" s="5" t="n"/>
      <c r="U721" s="5" t="n"/>
      <c r="V721" s="5" t="n"/>
      <c r="W721" s="5" t="n"/>
      <c r="X721" s="5" t="n"/>
      <c r="Y721" s="5" t="n"/>
      <c r="Z721" s="5" t="n"/>
      <c r="AA721" s="5" t="n"/>
    </row>
    <row r="722" ht="15.75" customHeight="1">
      <c r="A722" s="5" t="n"/>
      <c r="B722" s="6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8" t="n"/>
      <c r="L722" s="8" t="n"/>
      <c r="M722" s="5" t="n"/>
      <c r="N722" s="16" t="n"/>
      <c r="O722" s="5" t="n"/>
      <c r="P722" s="5" t="n"/>
      <c r="Q722" s="5" t="n"/>
      <c r="R722" s="5" t="n"/>
      <c r="S722" s="5" t="n"/>
      <c r="T722" s="5" t="n"/>
      <c r="U722" s="5" t="n"/>
      <c r="V722" s="5" t="n"/>
      <c r="W722" s="5" t="n"/>
      <c r="X722" s="5" t="n"/>
      <c r="Y722" s="5" t="n"/>
      <c r="Z722" s="5" t="n"/>
      <c r="AA722" s="5" t="n"/>
    </row>
    <row r="723" ht="15.75" customHeight="1">
      <c r="A723" s="5" t="n"/>
      <c r="B723" s="6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8" t="n"/>
      <c r="L723" s="8" t="n"/>
      <c r="M723" s="5" t="n"/>
      <c r="N723" s="16" t="n"/>
      <c r="O723" s="5" t="n"/>
      <c r="P723" s="5" t="n"/>
      <c r="Q723" s="5" t="n"/>
      <c r="R723" s="5" t="n"/>
      <c r="S723" s="5" t="n"/>
      <c r="T723" s="5" t="n"/>
      <c r="U723" s="5" t="n"/>
      <c r="V723" s="5" t="n"/>
      <c r="W723" s="5" t="n"/>
      <c r="X723" s="5" t="n"/>
      <c r="Y723" s="5" t="n"/>
      <c r="Z723" s="5" t="n"/>
      <c r="AA723" s="5" t="n"/>
    </row>
    <row r="724" ht="15.75" customHeight="1">
      <c r="A724" s="5" t="n"/>
      <c r="B724" s="6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8" t="n"/>
      <c r="L724" s="8" t="n"/>
      <c r="M724" s="5" t="n"/>
      <c r="N724" s="16" t="n"/>
      <c r="O724" s="5" t="n"/>
      <c r="P724" s="5" t="n"/>
      <c r="Q724" s="5" t="n"/>
      <c r="R724" s="5" t="n"/>
      <c r="S724" s="5" t="n"/>
      <c r="T724" s="5" t="n"/>
      <c r="U724" s="5" t="n"/>
      <c r="V724" s="5" t="n"/>
      <c r="W724" s="5" t="n"/>
      <c r="X724" s="5" t="n"/>
      <c r="Y724" s="5" t="n"/>
      <c r="Z724" s="5" t="n"/>
      <c r="AA724" s="5" t="n"/>
    </row>
    <row r="725" ht="15.75" customHeight="1">
      <c r="A725" s="5" t="n"/>
      <c r="B725" s="6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8" t="n"/>
      <c r="L725" s="8" t="n"/>
      <c r="M725" s="5" t="n"/>
      <c r="N725" s="16" t="n"/>
      <c r="O725" s="5" t="n"/>
      <c r="P725" s="5" t="n"/>
      <c r="Q725" s="5" t="n"/>
      <c r="R725" s="5" t="n"/>
      <c r="S725" s="5" t="n"/>
      <c r="T725" s="5" t="n"/>
      <c r="U725" s="5" t="n"/>
      <c r="V725" s="5" t="n"/>
      <c r="W725" s="5" t="n"/>
      <c r="X725" s="5" t="n"/>
      <c r="Y725" s="5" t="n"/>
      <c r="Z725" s="5" t="n"/>
      <c r="AA725" s="5" t="n"/>
    </row>
    <row r="726" ht="15.75" customHeight="1">
      <c r="A726" s="5" t="n"/>
      <c r="B726" s="6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8" t="n"/>
      <c r="L726" s="8" t="n"/>
      <c r="M726" s="5" t="n"/>
      <c r="N726" s="16" t="n"/>
      <c r="O726" s="5" t="n"/>
      <c r="P726" s="5" t="n"/>
      <c r="Q726" s="5" t="n"/>
      <c r="R726" s="5" t="n"/>
      <c r="S726" s="5" t="n"/>
      <c r="T726" s="5" t="n"/>
      <c r="U726" s="5" t="n"/>
      <c r="V726" s="5" t="n"/>
      <c r="W726" s="5" t="n"/>
      <c r="X726" s="5" t="n"/>
      <c r="Y726" s="5" t="n"/>
      <c r="Z726" s="5" t="n"/>
      <c r="AA726" s="5" t="n"/>
    </row>
    <row r="727" ht="15.75" customHeight="1">
      <c r="A727" s="5" t="n"/>
      <c r="B727" s="6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8" t="n"/>
      <c r="L727" s="8" t="n"/>
      <c r="M727" s="5" t="n"/>
      <c r="N727" s="16" t="n"/>
      <c r="O727" s="5" t="n"/>
      <c r="P727" s="5" t="n"/>
      <c r="Q727" s="5" t="n"/>
      <c r="R727" s="5" t="n"/>
      <c r="S727" s="5" t="n"/>
      <c r="T727" s="5" t="n"/>
      <c r="U727" s="5" t="n"/>
      <c r="V727" s="5" t="n"/>
      <c r="W727" s="5" t="n"/>
      <c r="X727" s="5" t="n"/>
      <c r="Y727" s="5" t="n"/>
      <c r="Z727" s="5" t="n"/>
      <c r="AA727" s="5" t="n"/>
    </row>
    <row r="728" ht="15.75" customHeight="1">
      <c r="A728" s="5" t="n"/>
      <c r="B728" s="6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8" t="n"/>
      <c r="L728" s="8" t="n"/>
      <c r="M728" s="5" t="n"/>
      <c r="N728" s="16" t="n"/>
      <c r="O728" s="5" t="n"/>
      <c r="P728" s="5" t="n"/>
      <c r="Q728" s="5" t="n"/>
      <c r="R728" s="5" t="n"/>
      <c r="S728" s="5" t="n"/>
      <c r="T728" s="5" t="n"/>
      <c r="U728" s="5" t="n"/>
      <c r="V728" s="5" t="n"/>
      <c r="W728" s="5" t="n"/>
      <c r="X728" s="5" t="n"/>
      <c r="Y728" s="5" t="n"/>
      <c r="Z728" s="5" t="n"/>
      <c r="AA728" s="5" t="n"/>
    </row>
    <row r="729" ht="15.75" customHeight="1">
      <c r="A729" s="5" t="n"/>
      <c r="B729" s="6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8" t="n"/>
      <c r="L729" s="8" t="n"/>
      <c r="M729" s="5" t="n"/>
      <c r="N729" s="16" t="n"/>
      <c r="O729" s="5" t="n"/>
      <c r="P729" s="5" t="n"/>
      <c r="Q729" s="5" t="n"/>
      <c r="R729" s="5" t="n"/>
      <c r="S729" s="5" t="n"/>
      <c r="T729" s="5" t="n"/>
      <c r="U729" s="5" t="n"/>
      <c r="V729" s="5" t="n"/>
      <c r="W729" s="5" t="n"/>
      <c r="X729" s="5" t="n"/>
      <c r="Y729" s="5" t="n"/>
      <c r="Z729" s="5" t="n"/>
      <c r="AA729" s="5" t="n"/>
    </row>
    <row r="730" ht="15.75" customHeight="1">
      <c r="A730" s="5" t="n"/>
      <c r="B730" s="6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8" t="n"/>
      <c r="L730" s="8" t="n"/>
      <c r="M730" s="5" t="n"/>
      <c r="N730" s="16" t="n"/>
      <c r="O730" s="5" t="n"/>
      <c r="P730" s="5" t="n"/>
      <c r="Q730" s="5" t="n"/>
      <c r="R730" s="5" t="n"/>
      <c r="S730" s="5" t="n"/>
      <c r="T730" s="5" t="n"/>
      <c r="U730" s="5" t="n"/>
      <c r="V730" s="5" t="n"/>
      <c r="W730" s="5" t="n"/>
      <c r="X730" s="5" t="n"/>
      <c r="Y730" s="5" t="n"/>
      <c r="Z730" s="5" t="n"/>
      <c r="AA730" s="5" t="n"/>
    </row>
    <row r="731" ht="15.75" customHeight="1">
      <c r="A731" s="5" t="n"/>
      <c r="B731" s="6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8" t="n"/>
      <c r="L731" s="8" t="n"/>
      <c r="M731" s="5" t="n"/>
      <c r="N731" s="16" t="n"/>
      <c r="O731" s="5" t="n"/>
      <c r="P731" s="5" t="n"/>
      <c r="Q731" s="5" t="n"/>
      <c r="R731" s="5" t="n"/>
      <c r="S731" s="5" t="n"/>
      <c r="T731" s="5" t="n"/>
      <c r="U731" s="5" t="n"/>
      <c r="V731" s="5" t="n"/>
      <c r="W731" s="5" t="n"/>
      <c r="X731" s="5" t="n"/>
      <c r="Y731" s="5" t="n"/>
      <c r="Z731" s="5" t="n"/>
      <c r="AA731" s="5" t="n"/>
    </row>
    <row r="732" ht="15.75" customHeight="1">
      <c r="A732" s="5" t="n"/>
      <c r="B732" s="6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8" t="n"/>
      <c r="L732" s="8" t="n"/>
      <c r="M732" s="5" t="n"/>
      <c r="N732" s="16" t="n"/>
      <c r="O732" s="5" t="n"/>
      <c r="P732" s="5" t="n"/>
      <c r="Q732" s="5" t="n"/>
      <c r="R732" s="5" t="n"/>
      <c r="S732" s="5" t="n"/>
      <c r="T732" s="5" t="n"/>
      <c r="U732" s="5" t="n"/>
      <c r="V732" s="5" t="n"/>
      <c r="W732" s="5" t="n"/>
      <c r="X732" s="5" t="n"/>
      <c r="Y732" s="5" t="n"/>
      <c r="Z732" s="5" t="n"/>
      <c r="AA732" s="5" t="n"/>
    </row>
    <row r="733" ht="15.75" customHeight="1">
      <c r="A733" s="5" t="n"/>
      <c r="B733" s="6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8" t="n"/>
      <c r="L733" s="8" t="n"/>
      <c r="M733" s="5" t="n"/>
      <c r="N733" s="16" t="n"/>
      <c r="O733" s="5" t="n"/>
      <c r="P733" s="5" t="n"/>
      <c r="Q733" s="5" t="n"/>
      <c r="R733" s="5" t="n"/>
      <c r="S733" s="5" t="n"/>
      <c r="T733" s="5" t="n"/>
      <c r="U733" s="5" t="n"/>
      <c r="V733" s="5" t="n"/>
      <c r="W733" s="5" t="n"/>
      <c r="X733" s="5" t="n"/>
      <c r="Y733" s="5" t="n"/>
      <c r="Z733" s="5" t="n"/>
      <c r="AA733" s="5" t="n"/>
    </row>
    <row r="734" ht="15.75" customHeight="1">
      <c r="A734" s="5" t="n"/>
      <c r="B734" s="6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8" t="n"/>
      <c r="L734" s="8" t="n"/>
      <c r="M734" s="5" t="n"/>
      <c r="N734" s="16" t="n"/>
      <c r="O734" s="5" t="n"/>
      <c r="P734" s="5" t="n"/>
      <c r="Q734" s="5" t="n"/>
      <c r="R734" s="5" t="n"/>
      <c r="S734" s="5" t="n"/>
      <c r="T734" s="5" t="n"/>
      <c r="U734" s="5" t="n"/>
      <c r="V734" s="5" t="n"/>
      <c r="W734" s="5" t="n"/>
      <c r="X734" s="5" t="n"/>
      <c r="Y734" s="5" t="n"/>
      <c r="Z734" s="5" t="n"/>
      <c r="AA734" s="5" t="n"/>
    </row>
    <row r="735" ht="15.75" customHeight="1">
      <c r="A735" s="5" t="n"/>
      <c r="B735" s="6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8" t="n"/>
      <c r="L735" s="8" t="n"/>
      <c r="M735" s="5" t="n"/>
      <c r="N735" s="16" t="n"/>
      <c r="O735" s="5" t="n"/>
      <c r="P735" s="5" t="n"/>
      <c r="Q735" s="5" t="n"/>
      <c r="R735" s="5" t="n"/>
      <c r="S735" s="5" t="n"/>
      <c r="T735" s="5" t="n"/>
      <c r="U735" s="5" t="n"/>
      <c r="V735" s="5" t="n"/>
      <c r="W735" s="5" t="n"/>
      <c r="X735" s="5" t="n"/>
      <c r="Y735" s="5" t="n"/>
      <c r="Z735" s="5" t="n"/>
      <c r="AA735" s="5" t="n"/>
    </row>
    <row r="736" ht="15.75" customHeight="1">
      <c r="A736" s="5" t="n"/>
      <c r="B736" s="6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8" t="n"/>
      <c r="L736" s="8" t="n"/>
      <c r="M736" s="5" t="n"/>
      <c r="N736" s="16" t="n"/>
      <c r="O736" s="5" t="n"/>
      <c r="P736" s="5" t="n"/>
      <c r="Q736" s="5" t="n"/>
      <c r="R736" s="5" t="n"/>
      <c r="S736" s="5" t="n"/>
      <c r="T736" s="5" t="n"/>
      <c r="U736" s="5" t="n"/>
      <c r="V736" s="5" t="n"/>
      <c r="W736" s="5" t="n"/>
      <c r="X736" s="5" t="n"/>
      <c r="Y736" s="5" t="n"/>
      <c r="Z736" s="5" t="n"/>
      <c r="AA736" s="5" t="n"/>
    </row>
    <row r="737" ht="15.75" customHeight="1">
      <c r="A737" s="5" t="n"/>
      <c r="B737" s="6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8" t="n"/>
      <c r="L737" s="8" t="n"/>
      <c r="M737" s="5" t="n"/>
      <c r="N737" s="16" t="n"/>
      <c r="O737" s="5" t="n"/>
      <c r="P737" s="5" t="n"/>
      <c r="Q737" s="5" t="n"/>
      <c r="R737" s="5" t="n"/>
      <c r="S737" s="5" t="n"/>
      <c r="T737" s="5" t="n"/>
      <c r="U737" s="5" t="n"/>
      <c r="V737" s="5" t="n"/>
      <c r="W737" s="5" t="n"/>
      <c r="X737" s="5" t="n"/>
      <c r="Y737" s="5" t="n"/>
      <c r="Z737" s="5" t="n"/>
      <c r="AA737" s="5" t="n"/>
    </row>
    <row r="738" ht="15.75" customHeight="1">
      <c r="A738" s="5" t="n"/>
      <c r="B738" s="6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8" t="n"/>
      <c r="L738" s="8" t="n"/>
      <c r="M738" s="5" t="n"/>
      <c r="N738" s="16" t="n"/>
      <c r="O738" s="5" t="n"/>
      <c r="P738" s="5" t="n"/>
      <c r="Q738" s="5" t="n"/>
      <c r="R738" s="5" t="n"/>
      <c r="S738" s="5" t="n"/>
      <c r="T738" s="5" t="n"/>
      <c r="U738" s="5" t="n"/>
      <c r="V738" s="5" t="n"/>
      <c r="W738" s="5" t="n"/>
      <c r="X738" s="5" t="n"/>
      <c r="Y738" s="5" t="n"/>
      <c r="Z738" s="5" t="n"/>
      <c r="AA738" s="5" t="n"/>
    </row>
    <row r="739" ht="15.75" customHeight="1">
      <c r="A739" s="5" t="n"/>
      <c r="B739" s="6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8" t="n"/>
      <c r="L739" s="8" t="n"/>
      <c r="M739" s="5" t="n"/>
      <c r="N739" s="16" t="n"/>
      <c r="O739" s="5" t="n"/>
      <c r="P739" s="5" t="n"/>
      <c r="Q739" s="5" t="n"/>
      <c r="R739" s="5" t="n"/>
      <c r="S739" s="5" t="n"/>
      <c r="T739" s="5" t="n"/>
      <c r="U739" s="5" t="n"/>
      <c r="V739" s="5" t="n"/>
      <c r="W739" s="5" t="n"/>
      <c r="X739" s="5" t="n"/>
      <c r="Y739" s="5" t="n"/>
      <c r="Z739" s="5" t="n"/>
      <c r="AA739" s="5" t="n"/>
    </row>
    <row r="740" ht="15.75" customHeight="1">
      <c r="A740" s="5" t="n"/>
      <c r="B740" s="6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8" t="n"/>
      <c r="L740" s="8" t="n"/>
      <c r="M740" s="5" t="n"/>
      <c r="N740" s="16" t="n"/>
      <c r="O740" s="5" t="n"/>
      <c r="P740" s="5" t="n"/>
      <c r="Q740" s="5" t="n"/>
      <c r="R740" s="5" t="n"/>
      <c r="S740" s="5" t="n"/>
      <c r="T740" s="5" t="n"/>
      <c r="U740" s="5" t="n"/>
      <c r="V740" s="5" t="n"/>
      <c r="W740" s="5" t="n"/>
      <c r="X740" s="5" t="n"/>
      <c r="Y740" s="5" t="n"/>
      <c r="Z740" s="5" t="n"/>
      <c r="AA740" s="5" t="n"/>
    </row>
    <row r="741" ht="15.75" customHeight="1">
      <c r="A741" s="5" t="n"/>
      <c r="B741" s="6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8" t="n"/>
      <c r="L741" s="8" t="n"/>
      <c r="M741" s="5" t="n"/>
      <c r="N741" s="16" t="n"/>
      <c r="O741" s="5" t="n"/>
      <c r="P741" s="5" t="n"/>
      <c r="Q741" s="5" t="n"/>
      <c r="R741" s="5" t="n"/>
      <c r="S741" s="5" t="n"/>
      <c r="T741" s="5" t="n"/>
      <c r="U741" s="5" t="n"/>
      <c r="V741" s="5" t="n"/>
      <c r="W741" s="5" t="n"/>
      <c r="X741" s="5" t="n"/>
      <c r="Y741" s="5" t="n"/>
      <c r="Z741" s="5" t="n"/>
      <c r="AA741" s="5" t="n"/>
    </row>
    <row r="742" ht="15.75" customHeight="1">
      <c r="A742" s="5" t="n"/>
      <c r="B742" s="6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8" t="n"/>
      <c r="L742" s="8" t="n"/>
      <c r="M742" s="5" t="n"/>
      <c r="N742" s="16" t="n"/>
      <c r="O742" s="5" t="n"/>
      <c r="P742" s="5" t="n"/>
      <c r="Q742" s="5" t="n"/>
      <c r="R742" s="5" t="n"/>
      <c r="S742" s="5" t="n"/>
      <c r="T742" s="5" t="n"/>
      <c r="U742" s="5" t="n"/>
      <c r="V742" s="5" t="n"/>
      <c r="W742" s="5" t="n"/>
      <c r="X742" s="5" t="n"/>
      <c r="Y742" s="5" t="n"/>
      <c r="Z742" s="5" t="n"/>
      <c r="AA742" s="5" t="n"/>
    </row>
    <row r="743" ht="15.75" customHeight="1">
      <c r="A743" s="5" t="n"/>
      <c r="B743" s="6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8" t="n"/>
      <c r="L743" s="8" t="n"/>
      <c r="M743" s="5" t="n"/>
      <c r="N743" s="16" t="n"/>
      <c r="O743" s="5" t="n"/>
      <c r="P743" s="5" t="n"/>
      <c r="Q743" s="5" t="n"/>
      <c r="R743" s="5" t="n"/>
      <c r="S743" s="5" t="n"/>
      <c r="T743" s="5" t="n"/>
      <c r="U743" s="5" t="n"/>
      <c r="V743" s="5" t="n"/>
      <c r="W743" s="5" t="n"/>
      <c r="X743" s="5" t="n"/>
      <c r="Y743" s="5" t="n"/>
      <c r="Z743" s="5" t="n"/>
      <c r="AA743" s="5" t="n"/>
    </row>
    <row r="744" ht="15.75" customHeight="1">
      <c r="A744" s="5" t="n"/>
      <c r="B744" s="6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8" t="n"/>
      <c r="L744" s="8" t="n"/>
      <c r="M744" s="5" t="n"/>
      <c r="N744" s="16" t="n"/>
      <c r="O744" s="5" t="n"/>
      <c r="P744" s="5" t="n"/>
      <c r="Q744" s="5" t="n"/>
      <c r="R744" s="5" t="n"/>
      <c r="S744" s="5" t="n"/>
      <c r="T744" s="5" t="n"/>
      <c r="U744" s="5" t="n"/>
      <c r="V744" s="5" t="n"/>
      <c r="W744" s="5" t="n"/>
      <c r="X744" s="5" t="n"/>
      <c r="Y744" s="5" t="n"/>
      <c r="Z744" s="5" t="n"/>
      <c r="AA744" s="5" t="n"/>
    </row>
    <row r="745" ht="15.75" customHeight="1">
      <c r="A745" s="5" t="n"/>
      <c r="B745" s="6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8" t="n"/>
      <c r="L745" s="8" t="n"/>
      <c r="M745" s="5" t="n"/>
      <c r="N745" s="16" t="n"/>
      <c r="O745" s="5" t="n"/>
      <c r="P745" s="5" t="n"/>
      <c r="Q745" s="5" t="n"/>
      <c r="R745" s="5" t="n"/>
      <c r="S745" s="5" t="n"/>
      <c r="T745" s="5" t="n"/>
      <c r="U745" s="5" t="n"/>
      <c r="V745" s="5" t="n"/>
      <c r="W745" s="5" t="n"/>
      <c r="X745" s="5" t="n"/>
      <c r="Y745" s="5" t="n"/>
      <c r="Z745" s="5" t="n"/>
      <c r="AA745" s="5" t="n"/>
    </row>
    <row r="746" ht="15.75" customHeight="1">
      <c r="A746" s="5" t="n"/>
      <c r="B746" s="6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8" t="n"/>
      <c r="L746" s="8" t="n"/>
      <c r="M746" s="5" t="n"/>
      <c r="N746" s="16" t="n"/>
      <c r="O746" s="5" t="n"/>
      <c r="P746" s="5" t="n"/>
      <c r="Q746" s="5" t="n"/>
      <c r="R746" s="5" t="n"/>
      <c r="S746" s="5" t="n"/>
      <c r="T746" s="5" t="n"/>
      <c r="U746" s="5" t="n"/>
      <c r="V746" s="5" t="n"/>
      <c r="W746" s="5" t="n"/>
      <c r="X746" s="5" t="n"/>
      <c r="Y746" s="5" t="n"/>
      <c r="Z746" s="5" t="n"/>
      <c r="AA746" s="5" t="n"/>
    </row>
    <row r="747" ht="15.75" customHeight="1">
      <c r="A747" s="5" t="n"/>
      <c r="B747" s="6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8" t="n"/>
      <c r="L747" s="8" t="n"/>
      <c r="M747" s="5" t="n"/>
      <c r="N747" s="16" t="n"/>
      <c r="O747" s="5" t="n"/>
      <c r="P747" s="5" t="n"/>
      <c r="Q747" s="5" t="n"/>
      <c r="R747" s="5" t="n"/>
      <c r="S747" s="5" t="n"/>
      <c r="T747" s="5" t="n"/>
      <c r="U747" s="5" t="n"/>
      <c r="V747" s="5" t="n"/>
      <c r="W747" s="5" t="n"/>
      <c r="X747" s="5" t="n"/>
      <c r="Y747" s="5" t="n"/>
      <c r="Z747" s="5" t="n"/>
      <c r="AA747" s="5" t="n"/>
    </row>
    <row r="748" ht="15.75" customHeight="1">
      <c r="A748" s="5" t="n"/>
      <c r="B748" s="6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8" t="n"/>
      <c r="L748" s="8" t="n"/>
      <c r="M748" s="5" t="n"/>
      <c r="N748" s="16" t="n"/>
      <c r="O748" s="5" t="n"/>
      <c r="P748" s="5" t="n"/>
      <c r="Q748" s="5" t="n"/>
      <c r="R748" s="5" t="n"/>
      <c r="S748" s="5" t="n"/>
      <c r="T748" s="5" t="n"/>
      <c r="U748" s="5" t="n"/>
      <c r="V748" s="5" t="n"/>
      <c r="W748" s="5" t="n"/>
      <c r="X748" s="5" t="n"/>
      <c r="Y748" s="5" t="n"/>
      <c r="Z748" s="5" t="n"/>
      <c r="AA748" s="5" t="n"/>
    </row>
    <row r="749" ht="15.75" customHeight="1">
      <c r="A749" s="5" t="n"/>
      <c r="B749" s="6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8" t="n"/>
      <c r="L749" s="8" t="n"/>
      <c r="M749" s="5" t="n"/>
      <c r="N749" s="16" t="n"/>
      <c r="O749" s="5" t="n"/>
      <c r="P749" s="5" t="n"/>
      <c r="Q749" s="5" t="n"/>
      <c r="R749" s="5" t="n"/>
      <c r="S749" s="5" t="n"/>
      <c r="T749" s="5" t="n"/>
      <c r="U749" s="5" t="n"/>
      <c r="V749" s="5" t="n"/>
      <c r="W749" s="5" t="n"/>
      <c r="X749" s="5" t="n"/>
      <c r="Y749" s="5" t="n"/>
      <c r="Z749" s="5" t="n"/>
      <c r="AA749" s="5" t="n"/>
    </row>
    <row r="750" ht="15.75" customHeight="1">
      <c r="A750" s="5" t="n"/>
      <c r="B750" s="6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8" t="n"/>
      <c r="L750" s="8" t="n"/>
      <c r="M750" s="5" t="n"/>
      <c r="N750" s="16" t="n"/>
      <c r="O750" s="5" t="n"/>
      <c r="P750" s="5" t="n"/>
      <c r="Q750" s="5" t="n"/>
      <c r="R750" s="5" t="n"/>
      <c r="S750" s="5" t="n"/>
      <c r="T750" s="5" t="n"/>
      <c r="U750" s="5" t="n"/>
      <c r="V750" s="5" t="n"/>
      <c r="W750" s="5" t="n"/>
      <c r="X750" s="5" t="n"/>
      <c r="Y750" s="5" t="n"/>
      <c r="Z750" s="5" t="n"/>
      <c r="AA750" s="5" t="n"/>
    </row>
    <row r="751" ht="15.75" customHeight="1">
      <c r="A751" s="5" t="n"/>
      <c r="B751" s="6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8" t="n"/>
      <c r="L751" s="8" t="n"/>
      <c r="M751" s="5" t="n"/>
      <c r="N751" s="16" t="n"/>
      <c r="O751" s="5" t="n"/>
      <c r="P751" s="5" t="n"/>
      <c r="Q751" s="5" t="n"/>
      <c r="R751" s="5" t="n"/>
      <c r="S751" s="5" t="n"/>
      <c r="T751" s="5" t="n"/>
      <c r="U751" s="5" t="n"/>
      <c r="V751" s="5" t="n"/>
      <c r="W751" s="5" t="n"/>
      <c r="X751" s="5" t="n"/>
      <c r="Y751" s="5" t="n"/>
      <c r="Z751" s="5" t="n"/>
      <c r="AA751" s="5" t="n"/>
    </row>
    <row r="752" ht="15.75" customHeight="1">
      <c r="A752" s="5" t="n"/>
      <c r="B752" s="6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8" t="n"/>
      <c r="L752" s="8" t="n"/>
      <c r="M752" s="5" t="n"/>
      <c r="N752" s="16" t="n"/>
      <c r="O752" s="5" t="n"/>
      <c r="P752" s="5" t="n"/>
      <c r="Q752" s="5" t="n"/>
      <c r="R752" s="5" t="n"/>
      <c r="S752" s="5" t="n"/>
      <c r="T752" s="5" t="n"/>
      <c r="U752" s="5" t="n"/>
      <c r="V752" s="5" t="n"/>
      <c r="W752" s="5" t="n"/>
      <c r="X752" s="5" t="n"/>
      <c r="Y752" s="5" t="n"/>
      <c r="Z752" s="5" t="n"/>
      <c r="AA752" s="5" t="n"/>
    </row>
    <row r="753" ht="15.75" customHeight="1">
      <c r="A753" s="5" t="n"/>
      <c r="B753" s="6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8" t="n"/>
      <c r="L753" s="8" t="n"/>
      <c r="M753" s="5" t="n"/>
      <c r="N753" s="16" t="n"/>
      <c r="O753" s="5" t="n"/>
      <c r="P753" s="5" t="n"/>
      <c r="Q753" s="5" t="n"/>
      <c r="R753" s="5" t="n"/>
      <c r="S753" s="5" t="n"/>
      <c r="T753" s="5" t="n"/>
      <c r="U753" s="5" t="n"/>
      <c r="V753" s="5" t="n"/>
      <c r="W753" s="5" t="n"/>
      <c r="X753" s="5" t="n"/>
      <c r="Y753" s="5" t="n"/>
      <c r="Z753" s="5" t="n"/>
      <c r="AA753" s="5" t="n"/>
    </row>
    <row r="754" ht="15.75" customHeight="1">
      <c r="A754" s="5" t="n"/>
      <c r="B754" s="6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8" t="n"/>
      <c r="L754" s="8" t="n"/>
      <c r="M754" s="5" t="n"/>
      <c r="N754" s="16" t="n"/>
      <c r="O754" s="5" t="n"/>
      <c r="P754" s="5" t="n"/>
      <c r="Q754" s="5" t="n"/>
      <c r="R754" s="5" t="n"/>
      <c r="S754" s="5" t="n"/>
      <c r="T754" s="5" t="n"/>
      <c r="U754" s="5" t="n"/>
      <c r="V754" s="5" t="n"/>
      <c r="W754" s="5" t="n"/>
      <c r="X754" s="5" t="n"/>
      <c r="Y754" s="5" t="n"/>
      <c r="Z754" s="5" t="n"/>
      <c r="AA754" s="5" t="n"/>
    </row>
    <row r="755" ht="15.75" customHeight="1">
      <c r="A755" s="5" t="n"/>
      <c r="B755" s="6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8" t="n"/>
      <c r="L755" s="8" t="n"/>
      <c r="M755" s="5" t="n"/>
      <c r="N755" s="16" t="n"/>
      <c r="O755" s="5" t="n"/>
      <c r="P755" s="5" t="n"/>
      <c r="Q755" s="5" t="n"/>
      <c r="R755" s="5" t="n"/>
      <c r="S755" s="5" t="n"/>
      <c r="T755" s="5" t="n"/>
      <c r="U755" s="5" t="n"/>
      <c r="V755" s="5" t="n"/>
      <c r="W755" s="5" t="n"/>
      <c r="X755" s="5" t="n"/>
      <c r="Y755" s="5" t="n"/>
      <c r="Z755" s="5" t="n"/>
      <c r="AA755" s="5" t="n"/>
    </row>
    <row r="756" ht="15.75" customHeight="1">
      <c r="A756" s="5" t="n"/>
      <c r="B756" s="6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8" t="n"/>
      <c r="L756" s="8" t="n"/>
      <c r="M756" s="5" t="n"/>
      <c r="N756" s="16" t="n"/>
      <c r="O756" s="5" t="n"/>
      <c r="P756" s="5" t="n"/>
      <c r="Q756" s="5" t="n"/>
      <c r="R756" s="5" t="n"/>
      <c r="S756" s="5" t="n"/>
      <c r="T756" s="5" t="n"/>
      <c r="U756" s="5" t="n"/>
      <c r="V756" s="5" t="n"/>
      <c r="W756" s="5" t="n"/>
      <c r="X756" s="5" t="n"/>
      <c r="Y756" s="5" t="n"/>
      <c r="Z756" s="5" t="n"/>
      <c r="AA756" s="5" t="n"/>
    </row>
    <row r="757" ht="15.75" customHeight="1">
      <c r="A757" s="5" t="n"/>
      <c r="B757" s="6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8" t="n"/>
      <c r="L757" s="8" t="n"/>
      <c r="M757" s="5" t="n"/>
      <c r="N757" s="16" t="n"/>
      <c r="O757" s="5" t="n"/>
      <c r="P757" s="5" t="n"/>
      <c r="Q757" s="5" t="n"/>
      <c r="R757" s="5" t="n"/>
      <c r="S757" s="5" t="n"/>
      <c r="T757" s="5" t="n"/>
      <c r="U757" s="5" t="n"/>
      <c r="V757" s="5" t="n"/>
      <c r="W757" s="5" t="n"/>
      <c r="X757" s="5" t="n"/>
      <c r="Y757" s="5" t="n"/>
      <c r="Z757" s="5" t="n"/>
      <c r="AA757" s="5" t="n"/>
    </row>
    <row r="758" ht="15.75" customHeight="1">
      <c r="A758" s="5" t="n"/>
      <c r="B758" s="6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8" t="n"/>
      <c r="L758" s="8" t="n"/>
      <c r="M758" s="5" t="n"/>
      <c r="N758" s="16" t="n"/>
      <c r="O758" s="5" t="n"/>
      <c r="P758" s="5" t="n"/>
      <c r="Q758" s="5" t="n"/>
      <c r="R758" s="5" t="n"/>
      <c r="S758" s="5" t="n"/>
      <c r="T758" s="5" t="n"/>
      <c r="U758" s="5" t="n"/>
      <c r="V758" s="5" t="n"/>
      <c r="W758" s="5" t="n"/>
      <c r="X758" s="5" t="n"/>
      <c r="Y758" s="5" t="n"/>
      <c r="Z758" s="5" t="n"/>
      <c r="AA758" s="5" t="n"/>
    </row>
    <row r="759" ht="15.75" customHeight="1">
      <c r="A759" s="5" t="n"/>
      <c r="B759" s="6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8" t="n"/>
      <c r="L759" s="8" t="n"/>
      <c r="M759" s="5" t="n"/>
      <c r="N759" s="16" t="n"/>
      <c r="O759" s="5" t="n"/>
      <c r="P759" s="5" t="n"/>
      <c r="Q759" s="5" t="n"/>
      <c r="R759" s="5" t="n"/>
      <c r="S759" s="5" t="n"/>
      <c r="T759" s="5" t="n"/>
      <c r="U759" s="5" t="n"/>
      <c r="V759" s="5" t="n"/>
      <c r="W759" s="5" t="n"/>
      <c r="X759" s="5" t="n"/>
      <c r="Y759" s="5" t="n"/>
      <c r="Z759" s="5" t="n"/>
      <c r="AA759" s="5" t="n"/>
    </row>
    <row r="760" ht="15.75" customHeight="1">
      <c r="A760" s="5" t="n"/>
      <c r="B760" s="6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8" t="n"/>
      <c r="L760" s="8" t="n"/>
      <c r="M760" s="5" t="n"/>
      <c r="N760" s="16" t="n"/>
      <c r="O760" s="5" t="n"/>
      <c r="P760" s="5" t="n"/>
      <c r="Q760" s="5" t="n"/>
      <c r="R760" s="5" t="n"/>
      <c r="S760" s="5" t="n"/>
      <c r="T760" s="5" t="n"/>
      <c r="U760" s="5" t="n"/>
      <c r="V760" s="5" t="n"/>
      <c r="W760" s="5" t="n"/>
      <c r="X760" s="5" t="n"/>
      <c r="Y760" s="5" t="n"/>
      <c r="Z760" s="5" t="n"/>
      <c r="AA760" s="5" t="n"/>
    </row>
    <row r="761" ht="15.75" customHeight="1">
      <c r="A761" s="5" t="n"/>
      <c r="B761" s="6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8" t="n"/>
      <c r="L761" s="8" t="n"/>
      <c r="M761" s="5" t="n"/>
      <c r="N761" s="16" t="n"/>
      <c r="O761" s="5" t="n"/>
      <c r="P761" s="5" t="n"/>
      <c r="Q761" s="5" t="n"/>
      <c r="R761" s="5" t="n"/>
      <c r="S761" s="5" t="n"/>
      <c r="T761" s="5" t="n"/>
      <c r="U761" s="5" t="n"/>
      <c r="V761" s="5" t="n"/>
      <c r="W761" s="5" t="n"/>
      <c r="X761" s="5" t="n"/>
      <c r="Y761" s="5" t="n"/>
      <c r="Z761" s="5" t="n"/>
      <c r="AA761" s="5" t="n"/>
    </row>
    <row r="762" ht="15.75" customHeight="1">
      <c r="A762" s="5" t="n"/>
      <c r="B762" s="6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8" t="n"/>
      <c r="L762" s="8" t="n"/>
      <c r="M762" s="5" t="n"/>
      <c r="N762" s="16" t="n"/>
      <c r="O762" s="5" t="n"/>
      <c r="P762" s="5" t="n"/>
      <c r="Q762" s="5" t="n"/>
      <c r="R762" s="5" t="n"/>
      <c r="S762" s="5" t="n"/>
      <c r="T762" s="5" t="n"/>
      <c r="U762" s="5" t="n"/>
      <c r="V762" s="5" t="n"/>
      <c r="W762" s="5" t="n"/>
      <c r="X762" s="5" t="n"/>
      <c r="Y762" s="5" t="n"/>
      <c r="Z762" s="5" t="n"/>
      <c r="AA762" s="5" t="n"/>
    </row>
    <row r="763" ht="15.75" customHeight="1">
      <c r="A763" s="5" t="n"/>
      <c r="B763" s="6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8" t="n"/>
      <c r="L763" s="8" t="n"/>
      <c r="M763" s="5" t="n"/>
      <c r="N763" s="16" t="n"/>
      <c r="O763" s="5" t="n"/>
      <c r="P763" s="5" t="n"/>
      <c r="Q763" s="5" t="n"/>
      <c r="R763" s="5" t="n"/>
      <c r="S763" s="5" t="n"/>
      <c r="T763" s="5" t="n"/>
      <c r="U763" s="5" t="n"/>
      <c r="V763" s="5" t="n"/>
      <c r="W763" s="5" t="n"/>
      <c r="X763" s="5" t="n"/>
      <c r="Y763" s="5" t="n"/>
      <c r="Z763" s="5" t="n"/>
      <c r="AA763" s="5" t="n"/>
    </row>
    <row r="764" ht="15.75" customHeight="1">
      <c r="A764" s="5" t="n"/>
      <c r="B764" s="6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8" t="n"/>
      <c r="L764" s="8" t="n"/>
      <c r="M764" s="5" t="n"/>
      <c r="N764" s="16" t="n"/>
      <c r="O764" s="5" t="n"/>
      <c r="P764" s="5" t="n"/>
      <c r="Q764" s="5" t="n"/>
      <c r="R764" s="5" t="n"/>
      <c r="S764" s="5" t="n"/>
      <c r="T764" s="5" t="n"/>
      <c r="U764" s="5" t="n"/>
      <c r="V764" s="5" t="n"/>
      <c r="W764" s="5" t="n"/>
      <c r="X764" s="5" t="n"/>
      <c r="Y764" s="5" t="n"/>
      <c r="Z764" s="5" t="n"/>
      <c r="AA764" s="5" t="n"/>
    </row>
    <row r="765" ht="15.75" customHeight="1">
      <c r="A765" s="5" t="n"/>
      <c r="B765" s="6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8" t="n"/>
      <c r="L765" s="8" t="n"/>
      <c r="M765" s="5" t="n"/>
      <c r="N765" s="16" t="n"/>
      <c r="O765" s="5" t="n"/>
      <c r="P765" s="5" t="n"/>
      <c r="Q765" s="5" t="n"/>
      <c r="R765" s="5" t="n"/>
      <c r="S765" s="5" t="n"/>
      <c r="T765" s="5" t="n"/>
      <c r="U765" s="5" t="n"/>
      <c r="V765" s="5" t="n"/>
      <c r="W765" s="5" t="n"/>
      <c r="X765" s="5" t="n"/>
      <c r="Y765" s="5" t="n"/>
      <c r="Z765" s="5" t="n"/>
      <c r="AA765" s="5" t="n"/>
    </row>
    <row r="766" ht="15.75" customHeight="1">
      <c r="A766" s="5" t="n"/>
      <c r="B766" s="6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8" t="n"/>
      <c r="L766" s="8" t="n"/>
      <c r="M766" s="5" t="n"/>
      <c r="N766" s="16" t="n"/>
      <c r="O766" s="5" t="n"/>
      <c r="P766" s="5" t="n"/>
      <c r="Q766" s="5" t="n"/>
      <c r="R766" s="5" t="n"/>
      <c r="S766" s="5" t="n"/>
      <c r="T766" s="5" t="n"/>
      <c r="U766" s="5" t="n"/>
      <c r="V766" s="5" t="n"/>
      <c r="W766" s="5" t="n"/>
      <c r="X766" s="5" t="n"/>
      <c r="Y766" s="5" t="n"/>
      <c r="Z766" s="5" t="n"/>
      <c r="AA766" s="5" t="n"/>
    </row>
    <row r="767" ht="15.75" customHeight="1">
      <c r="A767" s="5" t="n"/>
      <c r="B767" s="6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8" t="n"/>
      <c r="L767" s="8" t="n"/>
      <c r="M767" s="5" t="n"/>
      <c r="N767" s="16" t="n"/>
      <c r="O767" s="5" t="n"/>
      <c r="P767" s="5" t="n"/>
      <c r="Q767" s="5" t="n"/>
      <c r="R767" s="5" t="n"/>
      <c r="S767" s="5" t="n"/>
      <c r="T767" s="5" t="n"/>
      <c r="U767" s="5" t="n"/>
      <c r="V767" s="5" t="n"/>
      <c r="W767" s="5" t="n"/>
      <c r="X767" s="5" t="n"/>
      <c r="Y767" s="5" t="n"/>
      <c r="Z767" s="5" t="n"/>
      <c r="AA767" s="5" t="n"/>
    </row>
    <row r="768" ht="15.75" customHeight="1">
      <c r="A768" s="5" t="n"/>
      <c r="B768" s="6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8" t="n"/>
      <c r="L768" s="8" t="n"/>
      <c r="M768" s="5" t="n"/>
      <c r="N768" s="16" t="n"/>
      <c r="O768" s="5" t="n"/>
      <c r="P768" s="5" t="n"/>
      <c r="Q768" s="5" t="n"/>
      <c r="R768" s="5" t="n"/>
      <c r="S768" s="5" t="n"/>
      <c r="T768" s="5" t="n"/>
      <c r="U768" s="5" t="n"/>
      <c r="V768" s="5" t="n"/>
      <c r="W768" s="5" t="n"/>
      <c r="X768" s="5" t="n"/>
      <c r="Y768" s="5" t="n"/>
      <c r="Z768" s="5" t="n"/>
      <c r="AA768" s="5" t="n"/>
    </row>
    <row r="769" ht="15.75" customHeight="1">
      <c r="A769" s="5" t="n"/>
      <c r="B769" s="6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8" t="n"/>
      <c r="L769" s="8" t="n"/>
      <c r="M769" s="5" t="n"/>
      <c r="N769" s="16" t="n"/>
      <c r="O769" s="5" t="n"/>
      <c r="P769" s="5" t="n"/>
      <c r="Q769" s="5" t="n"/>
      <c r="R769" s="5" t="n"/>
      <c r="S769" s="5" t="n"/>
      <c r="T769" s="5" t="n"/>
      <c r="U769" s="5" t="n"/>
      <c r="V769" s="5" t="n"/>
      <c r="W769" s="5" t="n"/>
      <c r="X769" s="5" t="n"/>
      <c r="Y769" s="5" t="n"/>
      <c r="Z769" s="5" t="n"/>
      <c r="AA769" s="5" t="n"/>
    </row>
    <row r="770" ht="15.75" customHeight="1">
      <c r="A770" s="5" t="n"/>
      <c r="B770" s="6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8" t="n"/>
      <c r="L770" s="8" t="n"/>
      <c r="M770" s="5" t="n"/>
      <c r="N770" s="16" t="n"/>
      <c r="O770" s="5" t="n"/>
      <c r="P770" s="5" t="n"/>
      <c r="Q770" s="5" t="n"/>
      <c r="R770" s="5" t="n"/>
      <c r="S770" s="5" t="n"/>
      <c r="T770" s="5" t="n"/>
      <c r="U770" s="5" t="n"/>
      <c r="V770" s="5" t="n"/>
      <c r="W770" s="5" t="n"/>
      <c r="X770" s="5" t="n"/>
      <c r="Y770" s="5" t="n"/>
      <c r="Z770" s="5" t="n"/>
      <c r="AA770" s="5" t="n"/>
    </row>
    <row r="771" ht="15.75" customHeight="1">
      <c r="A771" s="5" t="n"/>
      <c r="B771" s="6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8" t="n"/>
      <c r="L771" s="8" t="n"/>
      <c r="M771" s="5" t="n"/>
      <c r="N771" s="16" t="n"/>
      <c r="O771" s="5" t="n"/>
      <c r="P771" s="5" t="n"/>
      <c r="Q771" s="5" t="n"/>
      <c r="R771" s="5" t="n"/>
      <c r="S771" s="5" t="n"/>
      <c r="T771" s="5" t="n"/>
      <c r="U771" s="5" t="n"/>
      <c r="V771" s="5" t="n"/>
      <c r="W771" s="5" t="n"/>
      <c r="X771" s="5" t="n"/>
      <c r="Y771" s="5" t="n"/>
      <c r="Z771" s="5" t="n"/>
      <c r="AA771" s="5" t="n"/>
    </row>
    <row r="772" ht="15.75" customHeight="1">
      <c r="A772" s="5" t="n"/>
      <c r="B772" s="6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8" t="n"/>
      <c r="L772" s="8" t="n"/>
      <c r="M772" s="5" t="n"/>
      <c r="N772" s="16" t="n"/>
      <c r="O772" s="5" t="n"/>
      <c r="P772" s="5" t="n"/>
      <c r="Q772" s="5" t="n"/>
      <c r="R772" s="5" t="n"/>
      <c r="S772" s="5" t="n"/>
      <c r="T772" s="5" t="n"/>
      <c r="U772" s="5" t="n"/>
      <c r="V772" s="5" t="n"/>
      <c r="W772" s="5" t="n"/>
      <c r="X772" s="5" t="n"/>
      <c r="Y772" s="5" t="n"/>
      <c r="Z772" s="5" t="n"/>
      <c r="AA772" s="5" t="n"/>
    </row>
    <row r="773" ht="15.75" customHeight="1">
      <c r="A773" s="5" t="n"/>
      <c r="B773" s="6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8" t="n"/>
      <c r="L773" s="8" t="n"/>
      <c r="M773" s="5" t="n"/>
      <c r="N773" s="16" t="n"/>
      <c r="O773" s="5" t="n"/>
      <c r="P773" s="5" t="n"/>
      <c r="Q773" s="5" t="n"/>
      <c r="R773" s="5" t="n"/>
      <c r="S773" s="5" t="n"/>
      <c r="T773" s="5" t="n"/>
      <c r="U773" s="5" t="n"/>
      <c r="V773" s="5" t="n"/>
      <c r="W773" s="5" t="n"/>
      <c r="X773" s="5" t="n"/>
      <c r="Y773" s="5" t="n"/>
      <c r="Z773" s="5" t="n"/>
      <c r="AA773" s="5" t="n"/>
    </row>
    <row r="774" ht="15.75" customHeight="1">
      <c r="A774" s="5" t="n"/>
      <c r="B774" s="6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8" t="n"/>
      <c r="L774" s="8" t="n"/>
      <c r="M774" s="5" t="n"/>
      <c r="N774" s="16" t="n"/>
      <c r="O774" s="5" t="n"/>
      <c r="P774" s="5" t="n"/>
      <c r="Q774" s="5" t="n"/>
      <c r="R774" s="5" t="n"/>
      <c r="S774" s="5" t="n"/>
      <c r="T774" s="5" t="n"/>
      <c r="U774" s="5" t="n"/>
      <c r="V774" s="5" t="n"/>
      <c r="W774" s="5" t="n"/>
      <c r="X774" s="5" t="n"/>
      <c r="Y774" s="5" t="n"/>
      <c r="Z774" s="5" t="n"/>
      <c r="AA774" s="5" t="n"/>
    </row>
    <row r="775" ht="15.75" customHeight="1">
      <c r="A775" s="5" t="n"/>
      <c r="B775" s="6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8" t="n"/>
      <c r="L775" s="8" t="n"/>
      <c r="M775" s="5" t="n"/>
      <c r="N775" s="16" t="n"/>
      <c r="O775" s="5" t="n"/>
      <c r="P775" s="5" t="n"/>
      <c r="Q775" s="5" t="n"/>
      <c r="R775" s="5" t="n"/>
      <c r="S775" s="5" t="n"/>
      <c r="T775" s="5" t="n"/>
      <c r="U775" s="5" t="n"/>
      <c r="V775" s="5" t="n"/>
      <c r="W775" s="5" t="n"/>
      <c r="X775" s="5" t="n"/>
      <c r="Y775" s="5" t="n"/>
      <c r="Z775" s="5" t="n"/>
      <c r="AA775" s="5" t="n"/>
    </row>
    <row r="776" ht="15.75" customHeight="1">
      <c r="A776" s="5" t="n"/>
      <c r="B776" s="6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8" t="n"/>
      <c r="L776" s="8" t="n"/>
      <c r="M776" s="5" t="n"/>
      <c r="N776" s="16" t="n"/>
      <c r="O776" s="5" t="n"/>
      <c r="P776" s="5" t="n"/>
      <c r="Q776" s="5" t="n"/>
      <c r="R776" s="5" t="n"/>
      <c r="S776" s="5" t="n"/>
      <c r="T776" s="5" t="n"/>
      <c r="U776" s="5" t="n"/>
      <c r="V776" s="5" t="n"/>
      <c r="W776" s="5" t="n"/>
      <c r="X776" s="5" t="n"/>
      <c r="Y776" s="5" t="n"/>
      <c r="Z776" s="5" t="n"/>
      <c r="AA776" s="5" t="n"/>
    </row>
    <row r="777" ht="15.75" customHeight="1">
      <c r="A777" s="5" t="n"/>
      <c r="B777" s="6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8" t="n"/>
      <c r="L777" s="8" t="n"/>
      <c r="M777" s="5" t="n"/>
      <c r="N777" s="16" t="n"/>
      <c r="O777" s="5" t="n"/>
      <c r="P777" s="5" t="n"/>
      <c r="Q777" s="5" t="n"/>
      <c r="R777" s="5" t="n"/>
      <c r="S777" s="5" t="n"/>
      <c r="T777" s="5" t="n"/>
      <c r="U777" s="5" t="n"/>
      <c r="V777" s="5" t="n"/>
      <c r="W777" s="5" t="n"/>
      <c r="X777" s="5" t="n"/>
      <c r="Y777" s="5" t="n"/>
      <c r="Z777" s="5" t="n"/>
      <c r="AA777" s="5" t="n"/>
    </row>
    <row r="778" ht="15.75" customHeight="1">
      <c r="A778" s="5" t="n"/>
      <c r="B778" s="6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8" t="n"/>
      <c r="L778" s="8" t="n"/>
      <c r="M778" s="5" t="n"/>
      <c r="N778" s="16" t="n"/>
      <c r="O778" s="5" t="n"/>
      <c r="P778" s="5" t="n"/>
      <c r="Q778" s="5" t="n"/>
      <c r="R778" s="5" t="n"/>
      <c r="S778" s="5" t="n"/>
      <c r="T778" s="5" t="n"/>
      <c r="U778" s="5" t="n"/>
      <c r="V778" s="5" t="n"/>
      <c r="W778" s="5" t="n"/>
      <c r="X778" s="5" t="n"/>
      <c r="Y778" s="5" t="n"/>
      <c r="Z778" s="5" t="n"/>
      <c r="AA778" s="5" t="n"/>
    </row>
    <row r="779" ht="15.75" customHeight="1">
      <c r="A779" s="5" t="n"/>
      <c r="B779" s="6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8" t="n"/>
      <c r="L779" s="8" t="n"/>
      <c r="M779" s="5" t="n"/>
      <c r="N779" s="16" t="n"/>
      <c r="O779" s="5" t="n"/>
      <c r="P779" s="5" t="n"/>
      <c r="Q779" s="5" t="n"/>
      <c r="R779" s="5" t="n"/>
      <c r="S779" s="5" t="n"/>
      <c r="T779" s="5" t="n"/>
      <c r="U779" s="5" t="n"/>
      <c r="V779" s="5" t="n"/>
      <c r="W779" s="5" t="n"/>
      <c r="X779" s="5" t="n"/>
      <c r="Y779" s="5" t="n"/>
      <c r="Z779" s="5" t="n"/>
      <c r="AA779" s="5" t="n"/>
    </row>
    <row r="780" ht="15.75" customHeight="1">
      <c r="A780" s="5" t="n"/>
      <c r="B780" s="6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8" t="n"/>
      <c r="L780" s="8" t="n"/>
      <c r="M780" s="5" t="n"/>
      <c r="N780" s="16" t="n"/>
      <c r="O780" s="5" t="n"/>
      <c r="P780" s="5" t="n"/>
      <c r="Q780" s="5" t="n"/>
      <c r="R780" s="5" t="n"/>
      <c r="S780" s="5" t="n"/>
      <c r="T780" s="5" t="n"/>
      <c r="U780" s="5" t="n"/>
      <c r="V780" s="5" t="n"/>
      <c r="W780" s="5" t="n"/>
      <c r="X780" s="5" t="n"/>
      <c r="Y780" s="5" t="n"/>
      <c r="Z780" s="5" t="n"/>
      <c r="AA780" s="5" t="n"/>
    </row>
    <row r="781" ht="15.75" customHeight="1">
      <c r="A781" s="5" t="n"/>
      <c r="B781" s="6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8" t="n"/>
      <c r="L781" s="8" t="n"/>
      <c r="M781" s="5" t="n"/>
      <c r="N781" s="16" t="n"/>
      <c r="O781" s="5" t="n"/>
      <c r="P781" s="5" t="n"/>
      <c r="Q781" s="5" t="n"/>
      <c r="R781" s="5" t="n"/>
      <c r="S781" s="5" t="n"/>
      <c r="T781" s="5" t="n"/>
      <c r="U781" s="5" t="n"/>
      <c r="V781" s="5" t="n"/>
      <c r="W781" s="5" t="n"/>
      <c r="X781" s="5" t="n"/>
      <c r="Y781" s="5" t="n"/>
      <c r="Z781" s="5" t="n"/>
      <c r="AA781" s="5" t="n"/>
    </row>
    <row r="782" ht="15.75" customHeight="1">
      <c r="A782" s="5" t="n"/>
      <c r="B782" s="6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8" t="n"/>
      <c r="L782" s="8" t="n"/>
      <c r="M782" s="5" t="n"/>
      <c r="N782" s="16" t="n"/>
      <c r="O782" s="5" t="n"/>
      <c r="P782" s="5" t="n"/>
      <c r="Q782" s="5" t="n"/>
      <c r="R782" s="5" t="n"/>
      <c r="S782" s="5" t="n"/>
      <c r="T782" s="5" t="n"/>
      <c r="U782" s="5" t="n"/>
      <c r="V782" s="5" t="n"/>
      <c r="W782" s="5" t="n"/>
      <c r="X782" s="5" t="n"/>
      <c r="Y782" s="5" t="n"/>
      <c r="Z782" s="5" t="n"/>
      <c r="AA782" s="5" t="n"/>
    </row>
    <row r="783" ht="15.75" customHeight="1">
      <c r="A783" s="5" t="n"/>
      <c r="B783" s="6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8" t="n"/>
      <c r="L783" s="8" t="n"/>
      <c r="M783" s="5" t="n"/>
      <c r="N783" s="16" t="n"/>
      <c r="O783" s="5" t="n"/>
      <c r="P783" s="5" t="n"/>
      <c r="Q783" s="5" t="n"/>
      <c r="R783" s="5" t="n"/>
      <c r="S783" s="5" t="n"/>
      <c r="T783" s="5" t="n"/>
      <c r="U783" s="5" t="n"/>
      <c r="V783" s="5" t="n"/>
      <c r="W783" s="5" t="n"/>
      <c r="X783" s="5" t="n"/>
      <c r="Y783" s="5" t="n"/>
      <c r="Z783" s="5" t="n"/>
      <c r="AA783" s="5" t="n"/>
    </row>
    <row r="784" ht="15.75" customHeight="1">
      <c r="A784" s="5" t="n"/>
      <c r="B784" s="6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8" t="n"/>
      <c r="L784" s="8" t="n"/>
      <c r="M784" s="5" t="n"/>
      <c r="N784" s="16" t="n"/>
      <c r="O784" s="5" t="n"/>
      <c r="P784" s="5" t="n"/>
      <c r="Q784" s="5" t="n"/>
      <c r="R784" s="5" t="n"/>
      <c r="S784" s="5" t="n"/>
      <c r="T784" s="5" t="n"/>
      <c r="U784" s="5" t="n"/>
      <c r="V784" s="5" t="n"/>
      <c r="W784" s="5" t="n"/>
      <c r="X784" s="5" t="n"/>
      <c r="Y784" s="5" t="n"/>
      <c r="Z784" s="5" t="n"/>
      <c r="AA784" s="5" t="n"/>
    </row>
    <row r="785" ht="15.75" customHeight="1">
      <c r="A785" s="5" t="n"/>
      <c r="B785" s="6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8" t="n"/>
      <c r="L785" s="8" t="n"/>
      <c r="M785" s="5" t="n"/>
      <c r="N785" s="16" t="n"/>
      <c r="O785" s="5" t="n"/>
      <c r="P785" s="5" t="n"/>
      <c r="Q785" s="5" t="n"/>
      <c r="R785" s="5" t="n"/>
      <c r="S785" s="5" t="n"/>
      <c r="T785" s="5" t="n"/>
      <c r="U785" s="5" t="n"/>
      <c r="V785" s="5" t="n"/>
      <c r="W785" s="5" t="n"/>
      <c r="X785" s="5" t="n"/>
      <c r="Y785" s="5" t="n"/>
      <c r="Z785" s="5" t="n"/>
      <c r="AA785" s="5" t="n"/>
    </row>
    <row r="786" ht="15.75" customHeight="1">
      <c r="A786" s="5" t="n"/>
      <c r="B786" s="6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8" t="n"/>
      <c r="L786" s="8" t="n"/>
      <c r="M786" s="5" t="n"/>
      <c r="N786" s="16" t="n"/>
      <c r="O786" s="5" t="n"/>
      <c r="P786" s="5" t="n"/>
      <c r="Q786" s="5" t="n"/>
      <c r="R786" s="5" t="n"/>
      <c r="S786" s="5" t="n"/>
      <c r="T786" s="5" t="n"/>
      <c r="U786" s="5" t="n"/>
      <c r="V786" s="5" t="n"/>
      <c r="W786" s="5" t="n"/>
      <c r="X786" s="5" t="n"/>
      <c r="Y786" s="5" t="n"/>
      <c r="Z786" s="5" t="n"/>
      <c r="AA786" s="5" t="n"/>
    </row>
    <row r="787" ht="15.75" customHeight="1">
      <c r="A787" s="5" t="n"/>
      <c r="B787" s="6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8" t="n"/>
      <c r="L787" s="8" t="n"/>
      <c r="M787" s="5" t="n"/>
      <c r="N787" s="16" t="n"/>
      <c r="O787" s="5" t="n"/>
      <c r="P787" s="5" t="n"/>
      <c r="Q787" s="5" t="n"/>
      <c r="R787" s="5" t="n"/>
      <c r="S787" s="5" t="n"/>
      <c r="T787" s="5" t="n"/>
      <c r="U787" s="5" t="n"/>
      <c r="V787" s="5" t="n"/>
      <c r="W787" s="5" t="n"/>
      <c r="X787" s="5" t="n"/>
      <c r="Y787" s="5" t="n"/>
      <c r="Z787" s="5" t="n"/>
      <c r="AA787" s="5" t="n"/>
    </row>
    <row r="788" ht="15.75" customHeight="1">
      <c r="A788" s="5" t="n"/>
      <c r="B788" s="6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8" t="n"/>
      <c r="L788" s="8" t="n"/>
      <c r="M788" s="5" t="n"/>
      <c r="N788" s="16" t="n"/>
      <c r="O788" s="5" t="n"/>
      <c r="P788" s="5" t="n"/>
      <c r="Q788" s="5" t="n"/>
      <c r="R788" s="5" t="n"/>
      <c r="S788" s="5" t="n"/>
      <c r="T788" s="5" t="n"/>
      <c r="U788" s="5" t="n"/>
      <c r="V788" s="5" t="n"/>
      <c r="W788" s="5" t="n"/>
      <c r="X788" s="5" t="n"/>
      <c r="Y788" s="5" t="n"/>
      <c r="Z788" s="5" t="n"/>
      <c r="AA788" s="5" t="n"/>
    </row>
    <row r="789" ht="15.75" customHeight="1">
      <c r="A789" s="5" t="n"/>
      <c r="B789" s="6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8" t="n"/>
      <c r="L789" s="8" t="n"/>
      <c r="M789" s="5" t="n"/>
      <c r="N789" s="16" t="n"/>
      <c r="O789" s="5" t="n"/>
      <c r="P789" s="5" t="n"/>
      <c r="Q789" s="5" t="n"/>
      <c r="R789" s="5" t="n"/>
      <c r="S789" s="5" t="n"/>
      <c r="T789" s="5" t="n"/>
      <c r="U789" s="5" t="n"/>
      <c r="V789" s="5" t="n"/>
      <c r="W789" s="5" t="n"/>
      <c r="X789" s="5" t="n"/>
      <c r="Y789" s="5" t="n"/>
      <c r="Z789" s="5" t="n"/>
      <c r="AA789" s="5" t="n"/>
    </row>
    <row r="790" ht="15.75" customHeight="1">
      <c r="A790" s="5" t="n"/>
      <c r="B790" s="6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8" t="n"/>
      <c r="L790" s="8" t="n"/>
      <c r="M790" s="5" t="n"/>
      <c r="N790" s="16" t="n"/>
      <c r="O790" s="5" t="n"/>
      <c r="P790" s="5" t="n"/>
      <c r="Q790" s="5" t="n"/>
      <c r="R790" s="5" t="n"/>
      <c r="S790" s="5" t="n"/>
      <c r="T790" s="5" t="n"/>
      <c r="U790" s="5" t="n"/>
      <c r="V790" s="5" t="n"/>
      <c r="W790" s="5" t="n"/>
      <c r="X790" s="5" t="n"/>
      <c r="Y790" s="5" t="n"/>
      <c r="Z790" s="5" t="n"/>
      <c r="AA790" s="5" t="n"/>
    </row>
    <row r="791" ht="15.75" customHeight="1">
      <c r="A791" s="5" t="n"/>
      <c r="B791" s="6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8" t="n"/>
      <c r="L791" s="8" t="n"/>
      <c r="M791" s="5" t="n"/>
      <c r="N791" s="16" t="n"/>
      <c r="O791" s="5" t="n"/>
      <c r="P791" s="5" t="n"/>
      <c r="Q791" s="5" t="n"/>
      <c r="R791" s="5" t="n"/>
      <c r="S791" s="5" t="n"/>
      <c r="T791" s="5" t="n"/>
      <c r="U791" s="5" t="n"/>
      <c r="V791" s="5" t="n"/>
      <c r="W791" s="5" t="n"/>
      <c r="X791" s="5" t="n"/>
      <c r="Y791" s="5" t="n"/>
      <c r="Z791" s="5" t="n"/>
      <c r="AA791" s="5" t="n"/>
    </row>
    <row r="792" ht="15.75" customHeight="1">
      <c r="A792" s="5" t="n"/>
      <c r="B792" s="6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8" t="n"/>
      <c r="L792" s="8" t="n"/>
      <c r="M792" s="5" t="n"/>
      <c r="N792" s="16" t="n"/>
      <c r="O792" s="5" t="n"/>
      <c r="P792" s="5" t="n"/>
      <c r="Q792" s="5" t="n"/>
      <c r="R792" s="5" t="n"/>
      <c r="S792" s="5" t="n"/>
      <c r="T792" s="5" t="n"/>
      <c r="U792" s="5" t="n"/>
      <c r="V792" s="5" t="n"/>
      <c r="W792" s="5" t="n"/>
      <c r="X792" s="5" t="n"/>
      <c r="Y792" s="5" t="n"/>
      <c r="Z792" s="5" t="n"/>
      <c r="AA792" s="5" t="n"/>
    </row>
    <row r="793" ht="15.75" customHeight="1">
      <c r="A793" s="5" t="n"/>
      <c r="B793" s="6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8" t="n"/>
      <c r="L793" s="8" t="n"/>
      <c r="M793" s="5" t="n"/>
      <c r="N793" s="16" t="n"/>
      <c r="O793" s="5" t="n"/>
      <c r="P793" s="5" t="n"/>
      <c r="Q793" s="5" t="n"/>
      <c r="R793" s="5" t="n"/>
      <c r="S793" s="5" t="n"/>
      <c r="T793" s="5" t="n"/>
      <c r="U793" s="5" t="n"/>
      <c r="V793" s="5" t="n"/>
      <c r="W793" s="5" t="n"/>
      <c r="X793" s="5" t="n"/>
      <c r="Y793" s="5" t="n"/>
      <c r="Z793" s="5" t="n"/>
      <c r="AA793" s="5" t="n"/>
    </row>
    <row r="794" ht="15.75" customHeight="1">
      <c r="A794" s="5" t="n"/>
      <c r="B794" s="6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8" t="n"/>
      <c r="L794" s="8" t="n"/>
      <c r="M794" s="5" t="n"/>
      <c r="N794" s="16" t="n"/>
      <c r="O794" s="5" t="n"/>
      <c r="P794" s="5" t="n"/>
      <c r="Q794" s="5" t="n"/>
      <c r="R794" s="5" t="n"/>
      <c r="S794" s="5" t="n"/>
      <c r="T794" s="5" t="n"/>
      <c r="U794" s="5" t="n"/>
      <c r="V794" s="5" t="n"/>
      <c r="W794" s="5" t="n"/>
      <c r="X794" s="5" t="n"/>
      <c r="Y794" s="5" t="n"/>
      <c r="Z794" s="5" t="n"/>
      <c r="AA794" s="5" t="n"/>
    </row>
    <row r="795" ht="15.75" customHeight="1">
      <c r="A795" s="5" t="n"/>
      <c r="B795" s="6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8" t="n"/>
      <c r="L795" s="8" t="n"/>
      <c r="M795" s="5" t="n"/>
      <c r="N795" s="16" t="n"/>
      <c r="O795" s="5" t="n"/>
      <c r="P795" s="5" t="n"/>
      <c r="Q795" s="5" t="n"/>
      <c r="R795" s="5" t="n"/>
      <c r="S795" s="5" t="n"/>
      <c r="T795" s="5" t="n"/>
      <c r="U795" s="5" t="n"/>
      <c r="V795" s="5" t="n"/>
      <c r="W795" s="5" t="n"/>
      <c r="X795" s="5" t="n"/>
      <c r="Y795" s="5" t="n"/>
      <c r="Z795" s="5" t="n"/>
      <c r="AA795" s="5" t="n"/>
    </row>
    <row r="796" ht="15.75" customHeight="1">
      <c r="A796" s="5" t="n"/>
      <c r="B796" s="6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8" t="n"/>
      <c r="L796" s="8" t="n"/>
      <c r="M796" s="5" t="n"/>
      <c r="N796" s="16" t="n"/>
      <c r="O796" s="5" t="n"/>
      <c r="P796" s="5" t="n"/>
      <c r="Q796" s="5" t="n"/>
      <c r="R796" s="5" t="n"/>
      <c r="S796" s="5" t="n"/>
      <c r="T796" s="5" t="n"/>
      <c r="U796" s="5" t="n"/>
      <c r="V796" s="5" t="n"/>
      <c r="W796" s="5" t="n"/>
      <c r="X796" s="5" t="n"/>
      <c r="Y796" s="5" t="n"/>
      <c r="Z796" s="5" t="n"/>
      <c r="AA796" s="5" t="n"/>
    </row>
    <row r="797" ht="15.75" customHeight="1">
      <c r="A797" s="5" t="n"/>
      <c r="B797" s="6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8" t="n"/>
      <c r="L797" s="8" t="n"/>
      <c r="M797" s="5" t="n"/>
      <c r="N797" s="16" t="n"/>
      <c r="O797" s="5" t="n"/>
      <c r="P797" s="5" t="n"/>
      <c r="Q797" s="5" t="n"/>
      <c r="R797" s="5" t="n"/>
      <c r="S797" s="5" t="n"/>
      <c r="T797" s="5" t="n"/>
      <c r="U797" s="5" t="n"/>
      <c r="V797" s="5" t="n"/>
      <c r="W797" s="5" t="n"/>
      <c r="X797" s="5" t="n"/>
      <c r="Y797" s="5" t="n"/>
      <c r="Z797" s="5" t="n"/>
      <c r="AA797" s="5" t="n"/>
    </row>
    <row r="798" ht="15.75" customHeight="1">
      <c r="A798" s="5" t="n"/>
      <c r="B798" s="6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8" t="n"/>
      <c r="L798" s="8" t="n"/>
      <c r="M798" s="5" t="n"/>
      <c r="N798" s="16" t="n"/>
      <c r="O798" s="5" t="n"/>
      <c r="P798" s="5" t="n"/>
      <c r="Q798" s="5" t="n"/>
      <c r="R798" s="5" t="n"/>
      <c r="S798" s="5" t="n"/>
      <c r="T798" s="5" t="n"/>
      <c r="U798" s="5" t="n"/>
      <c r="V798" s="5" t="n"/>
      <c r="W798" s="5" t="n"/>
      <c r="X798" s="5" t="n"/>
      <c r="Y798" s="5" t="n"/>
      <c r="Z798" s="5" t="n"/>
      <c r="AA798" s="5" t="n"/>
    </row>
    <row r="799" ht="15.75" customHeight="1">
      <c r="A799" s="5" t="n"/>
      <c r="B799" s="6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8" t="n"/>
      <c r="L799" s="8" t="n"/>
      <c r="M799" s="5" t="n"/>
      <c r="N799" s="16" t="n"/>
      <c r="O799" s="5" t="n"/>
      <c r="P799" s="5" t="n"/>
      <c r="Q799" s="5" t="n"/>
      <c r="R799" s="5" t="n"/>
      <c r="S799" s="5" t="n"/>
      <c r="T799" s="5" t="n"/>
      <c r="U799" s="5" t="n"/>
      <c r="V799" s="5" t="n"/>
      <c r="W799" s="5" t="n"/>
      <c r="X799" s="5" t="n"/>
      <c r="Y799" s="5" t="n"/>
      <c r="Z799" s="5" t="n"/>
      <c r="AA799" s="5" t="n"/>
    </row>
    <row r="800" ht="15.75" customHeight="1">
      <c r="A800" s="5" t="n"/>
      <c r="B800" s="6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8" t="n"/>
      <c r="L800" s="8" t="n"/>
      <c r="M800" s="5" t="n"/>
      <c r="N800" s="16" t="n"/>
      <c r="O800" s="5" t="n"/>
      <c r="P800" s="5" t="n"/>
      <c r="Q800" s="5" t="n"/>
      <c r="R800" s="5" t="n"/>
      <c r="S800" s="5" t="n"/>
      <c r="T800" s="5" t="n"/>
      <c r="U800" s="5" t="n"/>
      <c r="V800" s="5" t="n"/>
      <c r="W800" s="5" t="n"/>
      <c r="X800" s="5" t="n"/>
      <c r="Y800" s="5" t="n"/>
      <c r="Z800" s="5" t="n"/>
      <c r="AA800" s="5" t="n"/>
    </row>
    <row r="801" ht="15.75" customHeight="1">
      <c r="A801" s="5" t="n"/>
      <c r="B801" s="6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8" t="n"/>
      <c r="L801" s="8" t="n"/>
      <c r="M801" s="5" t="n"/>
      <c r="N801" s="16" t="n"/>
      <c r="O801" s="5" t="n"/>
      <c r="P801" s="5" t="n"/>
      <c r="Q801" s="5" t="n"/>
      <c r="R801" s="5" t="n"/>
      <c r="S801" s="5" t="n"/>
      <c r="T801" s="5" t="n"/>
      <c r="U801" s="5" t="n"/>
      <c r="V801" s="5" t="n"/>
      <c r="W801" s="5" t="n"/>
      <c r="X801" s="5" t="n"/>
      <c r="Y801" s="5" t="n"/>
      <c r="Z801" s="5" t="n"/>
      <c r="AA801" s="5" t="n"/>
    </row>
    <row r="802" ht="15.75" customHeight="1">
      <c r="A802" s="5" t="n"/>
      <c r="B802" s="6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8" t="n"/>
      <c r="L802" s="8" t="n"/>
      <c r="M802" s="5" t="n"/>
      <c r="N802" s="16" t="n"/>
      <c r="O802" s="5" t="n"/>
      <c r="P802" s="5" t="n"/>
      <c r="Q802" s="5" t="n"/>
      <c r="R802" s="5" t="n"/>
      <c r="S802" s="5" t="n"/>
      <c r="T802" s="5" t="n"/>
      <c r="U802" s="5" t="n"/>
      <c r="V802" s="5" t="n"/>
      <c r="W802" s="5" t="n"/>
      <c r="X802" s="5" t="n"/>
      <c r="Y802" s="5" t="n"/>
      <c r="Z802" s="5" t="n"/>
      <c r="AA802" s="5" t="n"/>
    </row>
    <row r="803" ht="15.75" customHeight="1">
      <c r="A803" s="5" t="n"/>
      <c r="B803" s="6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8" t="n"/>
      <c r="L803" s="8" t="n"/>
      <c r="M803" s="5" t="n"/>
      <c r="N803" s="16" t="n"/>
      <c r="O803" s="5" t="n"/>
      <c r="P803" s="5" t="n"/>
      <c r="Q803" s="5" t="n"/>
      <c r="R803" s="5" t="n"/>
      <c r="S803" s="5" t="n"/>
      <c r="T803" s="5" t="n"/>
      <c r="U803" s="5" t="n"/>
      <c r="V803" s="5" t="n"/>
      <c r="W803" s="5" t="n"/>
      <c r="X803" s="5" t="n"/>
      <c r="Y803" s="5" t="n"/>
      <c r="Z803" s="5" t="n"/>
      <c r="AA803" s="5" t="n"/>
    </row>
    <row r="804" ht="15.75" customHeight="1">
      <c r="A804" s="5" t="n"/>
      <c r="B804" s="6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8" t="n"/>
      <c r="L804" s="8" t="n"/>
      <c r="M804" s="5" t="n"/>
      <c r="N804" s="16" t="n"/>
      <c r="O804" s="5" t="n"/>
      <c r="P804" s="5" t="n"/>
      <c r="Q804" s="5" t="n"/>
      <c r="R804" s="5" t="n"/>
      <c r="S804" s="5" t="n"/>
      <c r="T804" s="5" t="n"/>
      <c r="U804" s="5" t="n"/>
      <c r="V804" s="5" t="n"/>
      <c r="W804" s="5" t="n"/>
      <c r="X804" s="5" t="n"/>
      <c r="Y804" s="5" t="n"/>
      <c r="Z804" s="5" t="n"/>
      <c r="AA804" s="5" t="n"/>
    </row>
    <row r="805" ht="15.75" customHeight="1">
      <c r="A805" s="5" t="n"/>
      <c r="B805" s="6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8" t="n"/>
      <c r="L805" s="8" t="n"/>
      <c r="M805" s="5" t="n"/>
      <c r="N805" s="16" t="n"/>
      <c r="O805" s="5" t="n"/>
      <c r="P805" s="5" t="n"/>
      <c r="Q805" s="5" t="n"/>
      <c r="R805" s="5" t="n"/>
      <c r="S805" s="5" t="n"/>
      <c r="T805" s="5" t="n"/>
      <c r="U805" s="5" t="n"/>
      <c r="V805" s="5" t="n"/>
      <c r="W805" s="5" t="n"/>
      <c r="X805" s="5" t="n"/>
      <c r="Y805" s="5" t="n"/>
      <c r="Z805" s="5" t="n"/>
      <c r="AA805" s="5" t="n"/>
    </row>
    <row r="806" ht="15.75" customHeight="1">
      <c r="A806" s="5" t="n"/>
      <c r="B806" s="6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8" t="n"/>
      <c r="L806" s="8" t="n"/>
      <c r="M806" s="5" t="n"/>
      <c r="N806" s="16" t="n"/>
      <c r="O806" s="5" t="n"/>
      <c r="P806" s="5" t="n"/>
      <c r="Q806" s="5" t="n"/>
      <c r="R806" s="5" t="n"/>
      <c r="S806" s="5" t="n"/>
      <c r="T806" s="5" t="n"/>
      <c r="U806" s="5" t="n"/>
      <c r="V806" s="5" t="n"/>
      <c r="W806" s="5" t="n"/>
      <c r="X806" s="5" t="n"/>
      <c r="Y806" s="5" t="n"/>
      <c r="Z806" s="5" t="n"/>
      <c r="AA806" s="5" t="n"/>
    </row>
    <row r="807" ht="15.75" customHeight="1">
      <c r="A807" s="5" t="n"/>
      <c r="B807" s="6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8" t="n"/>
      <c r="L807" s="8" t="n"/>
      <c r="M807" s="5" t="n"/>
      <c r="N807" s="16" t="n"/>
      <c r="O807" s="5" t="n"/>
      <c r="P807" s="5" t="n"/>
      <c r="Q807" s="5" t="n"/>
      <c r="R807" s="5" t="n"/>
      <c r="S807" s="5" t="n"/>
      <c r="T807" s="5" t="n"/>
      <c r="U807" s="5" t="n"/>
      <c r="V807" s="5" t="n"/>
      <c r="W807" s="5" t="n"/>
      <c r="X807" s="5" t="n"/>
      <c r="Y807" s="5" t="n"/>
      <c r="Z807" s="5" t="n"/>
      <c r="AA807" s="5" t="n"/>
    </row>
    <row r="808" ht="15.75" customHeight="1">
      <c r="A808" s="5" t="n"/>
      <c r="B808" s="6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8" t="n"/>
      <c r="L808" s="8" t="n"/>
      <c r="M808" s="5" t="n"/>
      <c r="N808" s="16" t="n"/>
      <c r="O808" s="5" t="n"/>
      <c r="P808" s="5" t="n"/>
      <c r="Q808" s="5" t="n"/>
      <c r="R808" s="5" t="n"/>
      <c r="S808" s="5" t="n"/>
      <c r="T808" s="5" t="n"/>
      <c r="U808" s="5" t="n"/>
      <c r="V808" s="5" t="n"/>
      <c r="W808" s="5" t="n"/>
      <c r="X808" s="5" t="n"/>
      <c r="Y808" s="5" t="n"/>
      <c r="Z808" s="5" t="n"/>
      <c r="AA808" s="5" t="n"/>
    </row>
    <row r="809" ht="15.75" customHeight="1">
      <c r="A809" s="5" t="n"/>
      <c r="B809" s="6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8" t="n"/>
      <c r="L809" s="8" t="n"/>
      <c r="M809" s="5" t="n"/>
      <c r="N809" s="16" t="n"/>
      <c r="O809" s="5" t="n"/>
      <c r="P809" s="5" t="n"/>
      <c r="Q809" s="5" t="n"/>
      <c r="R809" s="5" t="n"/>
      <c r="S809" s="5" t="n"/>
      <c r="T809" s="5" t="n"/>
      <c r="U809" s="5" t="n"/>
      <c r="V809" s="5" t="n"/>
      <c r="W809" s="5" t="n"/>
      <c r="X809" s="5" t="n"/>
      <c r="Y809" s="5" t="n"/>
      <c r="Z809" s="5" t="n"/>
      <c r="AA809" s="5" t="n"/>
    </row>
    <row r="810" ht="15.75" customHeight="1">
      <c r="A810" s="5" t="n"/>
      <c r="B810" s="6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8" t="n"/>
      <c r="L810" s="8" t="n"/>
      <c r="M810" s="5" t="n"/>
      <c r="N810" s="16" t="n"/>
      <c r="O810" s="5" t="n"/>
      <c r="P810" s="5" t="n"/>
      <c r="Q810" s="5" t="n"/>
      <c r="R810" s="5" t="n"/>
      <c r="S810" s="5" t="n"/>
      <c r="T810" s="5" t="n"/>
      <c r="U810" s="5" t="n"/>
      <c r="V810" s="5" t="n"/>
      <c r="W810" s="5" t="n"/>
      <c r="X810" s="5" t="n"/>
      <c r="Y810" s="5" t="n"/>
      <c r="Z810" s="5" t="n"/>
      <c r="AA810" s="5" t="n"/>
    </row>
    <row r="811" ht="15.75" customHeight="1">
      <c r="A811" s="5" t="n"/>
      <c r="B811" s="6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8" t="n"/>
      <c r="L811" s="8" t="n"/>
      <c r="M811" s="5" t="n"/>
      <c r="N811" s="16" t="n"/>
      <c r="O811" s="5" t="n"/>
      <c r="P811" s="5" t="n"/>
      <c r="Q811" s="5" t="n"/>
      <c r="R811" s="5" t="n"/>
      <c r="S811" s="5" t="n"/>
      <c r="T811" s="5" t="n"/>
      <c r="U811" s="5" t="n"/>
      <c r="V811" s="5" t="n"/>
      <c r="W811" s="5" t="n"/>
      <c r="X811" s="5" t="n"/>
      <c r="Y811" s="5" t="n"/>
      <c r="Z811" s="5" t="n"/>
      <c r="AA811" s="5" t="n"/>
    </row>
    <row r="812" ht="15.75" customHeight="1">
      <c r="A812" s="5" t="n"/>
      <c r="B812" s="6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8" t="n"/>
      <c r="L812" s="8" t="n"/>
      <c r="M812" s="5" t="n"/>
      <c r="N812" s="16" t="n"/>
      <c r="O812" s="5" t="n"/>
      <c r="P812" s="5" t="n"/>
      <c r="Q812" s="5" t="n"/>
      <c r="R812" s="5" t="n"/>
      <c r="S812" s="5" t="n"/>
      <c r="T812" s="5" t="n"/>
      <c r="U812" s="5" t="n"/>
      <c r="V812" s="5" t="n"/>
      <c r="W812" s="5" t="n"/>
      <c r="X812" s="5" t="n"/>
      <c r="Y812" s="5" t="n"/>
      <c r="Z812" s="5" t="n"/>
      <c r="AA812" s="5" t="n"/>
    </row>
    <row r="813" ht="15.75" customHeight="1">
      <c r="A813" s="5" t="n"/>
      <c r="B813" s="6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8" t="n"/>
      <c r="L813" s="8" t="n"/>
      <c r="M813" s="5" t="n"/>
      <c r="N813" s="16" t="n"/>
      <c r="O813" s="5" t="n"/>
      <c r="P813" s="5" t="n"/>
      <c r="Q813" s="5" t="n"/>
      <c r="R813" s="5" t="n"/>
      <c r="S813" s="5" t="n"/>
      <c r="T813" s="5" t="n"/>
      <c r="U813" s="5" t="n"/>
      <c r="V813" s="5" t="n"/>
      <c r="W813" s="5" t="n"/>
      <c r="X813" s="5" t="n"/>
      <c r="Y813" s="5" t="n"/>
      <c r="Z813" s="5" t="n"/>
      <c r="AA813" s="5" t="n"/>
    </row>
    <row r="814" ht="15.75" customHeight="1">
      <c r="A814" s="5" t="n"/>
      <c r="B814" s="6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8" t="n"/>
      <c r="L814" s="8" t="n"/>
      <c r="M814" s="5" t="n"/>
      <c r="N814" s="16" t="n"/>
      <c r="O814" s="5" t="n"/>
      <c r="P814" s="5" t="n"/>
      <c r="Q814" s="5" t="n"/>
      <c r="R814" s="5" t="n"/>
      <c r="S814" s="5" t="n"/>
      <c r="T814" s="5" t="n"/>
      <c r="U814" s="5" t="n"/>
      <c r="V814" s="5" t="n"/>
      <c r="W814" s="5" t="n"/>
      <c r="X814" s="5" t="n"/>
      <c r="Y814" s="5" t="n"/>
      <c r="Z814" s="5" t="n"/>
      <c r="AA814" s="5" t="n"/>
    </row>
    <row r="815" ht="15.75" customHeight="1">
      <c r="A815" s="5" t="n"/>
      <c r="B815" s="6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8" t="n"/>
      <c r="L815" s="8" t="n"/>
      <c r="M815" s="5" t="n"/>
      <c r="N815" s="16" t="n"/>
      <c r="O815" s="5" t="n"/>
      <c r="P815" s="5" t="n"/>
      <c r="Q815" s="5" t="n"/>
      <c r="R815" s="5" t="n"/>
      <c r="S815" s="5" t="n"/>
      <c r="T815" s="5" t="n"/>
      <c r="U815" s="5" t="n"/>
      <c r="V815" s="5" t="n"/>
      <c r="W815" s="5" t="n"/>
      <c r="X815" s="5" t="n"/>
      <c r="Y815" s="5" t="n"/>
      <c r="Z815" s="5" t="n"/>
      <c r="AA815" s="5" t="n"/>
    </row>
    <row r="816" ht="15.75" customHeight="1">
      <c r="A816" s="5" t="n"/>
      <c r="B816" s="6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8" t="n"/>
      <c r="L816" s="8" t="n"/>
      <c r="M816" s="5" t="n"/>
      <c r="N816" s="16" t="n"/>
      <c r="O816" s="5" t="n"/>
      <c r="P816" s="5" t="n"/>
      <c r="Q816" s="5" t="n"/>
      <c r="R816" s="5" t="n"/>
      <c r="S816" s="5" t="n"/>
      <c r="T816" s="5" t="n"/>
      <c r="U816" s="5" t="n"/>
      <c r="V816" s="5" t="n"/>
      <c r="W816" s="5" t="n"/>
      <c r="X816" s="5" t="n"/>
      <c r="Y816" s="5" t="n"/>
      <c r="Z816" s="5" t="n"/>
      <c r="AA816" s="5" t="n"/>
    </row>
    <row r="817" ht="15.75" customHeight="1">
      <c r="A817" s="5" t="n"/>
      <c r="B817" s="6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8" t="n"/>
      <c r="L817" s="8" t="n"/>
      <c r="M817" s="5" t="n"/>
      <c r="N817" s="16" t="n"/>
      <c r="O817" s="5" t="n"/>
      <c r="P817" s="5" t="n"/>
      <c r="Q817" s="5" t="n"/>
      <c r="R817" s="5" t="n"/>
      <c r="S817" s="5" t="n"/>
      <c r="T817" s="5" t="n"/>
      <c r="U817" s="5" t="n"/>
      <c r="V817" s="5" t="n"/>
      <c r="W817" s="5" t="n"/>
      <c r="X817" s="5" t="n"/>
      <c r="Y817" s="5" t="n"/>
      <c r="Z817" s="5" t="n"/>
      <c r="AA817" s="5" t="n"/>
    </row>
    <row r="818" ht="15.75" customHeight="1">
      <c r="A818" s="5" t="n"/>
      <c r="B818" s="6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8" t="n"/>
      <c r="L818" s="8" t="n"/>
      <c r="M818" s="5" t="n"/>
      <c r="N818" s="16" t="n"/>
      <c r="O818" s="5" t="n"/>
      <c r="P818" s="5" t="n"/>
      <c r="Q818" s="5" t="n"/>
      <c r="R818" s="5" t="n"/>
      <c r="S818" s="5" t="n"/>
      <c r="T818" s="5" t="n"/>
      <c r="U818" s="5" t="n"/>
      <c r="V818" s="5" t="n"/>
      <c r="W818" s="5" t="n"/>
      <c r="X818" s="5" t="n"/>
      <c r="Y818" s="5" t="n"/>
      <c r="Z818" s="5" t="n"/>
      <c r="AA818" s="5" t="n"/>
    </row>
    <row r="819" ht="15.75" customHeight="1">
      <c r="A819" s="5" t="n"/>
      <c r="B819" s="6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8" t="n"/>
      <c r="L819" s="8" t="n"/>
      <c r="M819" s="5" t="n"/>
      <c r="N819" s="16" t="n"/>
      <c r="O819" s="5" t="n"/>
      <c r="P819" s="5" t="n"/>
      <c r="Q819" s="5" t="n"/>
      <c r="R819" s="5" t="n"/>
      <c r="S819" s="5" t="n"/>
      <c r="T819" s="5" t="n"/>
      <c r="U819" s="5" t="n"/>
      <c r="V819" s="5" t="n"/>
      <c r="W819" s="5" t="n"/>
      <c r="X819" s="5" t="n"/>
      <c r="Y819" s="5" t="n"/>
      <c r="Z819" s="5" t="n"/>
      <c r="AA819" s="5" t="n"/>
    </row>
    <row r="820" ht="15.75" customHeight="1">
      <c r="A820" s="5" t="n"/>
      <c r="B820" s="6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8" t="n"/>
      <c r="L820" s="8" t="n"/>
      <c r="M820" s="5" t="n"/>
      <c r="N820" s="16" t="n"/>
      <c r="O820" s="5" t="n"/>
      <c r="P820" s="5" t="n"/>
      <c r="Q820" s="5" t="n"/>
      <c r="R820" s="5" t="n"/>
      <c r="S820" s="5" t="n"/>
      <c r="T820" s="5" t="n"/>
      <c r="U820" s="5" t="n"/>
      <c r="V820" s="5" t="n"/>
      <c r="W820" s="5" t="n"/>
      <c r="X820" s="5" t="n"/>
      <c r="Y820" s="5" t="n"/>
      <c r="Z820" s="5" t="n"/>
      <c r="AA820" s="5" t="n"/>
    </row>
    <row r="821" ht="15.75" customHeight="1">
      <c r="A821" s="5" t="n"/>
      <c r="B821" s="6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8" t="n"/>
      <c r="L821" s="8" t="n"/>
      <c r="M821" s="5" t="n"/>
      <c r="N821" s="16" t="n"/>
      <c r="O821" s="5" t="n"/>
      <c r="P821" s="5" t="n"/>
      <c r="Q821" s="5" t="n"/>
      <c r="R821" s="5" t="n"/>
      <c r="S821" s="5" t="n"/>
      <c r="T821" s="5" t="n"/>
      <c r="U821" s="5" t="n"/>
      <c r="V821" s="5" t="n"/>
      <c r="W821" s="5" t="n"/>
      <c r="X821" s="5" t="n"/>
      <c r="Y821" s="5" t="n"/>
      <c r="Z821" s="5" t="n"/>
      <c r="AA821" s="5" t="n"/>
    </row>
    <row r="822" ht="15.75" customHeight="1">
      <c r="A822" s="5" t="n"/>
      <c r="B822" s="6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8" t="n"/>
      <c r="L822" s="8" t="n"/>
      <c r="M822" s="5" t="n"/>
      <c r="N822" s="16" t="n"/>
      <c r="O822" s="5" t="n"/>
      <c r="P822" s="5" t="n"/>
      <c r="Q822" s="5" t="n"/>
      <c r="R822" s="5" t="n"/>
      <c r="S822" s="5" t="n"/>
      <c r="T822" s="5" t="n"/>
      <c r="U822" s="5" t="n"/>
      <c r="V822" s="5" t="n"/>
      <c r="W822" s="5" t="n"/>
      <c r="X822" s="5" t="n"/>
      <c r="Y822" s="5" t="n"/>
      <c r="Z822" s="5" t="n"/>
      <c r="AA822" s="5" t="n"/>
    </row>
    <row r="823" ht="15.75" customHeight="1">
      <c r="A823" s="5" t="n"/>
      <c r="B823" s="6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8" t="n"/>
      <c r="L823" s="8" t="n"/>
      <c r="M823" s="5" t="n"/>
      <c r="N823" s="16" t="n"/>
      <c r="O823" s="5" t="n"/>
      <c r="P823" s="5" t="n"/>
      <c r="Q823" s="5" t="n"/>
      <c r="R823" s="5" t="n"/>
      <c r="S823" s="5" t="n"/>
      <c r="T823" s="5" t="n"/>
      <c r="U823" s="5" t="n"/>
      <c r="V823" s="5" t="n"/>
      <c r="W823" s="5" t="n"/>
      <c r="X823" s="5" t="n"/>
      <c r="Y823" s="5" t="n"/>
      <c r="Z823" s="5" t="n"/>
      <c r="AA823" s="5" t="n"/>
    </row>
    <row r="824" ht="15.75" customHeight="1">
      <c r="A824" s="5" t="n"/>
      <c r="B824" s="6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8" t="n"/>
      <c r="L824" s="8" t="n"/>
      <c r="M824" s="5" t="n"/>
      <c r="N824" s="16" t="n"/>
      <c r="O824" s="5" t="n"/>
      <c r="P824" s="5" t="n"/>
      <c r="Q824" s="5" t="n"/>
      <c r="R824" s="5" t="n"/>
      <c r="S824" s="5" t="n"/>
      <c r="T824" s="5" t="n"/>
      <c r="U824" s="5" t="n"/>
      <c r="V824" s="5" t="n"/>
      <c r="W824" s="5" t="n"/>
      <c r="X824" s="5" t="n"/>
      <c r="Y824" s="5" t="n"/>
      <c r="Z824" s="5" t="n"/>
      <c r="AA824" s="5" t="n"/>
    </row>
    <row r="825" ht="15.75" customHeight="1">
      <c r="A825" s="5" t="n"/>
      <c r="B825" s="6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8" t="n"/>
      <c r="L825" s="8" t="n"/>
      <c r="M825" s="5" t="n"/>
      <c r="N825" s="16" t="n"/>
      <c r="O825" s="5" t="n"/>
      <c r="P825" s="5" t="n"/>
      <c r="Q825" s="5" t="n"/>
      <c r="R825" s="5" t="n"/>
      <c r="S825" s="5" t="n"/>
      <c r="T825" s="5" t="n"/>
      <c r="U825" s="5" t="n"/>
      <c r="V825" s="5" t="n"/>
      <c r="W825" s="5" t="n"/>
      <c r="X825" s="5" t="n"/>
      <c r="Y825" s="5" t="n"/>
      <c r="Z825" s="5" t="n"/>
      <c r="AA825" s="5" t="n"/>
    </row>
    <row r="826" ht="15.75" customHeight="1">
      <c r="A826" s="5" t="n"/>
      <c r="B826" s="6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8" t="n"/>
      <c r="L826" s="8" t="n"/>
      <c r="M826" s="5" t="n"/>
      <c r="N826" s="16" t="n"/>
      <c r="O826" s="5" t="n"/>
      <c r="P826" s="5" t="n"/>
      <c r="Q826" s="5" t="n"/>
      <c r="R826" s="5" t="n"/>
      <c r="S826" s="5" t="n"/>
      <c r="T826" s="5" t="n"/>
      <c r="U826" s="5" t="n"/>
      <c r="V826" s="5" t="n"/>
      <c r="W826" s="5" t="n"/>
      <c r="X826" s="5" t="n"/>
      <c r="Y826" s="5" t="n"/>
      <c r="Z826" s="5" t="n"/>
      <c r="AA826" s="5" t="n"/>
    </row>
    <row r="827" ht="15.75" customHeight="1">
      <c r="A827" s="5" t="n"/>
      <c r="B827" s="6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8" t="n"/>
      <c r="L827" s="8" t="n"/>
      <c r="M827" s="5" t="n"/>
      <c r="N827" s="16" t="n"/>
      <c r="O827" s="5" t="n"/>
      <c r="P827" s="5" t="n"/>
      <c r="Q827" s="5" t="n"/>
      <c r="R827" s="5" t="n"/>
      <c r="S827" s="5" t="n"/>
      <c r="T827" s="5" t="n"/>
      <c r="U827" s="5" t="n"/>
      <c r="V827" s="5" t="n"/>
      <c r="W827" s="5" t="n"/>
      <c r="X827" s="5" t="n"/>
      <c r="Y827" s="5" t="n"/>
      <c r="Z827" s="5" t="n"/>
      <c r="AA827" s="5" t="n"/>
    </row>
    <row r="828" ht="15.75" customHeight="1">
      <c r="A828" s="5" t="n"/>
      <c r="B828" s="6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8" t="n"/>
      <c r="L828" s="8" t="n"/>
      <c r="M828" s="5" t="n"/>
      <c r="N828" s="16" t="n"/>
      <c r="O828" s="5" t="n"/>
      <c r="P828" s="5" t="n"/>
      <c r="Q828" s="5" t="n"/>
      <c r="R828" s="5" t="n"/>
      <c r="S828" s="5" t="n"/>
      <c r="T828" s="5" t="n"/>
      <c r="U828" s="5" t="n"/>
      <c r="V828" s="5" t="n"/>
      <c r="W828" s="5" t="n"/>
      <c r="X828" s="5" t="n"/>
      <c r="Y828" s="5" t="n"/>
      <c r="Z828" s="5" t="n"/>
      <c r="AA828" s="5" t="n"/>
    </row>
    <row r="829" ht="15.75" customHeight="1">
      <c r="A829" s="5" t="n"/>
      <c r="B829" s="6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8" t="n"/>
      <c r="L829" s="8" t="n"/>
      <c r="M829" s="5" t="n"/>
      <c r="N829" s="16" t="n"/>
      <c r="O829" s="5" t="n"/>
      <c r="P829" s="5" t="n"/>
      <c r="Q829" s="5" t="n"/>
      <c r="R829" s="5" t="n"/>
      <c r="S829" s="5" t="n"/>
      <c r="T829" s="5" t="n"/>
      <c r="U829" s="5" t="n"/>
      <c r="V829" s="5" t="n"/>
      <c r="W829" s="5" t="n"/>
      <c r="X829" s="5" t="n"/>
      <c r="Y829" s="5" t="n"/>
      <c r="Z829" s="5" t="n"/>
      <c r="AA829" s="5" t="n"/>
    </row>
    <row r="830" ht="15.75" customHeight="1">
      <c r="A830" s="5" t="n"/>
      <c r="B830" s="6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8" t="n"/>
      <c r="L830" s="8" t="n"/>
      <c r="M830" s="5" t="n"/>
      <c r="N830" s="16" t="n"/>
      <c r="O830" s="5" t="n"/>
      <c r="P830" s="5" t="n"/>
      <c r="Q830" s="5" t="n"/>
      <c r="R830" s="5" t="n"/>
      <c r="S830" s="5" t="n"/>
      <c r="T830" s="5" t="n"/>
      <c r="U830" s="5" t="n"/>
      <c r="V830" s="5" t="n"/>
      <c r="W830" s="5" t="n"/>
      <c r="X830" s="5" t="n"/>
      <c r="Y830" s="5" t="n"/>
      <c r="Z830" s="5" t="n"/>
      <c r="AA830" s="5" t="n"/>
    </row>
    <row r="831" ht="15.75" customHeight="1">
      <c r="A831" s="5" t="n"/>
      <c r="B831" s="6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8" t="n"/>
      <c r="L831" s="8" t="n"/>
      <c r="M831" s="5" t="n"/>
      <c r="N831" s="16" t="n"/>
      <c r="O831" s="5" t="n"/>
      <c r="P831" s="5" t="n"/>
      <c r="Q831" s="5" t="n"/>
      <c r="R831" s="5" t="n"/>
      <c r="S831" s="5" t="n"/>
      <c r="T831" s="5" t="n"/>
      <c r="U831" s="5" t="n"/>
      <c r="V831" s="5" t="n"/>
      <c r="W831" s="5" t="n"/>
      <c r="X831" s="5" t="n"/>
      <c r="Y831" s="5" t="n"/>
      <c r="Z831" s="5" t="n"/>
      <c r="AA831" s="5" t="n"/>
    </row>
    <row r="832" ht="15.75" customHeight="1">
      <c r="A832" s="5" t="n"/>
      <c r="B832" s="6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8" t="n"/>
      <c r="L832" s="8" t="n"/>
      <c r="M832" s="5" t="n"/>
      <c r="N832" s="16" t="n"/>
      <c r="O832" s="5" t="n"/>
      <c r="P832" s="5" t="n"/>
      <c r="Q832" s="5" t="n"/>
      <c r="R832" s="5" t="n"/>
      <c r="S832" s="5" t="n"/>
      <c r="T832" s="5" t="n"/>
      <c r="U832" s="5" t="n"/>
      <c r="V832" s="5" t="n"/>
      <c r="W832" s="5" t="n"/>
      <c r="X832" s="5" t="n"/>
      <c r="Y832" s="5" t="n"/>
      <c r="Z832" s="5" t="n"/>
      <c r="AA832" s="5" t="n"/>
    </row>
    <row r="833" ht="15.75" customHeight="1">
      <c r="A833" s="5" t="n"/>
      <c r="B833" s="6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8" t="n"/>
      <c r="L833" s="8" t="n"/>
      <c r="M833" s="5" t="n"/>
      <c r="N833" s="16" t="n"/>
      <c r="O833" s="5" t="n"/>
      <c r="P833" s="5" t="n"/>
      <c r="Q833" s="5" t="n"/>
      <c r="R833" s="5" t="n"/>
      <c r="S833" s="5" t="n"/>
      <c r="T833" s="5" t="n"/>
      <c r="U833" s="5" t="n"/>
      <c r="V833" s="5" t="n"/>
      <c r="W833" s="5" t="n"/>
      <c r="X833" s="5" t="n"/>
      <c r="Y833" s="5" t="n"/>
      <c r="Z833" s="5" t="n"/>
      <c r="AA833" s="5" t="n"/>
    </row>
    <row r="834" ht="15.75" customHeight="1">
      <c r="A834" s="5" t="n"/>
      <c r="B834" s="6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8" t="n"/>
      <c r="L834" s="8" t="n"/>
      <c r="M834" s="5" t="n"/>
      <c r="N834" s="16" t="n"/>
      <c r="O834" s="5" t="n"/>
      <c r="P834" s="5" t="n"/>
      <c r="Q834" s="5" t="n"/>
      <c r="R834" s="5" t="n"/>
      <c r="S834" s="5" t="n"/>
      <c r="T834" s="5" t="n"/>
      <c r="U834" s="5" t="n"/>
      <c r="V834" s="5" t="n"/>
      <c r="W834" s="5" t="n"/>
      <c r="X834" s="5" t="n"/>
      <c r="Y834" s="5" t="n"/>
      <c r="Z834" s="5" t="n"/>
      <c r="AA834" s="5" t="n"/>
    </row>
    <row r="835" ht="15.75" customHeight="1">
      <c r="A835" s="5" t="n"/>
      <c r="B835" s="6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8" t="n"/>
      <c r="L835" s="8" t="n"/>
      <c r="M835" s="5" t="n"/>
      <c r="N835" s="16" t="n"/>
      <c r="O835" s="5" t="n"/>
      <c r="P835" s="5" t="n"/>
      <c r="Q835" s="5" t="n"/>
      <c r="R835" s="5" t="n"/>
      <c r="S835" s="5" t="n"/>
      <c r="T835" s="5" t="n"/>
      <c r="U835" s="5" t="n"/>
      <c r="V835" s="5" t="n"/>
      <c r="W835" s="5" t="n"/>
      <c r="X835" s="5" t="n"/>
      <c r="Y835" s="5" t="n"/>
      <c r="Z835" s="5" t="n"/>
      <c r="AA835" s="5" t="n"/>
    </row>
    <row r="836" ht="15.75" customHeight="1">
      <c r="A836" s="5" t="n"/>
      <c r="B836" s="6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8" t="n"/>
      <c r="L836" s="8" t="n"/>
      <c r="M836" s="5" t="n"/>
      <c r="N836" s="16" t="n"/>
      <c r="O836" s="5" t="n"/>
      <c r="P836" s="5" t="n"/>
      <c r="Q836" s="5" t="n"/>
      <c r="R836" s="5" t="n"/>
      <c r="S836" s="5" t="n"/>
      <c r="T836" s="5" t="n"/>
      <c r="U836" s="5" t="n"/>
      <c r="V836" s="5" t="n"/>
      <c r="W836" s="5" t="n"/>
      <c r="X836" s="5" t="n"/>
      <c r="Y836" s="5" t="n"/>
      <c r="Z836" s="5" t="n"/>
      <c r="AA836" s="5" t="n"/>
    </row>
    <row r="837" ht="15.75" customHeight="1">
      <c r="A837" s="5" t="n"/>
      <c r="B837" s="6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8" t="n"/>
      <c r="L837" s="8" t="n"/>
      <c r="M837" s="5" t="n"/>
      <c r="N837" s="16" t="n"/>
      <c r="O837" s="5" t="n"/>
      <c r="P837" s="5" t="n"/>
      <c r="Q837" s="5" t="n"/>
      <c r="R837" s="5" t="n"/>
      <c r="S837" s="5" t="n"/>
      <c r="T837" s="5" t="n"/>
      <c r="U837" s="5" t="n"/>
      <c r="V837" s="5" t="n"/>
      <c r="W837" s="5" t="n"/>
      <c r="X837" s="5" t="n"/>
      <c r="Y837" s="5" t="n"/>
      <c r="Z837" s="5" t="n"/>
      <c r="AA837" s="5" t="n"/>
    </row>
    <row r="838" ht="15.75" customHeight="1">
      <c r="A838" s="5" t="n"/>
      <c r="B838" s="6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8" t="n"/>
      <c r="L838" s="8" t="n"/>
      <c r="M838" s="5" t="n"/>
      <c r="N838" s="16" t="n"/>
      <c r="O838" s="5" t="n"/>
      <c r="P838" s="5" t="n"/>
      <c r="Q838" s="5" t="n"/>
      <c r="R838" s="5" t="n"/>
      <c r="S838" s="5" t="n"/>
      <c r="T838" s="5" t="n"/>
      <c r="U838" s="5" t="n"/>
      <c r="V838" s="5" t="n"/>
      <c r="W838" s="5" t="n"/>
      <c r="X838" s="5" t="n"/>
      <c r="Y838" s="5" t="n"/>
      <c r="Z838" s="5" t="n"/>
      <c r="AA838" s="5" t="n"/>
    </row>
    <row r="839" ht="15.75" customHeight="1">
      <c r="A839" s="5" t="n"/>
      <c r="B839" s="6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8" t="n"/>
      <c r="L839" s="8" t="n"/>
      <c r="M839" s="5" t="n"/>
      <c r="N839" s="16" t="n"/>
      <c r="O839" s="5" t="n"/>
      <c r="P839" s="5" t="n"/>
      <c r="Q839" s="5" t="n"/>
      <c r="R839" s="5" t="n"/>
      <c r="S839" s="5" t="n"/>
      <c r="T839" s="5" t="n"/>
      <c r="U839" s="5" t="n"/>
      <c r="V839" s="5" t="n"/>
      <c r="W839" s="5" t="n"/>
      <c r="X839" s="5" t="n"/>
      <c r="Y839" s="5" t="n"/>
      <c r="Z839" s="5" t="n"/>
      <c r="AA839" s="5" t="n"/>
    </row>
    <row r="840" ht="15.75" customHeight="1">
      <c r="A840" s="5" t="n"/>
      <c r="B840" s="6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8" t="n"/>
      <c r="L840" s="8" t="n"/>
      <c r="M840" s="5" t="n"/>
      <c r="N840" s="16" t="n"/>
      <c r="O840" s="5" t="n"/>
      <c r="P840" s="5" t="n"/>
      <c r="Q840" s="5" t="n"/>
      <c r="R840" s="5" t="n"/>
      <c r="S840" s="5" t="n"/>
      <c r="T840" s="5" t="n"/>
      <c r="U840" s="5" t="n"/>
      <c r="V840" s="5" t="n"/>
      <c r="W840" s="5" t="n"/>
      <c r="X840" s="5" t="n"/>
      <c r="Y840" s="5" t="n"/>
      <c r="Z840" s="5" t="n"/>
      <c r="AA840" s="5" t="n"/>
    </row>
    <row r="841" ht="15.75" customHeight="1">
      <c r="A841" s="5" t="n"/>
      <c r="B841" s="6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8" t="n"/>
      <c r="L841" s="8" t="n"/>
      <c r="M841" s="5" t="n"/>
      <c r="N841" s="16" t="n"/>
      <c r="O841" s="5" t="n"/>
      <c r="P841" s="5" t="n"/>
      <c r="Q841" s="5" t="n"/>
      <c r="R841" s="5" t="n"/>
      <c r="S841" s="5" t="n"/>
      <c r="T841" s="5" t="n"/>
      <c r="U841" s="5" t="n"/>
      <c r="V841" s="5" t="n"/>
      <c r="W841" s="5" t="n"/>
      <c r="X841" s="5" t="n"/>
      <c r="Y841" s="5" t="n"/>
      <c r="Z841" s="5" t="n"/>
      <c r="AA841" s="5" t="n"/>
    </row>
    <row r="842" ht="15.75" customHeight="1">
      <c r="A842" s="5" t="n"/>
      <c r="B842" s="6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8" t="n"/>
      <c r="L842" s="8" t="n"/>
      <c r="M842" s="5" t="n"/>
      <c r="N842" s="16" t="n"/>
      <c r="O842" s="5" t="n"/>
      <c r="P842" s="5" t="n"/>
      <c r="Q842" s="5" t="n"/>
      <c r="R842" s="5" t="n"/>
      <c r="S842" s="5" t="n"/>
      <c r="T842" s="5" t="n"/>
      <c r="U842" s="5" t="n"/>
      <c r="V842" s="5" t="n"/>
      <c r="W842" s="5" t="n"/>
      <c r="X842" s="5" t="n"/>
      <c r="Y842" s="5" t="n"/>
      <c r="Z842" s="5" t="n"/>
      <c r="AA842" s="5" t="n"/>
    </row>
    <row r="843" ht="15.75" customHeight="1">
      <c r="A843" s="5" t="n"/>
      <c r="B843" s="6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8" t="n"/>
      <c r="L843" s="8" t="n"/>
      <c r="M843" s="5" t="n"/>
      <c r="N843" s="16" t="n"/>
      <c r="O843" s="5" t="n"/>
      <c r="P843" s="5" t="n"/>
      <c r="Q843" s="5" t="n"/>
      <c r="R843" s="5" t="n"/>
      <c r="S843" s="5" t="n"/>
      <c r="T843" s="5" t="n"/>
      <c r="U843" s="5" t="n"/>
      <c r="V843" s="5" t="n"/>
      <c r="W843" s="5" t="n"/>
      <c r="X843" s="5" t="n"/>
      <c r="Y843" s="5" t="n"/>
      <c r="Z843" s="5" t="n"/>
      <c r="AA843" s="5" t="n"/>
    </row>
    <row r="844" ht="15.75" customHeight="1">
      <c r="A844" s="5" t="n"/>
      <c r="B844" s="6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8" t="n"/>
      <c r="L844" s="8" t="n"/>
      <c r="M844" s="5" t="n"/>
      <c r="N844" s="16" t="n"/>
      <c r="O844" s="5" t="n"/>
      <c r="P844" s="5" t="n"/>
      <c r="Q844" s="5" t="n"/>
      <c r="R844" s="5" t="n"/>
      <c r="S844" s="5" t="n"/>
      <c r="T844" s="5" t="n"/>
      <c r="U844" s="5" t="n"/>
      <c r="V844" s="5" t="n"/>
      <c r="W844" s="5" t="n"/>
      <c r="X844" s="5" t="n"/>
      <c r="Y844" s="5" t="n"/>
      <c r="Z844" s="5" t="n"/>
      <c r="AA844" s="5" t="n"/>
    </row>
    <row r="845" ht="15.75" customHeight="1">
      <c r="A845" s="5" t="n"/>
      <c r="B845" s="6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8" t="n"/>
      <c r="L845" s="8" t="n"/>
      <c r="M845" s="5" t="n"/>
      <c r="N845" s="16" t="n"/>
      <c r="O845" s="5" t="n"/>
      <c r="P845" s="5" t="n"/>
      <c r="Q845" s="5" t="n"/>
      <c r="R845" s="5" t="n"/>
      <c r="S845" s="5" t="n"/>
      <c r="T845" s="5" t="n"/>
      <c r="U845" s="5" t="n"/>
      <c r="V845" s="5" t="n"/>
      <c r="W845" s="5" t="n"/>
      <c r="X845" s="5" t="n"/>
      <c r="Y845" s="5" t="n"/>
      <c r="Z845" s="5" t="n"/>
      <c r="AA845" s="5" t="n"/>
    </row>
    <row r="846" ht="15.75" customHeight="1">
      <c r="A846" s="5" t="n"/>
      <c r="B846" s="6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8" t="n"/>
      <c r="L846" s="8" t="n"/>
      <c r="M846" s="5" t="n"/>
      <c r="N846" s="16" t="n"/>
      <c r="O846" s="5" t="n"/>
      <c r="P846" s="5" t="n"/>
      <c r="Q846" s="5" t="n"/>
      <c r="R846" s="5" t="n"/>
      <c r="S846" s="5" t="n"/>
      <c r="T846" s="5" t="n"/>
      <c r="U846" s="5" t="n"/>
      <c r="V846" s="5" t="n"/>
      <c r="W846" s="5" t="n"/>
      <c r="X846" s="5" t="n"/>
      <c r="Y846" s="5" t="n"/>
      <c r="Z846" s="5" t="n"/>
      <c r="AA846" s="5" t="n"/>
    </row>
    <row r="847" ht="15.75" customHeight="1">
      <c r="A847" s="5" t="n"/>
      <c r="B847" s="6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8" t="n"/>
      <c r="L847" s="8" t="n"/>
      <c r="M847" s="5" t="n"/>
      <c r="N847" s="16" t="n"/>
      <c r="O847" s="5" t="n"/>
      <c r="P847" s="5" t="n"/>
      <c r="Q847" s="5" t="n"/>
      <c r="R847" s="5" t="n"/>
      <c r="S847" s="5" t="n"/>
      <c r="T847" s="5" t="n"/>
      <c r="U847" s="5" t="n"/>
      <c r="V847" s="5" t="n"/>
      <c r="W847" s="5" t="n"/>
      <c r="X847" s="5" t="n"/>
      <c r="Y847" s="5" t="n"/>
      <c r="Z847" s="5" t="n"/>
      <c r="AA847" s="5" t="n"/>
    </row>
    <row r="848" ht="15.75" customHeight="1">
      <c r="A848" s="5" t="n"/>
      <c r="B848" s="6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8" t="n"/>
      <c r="L848" s="8" t="n"/>
      <c r="M848" s="5" t="n"/>
      <c r="N848" s="16" t="n"/>
      <c r="O848" s="5" t="n"/>
      <c r="P848" s="5" t="n"/>
      <c r="Q848" s="5" t="n"/>
      <c r="R848" s="5" t="n"/>
      <c r="S848" s="5" t="n"/>
      <c r="T848" s="5" t="n"/>
      <c r="U848" s="5" t="n"/>
      <c r="V848" s="5" t="n"/>
      <c r="W848" s="5" t="n"/>
      <c r="X848" s="5" t="n"/>
      <c r="Y848" s="5" t="n"/>
      <c r="Z848" s="5" t="n"/>
      <c r="AA848" s="5" t="n"/>
    </row>
    <row r="849" ht="15.75" customHeight="1">
      <c r="A849" s="5" t="n"/>
      <c r="B849" s="6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8" t="n"/>
      <c r="L849" s="8" t="n"/>
      <c r="M849" s="5" t="n"/>
      <c r="N849" s="16" t="n"/>
      <c r="O849" s="5" t="n"/>
      <c r="P849" s="5" t="n"/>
      <c r="Q849" s="5" t="n"/>
      <c r="R849" s="5" t="n"/>
      <c r="S849" s="5" t="n"/>
      <c r="T849" s="5" t="n"/>
      <c r="U849" s="5" t="n"/>
      <c r="V849" s="5" t="n"/>
      <c r="W849" s="5" t="n"/>
      <c r="X849" s="5" t="n"/>
      <c r="Y849" s="5" t="n"/>
      <c r="Z849" s="5" t="n"/>
      <c r="AA849" s="5" t="n"/>
    </row>
    <row r="850" ht="15.75" customHeight="1">
      <c r="A850" s="5" t="n"/>
      <c r="B850" s="6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8" t="n"/>
      <c r="L850" s="8" t="n"/>
      <c r="M850" s="5" t="n"/>
      <c r="N850" s="16" t="n"/>
      <c r="O850" s="5" t="n"/>
      <c r="P850" s="5" t="n"/>
      <c r="Q850" s="5" t="n"/>
      <c r="R850" s="5" t="n"/>
      <c r="S850" s="5" t="n"/>
      <c r="T850" s="5" t="n"/>
      <c r="U850" s="5" t="n"/>
      <c r="V850" s="5" t="n"/>
      <c r="W850" s="5" t="n"/>
      <c r="X850" s="5" t="n"/>
      <c r="Y850" s="5" t="n"/>
      <c r="Z850" s="5" t="n"/>
      <c r="AA850" s="5" t="n"/>
    </row>
    <row r="851" ht="15.75" customHeight="1">
      <c r="A851" s="5" t="n"/>
      <c r="B851" s="6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8" t="n"/>
      <c r="L851" s="8" t="n"/>
      <c r="M851" s="5" t="n"/>
      <c r="N851" s="16" t="n"/>
      <c r="O851" s="5" t="n"/>
      <c r="P851" s="5" t="n"/>
      <c r="Q851" s="5" t="n"/>
      <c r="R851" s="5" t="n"/>
      <c r="S851" s="5" t="n"/>
      <c r="T851" s="5" t="n"/>
      <c r="U851" s="5" t="n"/>
      <c r="V851" s="5" t="n"/>
      <c r="W851" s="5" t="n"/>
      <c r="X851" s="5" t="n"/>
      <c r="Y851" s="5" t="n"/>
      <c r="Z851" s="5" t="n"/>
      <c r="AA851" s="5" t="n"/>
    </row>
    <row r="852" ht="15.75" customHeight="1">
      <c r="A852" s="5" t="n"/>
      <c r="B852" s="6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8" t="n"/>
      <c r="L852" s="8" t="n"/>
      <c r="M852" s="5" t="n"/>
      <c r="N852" s="16" t="n"/>
      <c r="O852" s="5" t="n"/>
      <c r="P852" s="5" t="n"/>
      <c r="Q852" s="5" t="n"/>
      <c r="R852" s="5" t="n"/>
      <c r="S852" s="5" t="n"/>
      <c r="T852" s="5" t="n"/>
      <c r="U852" s="5" t="n"/>
      <c r="V852" s="5" t="n"/>
      <c r="W852" s="5" t="n"/>
      <c r="X852" s="5" t="n"/>
      <c r="Y852" s="5" t="n"/>
      <c r="Z852" s="5" t="n"/>
      <c r="AA852" s="5" t="n"/>
    </row>
    <row r="853" ht="15.75" customHeight="1">
      <c r="A853" s="5" t="n"/>
      <c r="B853" s="6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8" t="n"/>
      <c r="L853" s="8" t="n"/>
      <c r="M853" s="5" t="n"/>
      <c r="N853" s="16" t="n"/>
      <c r="O853" s="5" t="n"/>
      <c r="P853" s="5" t="n"/>
      <c r="Q853" s="5" t="n"/>
      <c r="R853" s="5" t="n"/>
      <c r="S853" s="5" t="n"/>
      <c r="T853" s="5" t="n"/>
      <c r="U853" s="5" t="n"/>
      <c r="V853" s="5" t="n"/>
      <c r="W853" s="5" t="n"/>
      <c r="X853" s="5" t="n"/>
      <c r="Y853" s="5" t="n"/>
      <c r="Z853" s="5" t="n"/>
      <c r="AA853" s="5" t="n"/>
    </row>
    <row r="854" ht="15.75" customHeight="1">
      <c r="A854" s="5" t="n"/>
      <c r="B854" s="6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8" t="n"/>
      <c r="L854" s="8" t="n"/>
      <c r="M854" s="5" t="n"/>
      <c r="N854" s="16" t="n"/>
      <c r="O854" s="5" t="n"/>
      <c r="P854" s="5" t="n"/>
      <c r="Q854" s="5" t="n"/>
      <c r="R854" s="5" t="n"/>
      <c r="S854" s="5" t="n"/>
      <c r="T854" s="5" t="n"/>
      <c r="U854" s="5" t="n"/>
      <c r="V854" s="5" t="n"/>
      <c r="W854" s="5" t="n"/>
      <c r="X854" s="5" t="n"/>
      <c r="Y854" s="5" t="n"/>
      <c r="Z854" s="5" t="n"/>
      <c r="AA854" s="5" t="n"/>
    </row>
    <row r="855" ht="15.75" customHeight="1">
      <c r="A855" s="5" t="n"/>
      <c r="B855" s="6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8" t="n"/>
      <c r="L855" s="8" t="n"/>
      <c r="M855" s="5" t="n"/>
      <c r="N855" s="16" t="n"/>
      <c r="O855" s="5" t="n"/>
      <c r="P855" s="5" t="n"/>
      <c r="Q855" s="5" t="n"/>
      <c r="R855" s="5" t="n"/>
      <c r="S855" s="5" t="n"/>
      <c r="T855" s="5" t="n"/>
      <c r="U855" s="5" t="n"/>
      <c r="V855" s="5" t="n"/>
      <c r="W855" s="5" t="n"/>
      <c r="X855" s="5" t="n"/>
      <c r="Y855" s="5" t="n"/>
      <c r="Z855" s="5" t="n"/>
      <c r="AA855" s="5" t="n"/>
    </row>
    <row r="856" ht="15.75" customHeight="1">
      <c r="A856" s="5" t="n"/>
      <c r="B856" s="6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8" t="n"/>
      <c r="L856" s="8" t="n"/>
      <c r="M856" s="5" t="n"/>
      <c r="N856" s="16" t="n"/>
      <c r="O856" s="5" t="n"/>
      <c r="P856" s="5" t="n"/>
      <c r="Q856" s="5" t="n"/>
      <c r="R856" s="5" t="n"/>
      <c r="S856" s="5" t="n"/>
      <c r="T856" s="5" t="n"/>
      <c r="U856" s="5" t="n"/>
      <c r="V856" s="5" t="n"/>
      <c r="W856" s="5" t="n"/>
      <c r="X856" s="5" t="n"/>
      <c r="Y856" s="5" t="n"/>
      <c r="Z856" s="5" t="n"/>
      <c r="AA856" s="5" t="n"/>
    </row>
    <row r="857" ht="15.75" customHeight="1">
      <c r="A857" s="5" t="n"/>
      <c r="B857" s="6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8" t="n"/>
      <c r="L857" s="8" t="n"/>
      <c r="M857" s="5" t="n"/>
      <c r="N857" s="16" t="n"/>
      <c r="O857" s="5" t="n"/>
      <c r="P857" s="5" t="n"/>
      <c r="Q857" s="5" t="n"/>
      <c r="R857" s="5" t="n"/>
      <c r="S857" s="5" t="n"/>
      <c r="T857" s="5" t="n"/>
      <c r="U857" s="5" t="n"/>
      <c r="V857" s="5" t="n"/>
      <c r="W857" s="5" t="n"/>
      <c r="X857" s="5" t="n"/>
      <c r="Y857" s="5" t="n"/>
      <c r="Z857" s="5" t="n"/>
      <c r="AA857" s="5" t="n"/>
    </row>
    <row r="858" ht="15.75" customHeight="1">
      <c r="A858" s="5" t="n"/>
      <c r="B858" s="6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8" t="n"/>
      <c r="L858" s="8" t="n"/>
      <c r="M858" s="5" t="n"/>
      <c r="N858" s="16" t="n"/>
      <c r="O858" s="5" t="n"/>
      <c r="P858" s="5" t="n"/>
      <c r="Q858" s="5" t="n"/>
      <c r="R858" s="5" t="n"/>
      <c r="S858" s="5" t="n"/>
      <c r="T858" s="5" t="n"/>
      <c r="U858" s="5" t="n"/>
      <c r="V858" s="5" t="n"/>
      <c r="W858" s="5" t="n"/>
      <c r="X858" s="5" t="n"/>
      <c r="Y858" s="5" t="n"/>
      <c r="Z858" s="5" t="n"/>
      <c r="AA858" s="5" t="n"/>
    </row>
    <row r="859" ht="15.75" customHeight="1">
      <c r="A859" s="5" t="n"/>
      <c r="B859" s="6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8" t="n"/>
      <c r="L859" s="8" t="n"/>
      <c r="M859" s="5" t="n"/>
      <c r="N859" s="16" t="n"/>
      <c r="O859" s="5" t="n"/>
      <c r="P859" s="5" t="n"/>
      <c r="Q859" s="5" t="n"/>
      <c r="R859" s="5" t="n"/>
      <c r="S859" s="5" t="n"/>
      <c r="T859" s="5" t="n"/>
      <c r="U859" s="5" t="n"/>
      <c r="V859" s="5" t="n"/>
      <c r="W859" s="5" t="n"/>
      <c r="X859" s="5" t="n"/>
      <c r="Y859" s="5" t="n"/>
      <c r="Z859" s="5" t="n"/>
      <c r="AA859" s="5" t="n"/>
    </row>
    <row r="860" ht="15.75" customHeight="1">
      <c r="A860" s="5" t="n"/>
      <c r="B860" s="6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8" t="n"/>
      <c r="L860" s="8" t="n"/>
      <c r="M860" s="5" t="n"/>
      <c r="N860" s="16" t="n"/>
      <c r="O860" s="5" t="n"/>
      <c r="P860" s="5" t="n"/>
      <c r="Q860" s="5" t="n"/>
      <c r="R860" s="5" t="n"/>
      <c r="S860" s="5" t="n"/>
      <c r="T860" s="5" t="n"/>
      <c r="U860" s="5" t="n"/>
      <c r="V860" s="5" t="n"/>
      <c r="W860" s="5" t="n"/>
      <c r="X860" s="5" t="n"/>
      <c r="Y860" s="5" t="n"/>
      <c r="Z860" s="5" t="n"/>
      <c r="AA860" s="5" t="n"/>
    </row>
    <row r="861" ht="15.75" customHeight="1">
      <c r="A861" s="5" t="n"/>
      <c r="B861" s="6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8" t="n"/>
      <c r="L861" s="8" t="n"/>
      <c r="M861" s="5" t="n"/>
      <c r="N861" s="16" t="n"/>
      <c r="O861" s="5" t="n"/>
      <c r="P861" s="5" t="n"/>
      <c r="Q861" s="5" t="n"/>
      <c r="R861" s="5" t="n"/>
      <c r="S861" s="5" t="n"/>
      <c r="T861" s="5" t="n"/>
      <c r="U861" s="5" t="n"/>
      <c r="V861" s="5" t="n"/>
      <c r="W861" s="5" t="n"/>
      <c r="X861" s="5" t="n"/>
      <c r="Y861" s="5" t="n"/>
      <c r="Z861" s="5" t="n"/>
      <c r="AA861" s="5" t="n"/>
    </row>
    <row r="862" ht="15.75" customHeight="1">
      <c r="A862" s="5" t="n"/>
      <c r="B862" s="6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8" t="n"/>
      <c r="L862" s="8" t="n"/>
      <c r="M862" s="5" t="n"/>
      <c r="N862" s="16" t="n"/>
      <c r="O862" s="5" t="n"/>
      <c r="P862" s="5" t="n"/>
      <c r="Q862" s="5" t="n"/>
      <c r="R862" s="5" t="n"/>
      <c r="S862" s="5" t="n"/>
      <c r="T862" s="5" t="n"/>
      <c r="U862" s="5" t="n"/>
      <c r="V862" s="5" t="n"/>
      <c r="W862" s="5" t="n"/>
      <c r="X862" s="5" t="n"/>
      <c r="Y862" s="5" t="n"/>
      <c r="Z862" s="5" t="n"/>
      <c r="AA862" s="5" t="n"/>
    </row>
    <row r="863" ht="15.75" customHeight="1">
      <c r="A863" s="5" t="n"/>
      <c r="B863" s="6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8" t="n"/>
      <c r="L863" s="8" t="n"/>
      <c r="M863" s="5" t="n"/>
      <c r="N863" s="16" t="n"/>
      <c r="O863" s="5" t="n"/>
      <c r="P863" s="5" t="n"/>
      <c r="Q863" s="5" t="n"/>
      <c r="R863" s="5" t="n"/>
      <c r="S863" s="5" t="n"/>
      <c r="T863" s="5" t="n"/>
      <c r="U863" s="5" t="n"/>
      <c r="V863" s="5" t="n"/>
      <c r="W863" s="5" t="n"/>
      <c r="X863" s="5" t="n"/>
      <c r="Y863" s="5" t="n"/>
      <c r="Z863" s="5" t="n"/>
      <c r="AA863" s="5" t="n"/>
    </row>
    <row r="864" ht="15.75" customHeight="1">
      <c r="A864" s="5" t="n"/>
      <c r="B864" s="6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8" t="n"/>
      <c r="L864" s="8" t="n"/>
      <c r="M864" s="5" t="n"/>
      <c r="N864" s="16" t="n"/>
      <c r="O864" s="5" t="n"/>
      <c r="P864" s="5" t="n"/>
      <c r="Q864" s="5" t="n"/>
      <c r="R864" s="5" t="n"/>
      <c r="S864" s="5" t="n"/>
      <c r="T864" s="5" t="n"/>
      <c r="U864" s="5" t="n"/>
      <c r="V864" s="5" t="n"/>
      <c r="W864" s="5" t="n"/>
      <c r="X864" s="5" t="n"/>
      <c r="Y864" s="5" t="n"/>
      <c r="Z864" s="5" t="n"/>
      <c r="AA864" s="5" t="n"/>
    </row>
    <row r="865" ht="15.75" customHeight="1">
      <c r="A865" s="5" t="n"/>
      <c r="B865" s="6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8" t="n"/>
      <c r="L865" s="8" t="n"/>
      <c r="M865" s="5" t="n"/>
      <c r="N865" s="16" t="n"/>
      <c r="O865" s="5" t="n"/>
      <c r="P865" s="5" t="n"/>
      <c r="Q865" s="5" t="n"/>
      <c r="R865" s="5" t="n"/>
      <c r="S865" s="5" t="n"/>
      <c r="T865" s="5" t="n"/>
      <c r="U865" s="5" t="n"/>
      <c r="V865" s="5" t="n"/>
      <c r="W865" s="5" t="n"/>
      <c r="X865" s="5" t="n"/>
      <c r="Y865" s="5" t="n"/>
      <c r="Z865" s="5" t="n"/>
      <c r="AA865" s="5" t="n"/>
    </row>
    <row r="866" ht="15.75" customHeight="1">
      <c r="A866" s="5" t="n"/>
      <c r="B866" s="6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8" t="n"/>
      <c r="L866" s="8" t="n"/>
      <c r="M866" s="5" t="n"/>
      <c r="N866" s="16" t="n"/>
      <c r="O866" s="5" t="n"/>
      <c r="P866" s="5" t="n"/>
      <c r="Q866" s="5" t="n"/>
      <c r="R866" s="5" t="n"/>
      <c r="S866" s="5" t="n"/>
      <c r="T866" s="5" t="n"/>
      <c r="U866" s="5" t="n"/>
      <c r="V866" s="5" t="n"/>
      <c r="W866" s="5" t="n"/>
      <c r="X866" s="5" t="n"/>
      <c r="Y866" s="5" t="n"/>
      <c r="Z866" s="5" t="n"/>
      <c r="AA866" s="5" t="n"/>
    </row>
    <row r="867" ht="15.75" customHeight="1">
      <c r="A867" s="5" t="n"/>
      <c r="B867" s="6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8" t="n"/>
      <c r="L867" s="8" t="n"/>
      <c r="M867" s="5" t="n"/>
      <c r="N867" s="16" t="n"/>
      <c r="O867" s="5" t="n"/>
      <c r="P867" s="5" t="n"/>
      <c r="Q867" s="5" t="n"/>
      <c r="R867" s="5" t="n"/>
      <c r="S867" s="5" t="n"/>
      <c r="T867" s="5" t="n"/>
      <c r="U867" s="5" t="n"/>
      <c r="V867" s="5" t="n"/>
      <c r="W867" s="5" t="n"/>
      <c r="X867" s="5" t="n"/>
      <c r="Y867" s="5" t="n"/>
      <c r="Z867" s="5" t="n"/>
      <c r="AA867" s="5" t="n"/>
    </row>
    <row r="868" ht="15.75" customHeight="1">
      <c r="A868" s="5" t="n"/>
      <c r="B868" s="6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8" t="n"/>
      <c r="L868" s="8" t="n"/>
      <c r="M868" s="5" t="n"/>
      <c r="N868" s="16" t="n"/>
      <c r="O868" s="5" t="n"/>
      <c r="P868" s="5" t="n"/>
      <c r="Q868" s="5" t="n"/>
      <c r="R868" s="5" t="n"/>
      <c r="S868" s="5" t="n"/>
      <c r="T868" s="5" t="n"/>
      <c r="U868" s="5" t="n"/>
      <c r="V868" s="5" t="n"/>
      <c r="W868" s="5" t="n"/>
      <c r="X868" s="5" t="n"/>
      <c r="Y868" s="5" t="n"/>
      <c r="Z868" s="5" t="n"/>
      <c r="AA868" s="5" t="n"/>
    </row>
    <row r="869" ht="15.75" customHeight="1">
      <c r="A869" s="5" t="n"/>
      <c r="B869" s="6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8" t="n"/>
      <c r="L869" s="8" t="n"/>
      <c r="M869" s="5" t="n"/>
      <c r="N869" s="16" t="n"/>
      <c r="O869" s="5" t="n"/>
      <c r="P869" s="5" t="n"/>
      <c r="Q869" s="5" t="n"/>
      <c r="R869" s="5" t="n"/>
      <c r="S869" s="5" t="n"/>
      <c r="T869" s="5" t="n"/>
      <c r="U869" s="5" t="n"/>
      <c r="V869" s="5" t="n"/>
      <c r="W869" s="5" t="n"/>
      <c r="X869" s="5" t="n"/>
      <c r="Y869" s="5" t="n"/>
      <c r="Z869" s="5" t="n"/>
      <c r="AA869" s="5" t="n"/>
    </row>
    <row r="870" ht="15.75" customHeight="1">
      <c r="A870" s="5" t="n"/>
      <c r="B870" s="6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8" t="n"/>
      <c r="L870" s="8" t="n"/>
      <c r="M870" s="5" t="n"/>
      <c r="N870" s="16" t="n"/>
      <c r="O870" s="5" t="n"/>
      <c r="P870" s="5" t="n"/>
      <c r="Q870" s="5" t="n"/>
      <c r="R870" s="5" t="n"/>
      <c r="S870" s="5" t="n"/>
      <c r="T870" s="5" t="n"/>
      <c r="U870" s="5" t="n"/>
      <c r="V870" s="5" t="n"/>
      <c r="W870" s="5" t="n"/>
      <c r="X870" s="5" t="n"/>
      <c r="Y870" s="5" t="n"/>
      <c r="Z870" s="5" t="n"/>
      <c r="AA870" s="5" t="n"/>
    </row>
    <row r="871" ht="15.75" customHeight="1">
      <c r="A871" s="5" t="n"/>
      <c r="B871" s="6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8" t="n"/>
      <c r="L871" s="8" t="n"/>
      <c r="M871" s="5" t="n"/>
      <c r="N871" s="16" t="n"/>
      <c r="O871" s="5" t="n"/>
      <c r="P871" s="5" t="n"/>
      <c r="Q871" s="5" t="n"/>
      <c r="R871" s="5" t="n"/>
      <c r="S871" s="5" t="n"/>
      <c r="T871" s="5" t="n"/>
      <c r="U871" s="5" t="n"/>
      <c r="V871" s="5" t="n"/>
      <c r="W871" s="5" t="n"/>
      <c r="X871" s="5" t="n"/>
      <c r="Y871" s="5" t="n"/>
      <c r="Z871" s="5" t="n"/>
      <c r="AA871" s="5" t="n"/>
    </row>
    <row r="872" ht="15.75" customHeight="1">
      <c r="A872" s="5" t="n"/>
      <c r="B872" s="6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8" t="n"/>
      <c r="L872" s="8" t="n"/>
      <c r="M872" s="5" t="n"/>
      <c r="N872" s="16" t="n"/>
      <c r="O872" s="5" t="n"/>
      <c r="P872" s="5" t="n"/>
      <c r="Q872" s="5" t="n"/>
      <c r="R872" s="5" t="n"/>
      <c r="S872" s="5" t="n"/>
      <c r="T872" s="5" t="n"/>
      <c r="U872" s="5" t="n"/>
      <c r="V872" s="5" t="n"/>
      <c r="W872" s="5" t="n"/>
      <c r="X872" s="5" t="n"/>
      <c r="Y872" s="5" t="n"/>
      <c r="Z872" s="5" t="n"/>
      <c r="AA872" s="5" t="n"/>
    </row>
    <row r="873" ht="15.75" customHeight="1">
      <c r="A873" s="5" t="n"/>
      <c r="B873" s="6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8" t="n"/>
      <c r="L873" s="8" t="n"/>
      <c r="M873" s="5" t="n"/>
      <c r="N873" s="16" t="n"/>
      <c r="O873" s="5" t="n"/>
      <c r="P873" s="5" t="n"/>
      <c r="Q873" s="5" t="n"/>
      <c r="R873" s="5" t="n"/>
      <c r="S873" s="5" t="n"/>
      <c r="T873" s="5" t="n"/>
      <c r="U873" s="5" t="n"/>
      <c r="V873" s="5" t="n"/>
      <c r="W873" s="5" t="n"/>
      <c r="X873" s="5" t="n"/>
      <c r="Y873" s="5" t="n"/>
      <c r="Z873" s="5" t="n"/>
      <c r="AA873" s="5" t="n"/>
    </row>
    <row r="874" ht="15.75" customHeight="1">
      <c r="A874" s="5" t="n"/>
      <c r="B874" s="6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8" t="n"/>
      <c r="L874" s="8" t="n"/>
      <c r="M874" s="5" t="n"/>
      <c r="N874" s="16" t="n"/>
      <c r="O874" s="5" t="n"/>
      <c r="P874" s="5" t="n"/>
      <c r="Q874" s="5" t="n"/>
      <c r="R874" s="5" t="n"/>
      <c r="S874" s="5" t="n"/>
      <c r="T874" s="5" t="n"/>
      <c r="U874" s="5" t="n"/>
      <c r="V874" s="5" t="n"/>
      <c r="W874" s="5" t="n"/>
      <c r="X874" s="5" t="n"/>
      <c r="Y874" s="5" t="n"/>
      <c r="Z874" s="5" t="n"/>
      <c r="AA874" s="5" t="n"/>
    </row>
    <row r="875" ht="15.75" customHeight="1">
      <c r="A875" s="5" t="n"/>
      <c r="B875" s="6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8" t="n"/>
      <c r="L875" s="8" t="n"/>
      <c r="M875" s="5" t="n"/>
      <c r="N875" s="16" t="n"/>
      <c r="O875" s="5" t="n"/>
      <c r="P875" s="5" t="n"/>
      <c r="Q875" s="5" t="n"/>
      <c r="R875" s="5" t="n"/>
      <c r="S875" s="5" t="n"/>
      <c r="T875" s="5" t="n"/>
      <c r="U875" s="5" t="n"/>
      <c r="V875" s="5" t="n"/>
      <c r="W875" s="5" t="n"/>
      <c r="X875" s="5" t="n"/>
      <c r="Y875" s="5" t="n"/>
      <c r="Z875" s="5" t="n"/>
      <c r="AA875" s="5" t="n"/>
    </row>
    <row r="876" ht="15.75" customHeight="1">
      <c r="A876" s="5" t="n"/>
      <c r="B876" s="6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8" t="n"/>
      <c r="L876" s="8" t="n"/>
      <c r="M876" s="5" t="n"/>
      <c r="N876" s="16" t="n"/>
      <c r="O876" s="5" t="n"/>
      <c r="P876" s="5" t="n"/>
      <c r="Q876" s="5" t="n"/>
      <c r="R876" s="5" t="n"/>
      <c r="S876" s="5" t="n"/>
      <c r="T876" s="5" t="n"/>
      <c r="U876" s="5" t="n"/>
      <c r="V876" s="5" t="n"/>
      <c r="W876" s="5" t="n"/>
      <c r="X876" s="5" t="n"/>
      <c r="Y876" s="5" t="n"/>
      <c r="Z876" s="5" t="n"/>
      <c r="AA876" s="5" t="n"/>
    </row>
    <row r="877" ht="15.75" customHeight="1">
      <c r="A877" s="5" t="n"/>
      <c r="B877" s="6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8" t="n"/>
      <c r="L877" s="8" t="n"/>
      <c r="M877" s="5" t="n"/>
      <c r="N877" s="16" t="n"/>
      <c r="O877" s="5" t="n"/>
      <c r="P877" s="5" t="n"/>
      <c r="Q877" s="5" t="n"/>
      <c r="R877" s="5" t="n"/>
      <c r="S877" s="5" t="n"/>
      <c r="T877" s="5" t="n"/>
      <c r="U877" s="5" t="n"/>
      <c r="V877" s="5" t="n"/>
      <c r="W877" s="5" t="n"/>
      <c r="X877" s="5" t="n"/>
      <c r="Y877" s="5" t="n"/>
      <c r="Z877" s="5" t="n"/>
      <c r="AA877" s="5" t="n"/>
    </row>
    <row r="878" ht="15.75" customHeight="1">
      <c r="A878" s="5" t="n"/>
      <c r="B878" s="6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8" t="n"/>
      <c r="L878" s="8" t="n"/>
      <c r="M878" s="5" t="n"/>
      <c r="N878" s="16" t="n"/>
      <c r="O878" s="5" t="n"/>
      <c r="P878" s="5" t="n"/>
      <c r="Q878" s="5" t="n"/>
      <c r="R878" s="5" t="n"/>
      <c r="S878" s="5" t="n"/>
      <c r="T878" s="5" t="n"/>
      <c r="U878" s="5" t="n"/>
      <c r="V878" s="5" t="n"/>
      <c r="W878" s="5" t="n"/>
      <c r="X878" s="5" t="n"/>
      <c r="Y878" s="5" t="n"/>
      <c r="Z878" s="5" t="n"/>
      <c r="AA878" s="5" t="n"/>
    </row>
    <row r="879" ht="15.75" customHeight="1">
      <c r="A879" s="5" t="n"/>
      <c r="B879" s="6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8" t="n"/>
      <c r="L879" s="8" t="n"/>
      <c r="M879" s="5" t="n"/>
      <c r="N879" s="16" t="n"/>
      <c r="O879" s="5" t="n"/>
      <c r="P879" s="5" t="n"/>
      <c r="Q879" s="5" t="n"/>
      <c r="R879" s="5" t="n"/>
      <c r="S879" s="5" t="n"/>
      <c r="T879" s="5" t="n"/>
      <c r="U879" s="5" t="n"/>
      <c r="V879" s="5" t="n"/>
      <c r="W879" s="5" t="n"/>
      <c r="X879" s="5" t="n"/>
      <c r="Y879" s="5" t="n"/>
      <c r="Z879" s="5" t="n"/>
      <c r="AA879" s="5" t="n"/>
    </row>
    <row r="880" ht="15.75" customHeight="1">
      <c r="A880" s="5" t="n"/>
      <c r="B880" s="6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8" t="n"/>
      <c r="L880" s="8" t="n"/>
      <c r="M880" s="5" t="n"/>
      <c r="N880" s="16" t="n"/>
      <c r="O880" s="5" t="n"/>
      <c r="P880" s="5" t="n"/>
      <c r="Q880" s="5" t="n"/>
      <c r="R880" s="5" t="n"/>
      <c r="S880" s="5" t="n"/>
      <c r="T880" s="5" t="n"/>
      <c r="U880" s="5" t="n"/>
      <c r="V880" s="5" t="n"/>
      <c r="W880" s="5" t="n"/>
      <c r="X880" s="5" t="n"/>
      <c r="Y880" s="5" t="n"/>
      <c r="Z880" s="5" t="n"/>
      <c r="AA880" s="5" t="n"/>
    </row>
    <row r="881" ht="15.75" customHeight="1">
      <c r="A881" s="5" t="n"/>
      <c r="B881" s="6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8" t="n"/>
      <c r="L881" s="8" t="n"/>
      <c r="M881" s="5" t="n"/>
      <c r="N881" s="16" t="n"/>
      <c r="O881" s="5" t="n"/>
      <c r="P881" s="5" t="n"/>
      <c r="Q881" s="5" t="n"/>
      <c r="R881" s="5" t="n"/>
      <c r="S881" s="5" t="n"/>
      <c r="T881" s="5" t="n"/>
      <c r="U881" s="5" t="n"/>
      <c r="V881" s="5" t="n"/>
      <c r="W881" s="5" t="n"/>
      <c r="X881" s="5" t="n"/>
      <c r="Y881" s="5" t="n"/>
      <c r="Z881" s="5" t="n"/>
      <c r="AA881" s="5" t="n"/>
    </row>
    <row r="882" ht="15.75" customHeight="1">
      <c r="A882" s="5" t="n"/>
      <c r="B882" s="6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8" t="n"/>
      <c r="L882" s="8" t="n"/>
      <c r="M882" s="5" t="n"/>
      <c r="N882" s="16" t="n"/>
      <c r="O882" s="5" t="n"/>
      <c r="P882" s="5" t="n"/>
      <c r="Q882" s="5" t="n"/>
      <c r="R882" s="5" t="n"/>
      <c r="S882" s="5" t="n"/>
      <c r="T882" s="5" t="n"/>
      <c r="U882" s="5" t="n"/>
      <c r="V882" s="5" t="n"/>
      <c r="W882" s="5" t="n"/>
      <c r="X882" s="5" t="n"/>
      <c r="Y882" s="5" t="n"/>
      <c r="Z882" s="5" t="n"/>
      <c r="AA882" s="5" t="n"/>
    </row>
    <row r="883" ht="15.75" customHeight="1">
      <c r="A883" s="5" t="n"/>
      <c r="B883" s="6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8" t="n"/>
      <c r="L883" s="8" t="n"/>
      <c r="M883" s="5" t="n"/>
      <c r="N883" s="16" t="n"/>
      <c r="O883" s="5" t="n"/>
      <c r="P883" s="5" t="n"/>
      <c r="Q883" s="5" t="n"/>
      <c r="R883" s="5" t="n"/>
      <c r="S883" s="5" t="n"/>
      <c r="T883" s="5" t="n"/>
      <c r="U883" s="5" t="n"/>
      <c r="V883" s="5" t="n"/>
      <c r="W883" s="5" t="n"/>
      <c r="X883" s="5" t="n"/>
      <c r="Y883" s="5" t="n"/>
      <c r="Z883" s="5" t="n"/>
      <c r="AA883" s="5" t="n"/>
    </row>
    <row r="884" ht="15.75" customHeight="1">
      <c r="A884" s="5" t="n"/>
      <c r="B884" s="6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8" t="n"/>
      <c r="L884" s="8" t="n"/>
      <c r="M884" s="5" t="n"/>
      <c r="N884" s="16" t="n"/>
      <c r="O884" s="5" t="n"/>
      <c r="P884" s="5" t="n"/>
      <c r="Q884" s="5" t="n"/>
      <c r="R884" s="5" t="n"/>
      <c r="S884" s="5" t="n"/>
      <c r="T884" s="5" t="n"/>
      <c r="U884" s="5" t="n"/>
      <c r="V884" s="5" t="n"/>
      <c r="W884" s="5" t="n"/>
      <c r="X884" s="5" t="n"/>
      <c r="Y884" s="5" t="n"/>
      <c r="Z884" s="5" t="n"/>
      <c r="AA884" s="5" t="n"/>
    </row>
    <row r="885" ht="15.75" customHeight="1">
      <c r="A885" s="5" t="n"/>
      <c r="B885" s="6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8" t="n"/>
      <c r="L885" s="8" t="n"/>
      <c r="M885" s="5" t="n"/>
      <c r="N885" s="16" t="n"/>
      <c r="O885" s="5" t="n"/>
      <c r="P885" s="5" t="n"/>
      <c r="Q885" s="5" t="n"/>
      <c r="R885" s="5" t="n"/>
      <c r="S885" s="5" t="n"/>
      <c r="T885" s="5" t="n"/>
      <c r="U885" s="5" t="n"/>
      <c r="V885" s="5" t="n"/>
      <c r="W885" s="5" t="n"/>
      <c r="X885" s="5" t="n"/>
      <c r="Y885" s="5" t="n"/>
      <c r="Z885" s="5" t="n"/>
      <c r="AA885" s="5" t="n"/>
    </row>
    <row r="886" ht="15.75" customHeight="1">
      <c r="A886" s="5" t="n"/>
      <c r="B886" s="6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8" t="n"/>
      <c r="L886" s="8" t="n"/>
      <c r="M886" s="5" t="n"/>
      <c r="N886" s="16" t="n"/>
      <c r="O886" s="5" t="n"/>
      <c r="P886" s="5" t="n"/>
      <c r="Q886" s="5" t="n"/>
      <c r="R886" s="5" t="n"/>
      <c r="S886" s="5" t="n"/>
      <c r="T886" s="5" t="n"/>
      <c r="U886" s="5" t="n"/>
      <c r="V886" s="5" t="n"/>
      <c r="W886" s="5" t="n"/>
      <c r="X886" s="5" t="n"/>
      <c r="Y886" s="5" t="n"/>
      <c r="Z886" s="5" t="n"/>
      <c r="AA886" s="5" t="n"/>
    </row>
    <row r="887" ht="15.75" customHeight="1">
      <c r="A887" s="5" t="n"/>
      <c r="B887" s="6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8" t="n"/>
      <c r="L887" s="8" t="n"/>
      <c r="M887" s="5" t="n"/>
      <c r="N887" s="16" t="n"/>
      <c r="O887" s="5" t="n"/>
      <c r="P887" s="5" t="n"/>
      <c r="Q887" s="5" t="n"/>
      <c r="R887" s="5" t="n"/>
      <c r="S887" s="5" t="n"/>
      <c r="T887" s="5" t="n"/>
      <c r="U887" s="5" t="n"/>
      <c r="V887" s="5" t="n"/>
      <c r="W887" s="5" t="n"/>
      <c r="X887" s="5" t="n"/>
      <c r="Y887" s="5" t="n"/>
      <c r="Z887" s="5" t="n"/>
      <c r="AA887" s="5" t="n"/>
    </row>
    <row r="888" ht="15.75" customHeight="1">
      <c r="A888" s="5" t="n"/>
      <c r="B888" s="6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8" t="n"/>
      <c r="L888" s="8" t="n"/>
      <c r="M888" s="5" t="n"/>
      <c r="N888" s="16" t="n"/>
      <c r="O888" s="5" t="n"/>
      <c r="P888" s="5" t="n"/>
      <c r="Q888" s="5" t="n"/>
      <c r="R888" s="5" t="n"/>
      <c r="S888" s="5" t="n"/>
      <c r="T888" s="5" t="n"/>
      <c r="U888" s="5" t="n"/>
      <c r="V888" s="5" t="n"/>
      <c r="W888" s="5" t="n"/>
      <c r="X888" s="5" t="n"/>
      <c r="Y888" s="5" t="n"/>
      <c r="Z888" s="5" t="n"/>
      <c r="AA888" s="5" t="n"/>
    </row>
    <row r="889" ht="15.75" customHeight="1">
      <c r="A889" s="5" t="n"/>
      <c r="B889" s="6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8" t="n"/>
      <c r="L889" s="8" t="n"/>
      <c r="M889" s="5" t="n"/>
      <c r="N889" s="16" t="n"/>
      <c r="O889" s="5" t="n"/>
      <c r="P889" s="5" t="n"/>
      <c r="Q889" s="5" t="n"/>
      <c r="R889" s="5" t="n"/>
      <c r="S889" s="5" t="n"/>
      <c r="T889" s="5" t="n"/>
      <c r="U889" s="5" t="n"/>
      <c r="V889" s="5" t="n"/>
      <c r="W889" s="5" t="n"/>
      <c r="X889" s="5" t="n"/>
      <c r="Y889" s="5" t="n"/>
      <c r="Z889" s="5" t="n"/>
      <c r="AA889" s="5" t="n"/>
    </row>
    <row r="890" ht="15.75" customHeight="1">
      <c r="A890" s="5" t="n"/>
      <c r="B890" s="6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8" t="n"/>
      <c r="L890" s="8" t="n"/>
      <c r="M890" s="5" t="n"/>
      <c r="N890" s="16" t="n"/>
      <c r="O890" s="5" t="n"/>
      <c r="P890" s="5" t="n"/>
      <c r="Q890" s="5" t="n"/>
      <c r="R890" s="5" t="n"/>
      <c r="S890" s="5" t="n"/>
      <c r="T890" s="5" t="n"/>
      <c r="U890" s="5" t="n"/>
      <c r="V890" s="5" t="n"/>
      <c r="W890" s="5" t="n"/>
      <c r="X890" s="5" t="n"/>
      <c r="Y890" s="5" t="n"/>
      <c r="Z890" s="5" t="n"/>
      <c r="AA890" s="5" t="n"/>
    </row>
    <row r="891" ht="15.75" customHeight="1">
      <c r="A891" s="5" t="n"/>
      <c r="B891" s="6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8" t="n"/>
      <c r="L891" s="8" t="n"/>
      <c r="M891" s="5" t="n"/>
      <c r="N891" s="16" t="n"/>
      <c r="O891" s="5" t="n"/>
      <c r="P891" s="5" t="n"/>
      <c r="Q891" s="5" t="n"/>
      <c r="R891" s="5" t="n"/>
      <c r="S891" s="5" t="n"/>
      <c r="T891" s="5" t="n"/>
      <c r="U891" s="5" t="n"/>
      <c r="V891" s="5" t="n"/>
      <c r="W891" s="5" t="n"/>
      <c r="X891" s="5" t="n"/>
      <c r="Y891" s="5" t="n"/>
      <c r="Z891" s="5" t="n"/>
      <c r="AA891" s="5" t="n"/>
    </row>
    <row r="892" ht="15.75" customHeight="1">
      <c r="A892" s="5" t="n"/>
      <c r="B892" s="6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8" t="n"/>
      <c r="L892" s="8" t="n"/>
      <c r="M892" s="5" t="n"/>
      <c r="N892" s="16" t="n"/>
      <c r="O892" s="5" t="n"/>
      <c r="P892" s="5" t="n"/>
      <c r="Q892" s="5" t="n"/>
      <c r="R892" s="5" t="n"/>
      <c r="S892" s="5" t="n"/>
      <c r="T892" s="5" t="n"/>
      <c r="U892" s="5" t="n"/>
      <c r="V892" s="5" t="n"/>
      <c r="W892" s="5" t="n"/>
      <c r="X892" s="5" t="n"/>
      <c r="Y892" s="5" t="n"/>
      <c r="Z892" s="5" t="n"/>
      <c r="AA892" s="5" t="n"/>
    </row>
    <row r="893" ht="15.75" customHeight="1">
      <c r="A893" s="5" t="n"/>
      <c r="B893" s="6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8" t="n"/>
      <c r="L893" s="8" t="n"/>
      <c r="M893" s="5" t="n"/>
      <c r="N893" s="16" t="n"/>
      <c r="O893" s="5" t="n"/>
      <c r="P893" s="5" t="n"/>
      <c r="Q893" s="5" t="n"/>
      <c r="R893" s="5" t="n"/>
      <c r="S893" s="5" t="n"/>
      <c r="T893" s="5" t="n"/>
      <c r="U893" s="5" t="n"/>
      <c r="V893" s="5" t="n"/>
      <c r="W893" s="5" t="n"/>
      <c r="X893" s="5" t="n"/>
      <c r="Y893" s="5" t="n"/>
      <c r="Z893" s="5" t="n"/>
      <c r="AA893" s="5" t="n"/>
    </row>
    <row r="894" ht="15.75" customHeight="1">
      <c r="A894" s="5" t="n"/>
      <c r="B894" s="6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8" t="n"/>
      <c r="L894" s="8" t="n"/>
      <c r="M894" s="5" t="n"/>
      <c r="N894" s="16" t="n"/>
      <c r="O894" s="5" t="n"/>
      <c r="P894" s="5" t="n"/>
      <c r="Q894" s="5" t="n"/>
      <c r="R894" s="5" t="n"/>
      <c r="S894" s="5" t="n"/>
      <c r="T894" s="5" t="n"/>
      <c r="U894" s="5" t="n"/>
      <c r="V894" s="5" t="n"/>
      <c r="W894" s="5" t="n"/>
      <c r="X894" s="5" t="n"/>
      <c r="Y894" s="5" t="n"/>
      <c r="Z894" s="5" t="n"/>
      <c r="AA894" s="5" t="n"/>
    </row>
    <row r="895" ht="15.75" customHeight="1">
      <c r="A895" s="5" t="n"/>
      <c r="B895" s="6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8" t="n"/>
      <c r="L895" s="8" t="n"/>
      <c r="M895" s="5" t="n"/>
      <c r="N895" s="16" t="n"/>
      <c r="O895" s="5" t="n"/>
      <c r="P895" s="5" t="n"/>
      <c r="Q895" s="5" t="n"/>
      <c r="R895" s="5" t="n"/>
      <c r="S895" s="5" t="n"/>
      <c r="T895" s="5" t="n"/>
      <c r="U895" s="5" t="n"/>
      <c r="V895" s="5" t="n"/>
      <c r="W895" s="5" t="n"/>
      <c r="X895" s="5" t="n"/>
      <c r="Y895" s="5" t="n"/>
      <c r="Z895" s="5" t="n"/>
      <c r="AA895" s="5" t="n"/>
    </row>
    <row r="896" ht="15.75" customHeight="1">
      <c r="A896" s="5" t="n"/>
      <c r="B896" s="6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8" t="n"/>
      <c r="L896" s="8" t="n"/>
      <c r="M896" s="5" t="n"/>
      <c r="N896" s="16" t="n"/>
      <c r="O896" s="5" t="n"/>
      <c r="P896" s="5" t="n"/>
      <c r="Q896" s="5" t="n"/>
      <c r="R896" s="5" t="n"/>
      <c r="S896" s="5" t="n"/>
      <c r="T896" s="5" t="n"/>
      <c r="U896" s="5" t="n"/>
      <c r="V896" s="5" t="n"/>
      <c r="W896" s="5" t="n"/>
      <c r="X896" s="5" t="n"/>
      <c r="Y896" s="5" t="n"/>
      <c r="Z896" s="5" t="n"/>
      <c r="AA896" s="5" t="n"/>
    </row>
    <row r="897" ht="15.75" customHeight="1">
      <c r="A897" s="5" t="n"/>
      <c r="B897" s="6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8" t="n"/>
      <c r="L897" s="8" t="n"/>
      <c r="M897" s="5" t="n"/>
      <c r="N897" s="16" t="n"/>
      <c r="O897" s="5" t="n"/>
      <c r="P897" s="5" t="n"/>
      <c r="Q897" s="5" t="n"/>
      <c r="R897" s="5" t="n"/>
      <c r="S897" s="5" t="n"/>
      <c r="T897" s="5" t="n"/>
      <c r="U897" s="5" t="n"/>
      <c r="V897" s="5" t="n"/>
      <c r="W897" s="5" t="n"/>
      <c r="X897" s="5" t="n"/>
      <c r="Y897" s="5" t="n"/>
      <c r="Z897" s="5" t="n"/>
      <c r="AA897" s="5" t="n"/>
    </row>
    <row r="898" ht="15.75" customHeight="1">
      <c r="A898" s="5" t="n"/>
      <c r="B898" s="6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8" t="n"/>
      <c r="L898" s="8" t="n"/>
      <c r="M898" s="5" t="n"/>
      <c r="N898" s="16" t="n"/>
      <c r="O898" s="5" t="n"/>
      <c r="P898" s="5" t="n"/>
      <c r="Q898" s="5" t="n"/>
      <c r="R898" s="5" t="n"/>
      <c r="S898" s="5" t="n"/>
      <c r="T898" s="5" t="n"/>
      <c r="U898" s="5" t="n"/>
      <c r="V898" s="5" t="n"/>
      <c r="W898" s="5" t="n"/>
      <c r="X898" s="5" t="n"/>
      <c r="Y898" s="5" t="n"/>
      <c r="Z898" s="5" t="n"/>
      <c r="AA898" s="5" t="n"/>
    </row>
    <row r="899" ht="15.75" customHeight="1">
      <c r="A899" s="5" t="n"/>
      <c r="B899" s="6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8" t="n"/>
      <c r="L899" s="8" t="n"/>
      <c r="M899" s="5" t="n"/>
      <c r="N899" s="16" t="n"/>
      <c r="O899" s="5" t="n"/>
      <c r="P899" s="5" t="n"/>
      <c r="Q899" s="5" t="n"/>
      <c r="R899" s="5" t="n"/>
      <c r="S899" s="5" t="n"/>
      <c r="T899" s="5" t="n"/>
      <c r="U899" s="5" t="n"/>
      <c r="V899" s="5" t="n"/>
      <c r="W899" s="5" t="n"/>
      <c r="X899" s="5" t="n"/>
      <c r="Y899" s="5" t="n"/>
      <c r="Z899" s="5" t="n"/>
      <c r="AA899" s="5" t="n"/>
    </row>
    <row r="900" ht="15.75" customHeight="1">
      <c r="A900" s="5" t="n"/>
      <c r="B900" s="6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8" t="n"/>
      <c r="L900" s="8" t="n"/>
      <c r="M900" s="5" t="n"/>
      <c r="N900" s="16" t="n"/>
      <c r="O900" s="5" t="n"/>
      <c r="P900" s="5" t="n"/>
      <c r="Q900" s="5" t="n"/>
      <c r="R900" s="5" t="n"/>
      <c r="S900" s="5" t="n"/>
      <c r="T900" s="5" t="n"/>
      <c r="U900" s="5" t="n"/>
      <c r="V900" s="5" t="n"/>
      <c r="W900" s="5" t="n"/>
      <c r="X900" s="5" t="n"/>
      <c r="Y900" s="5" t="n"/>
      <c r="Z900" s="5" t="n"/>
      <c r="AA900" s="5" t="n"/>
    </row>
    <row r="901" ht="15.75" customHeight="1">
      <c r="A901" s="5" t="n"/>
      <c r="B901" s="6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8" t="n"/>
      <c r="L901" s="8" t="n"/>
      <c r="M901" s="5" t="n"/>
      <c r="N901" s="16" t="n"/>
      <c r="O901" s="5" t="n"/>
      <c r="P901" s="5" t="n"/>
      <c r="Q901" s="5" t="n"/>
      <c r="R901" s="5" t="n"/>
      <c r="S901" s="5" t="n"/>
      <c r="T901" s="5" t="n"/>
      <c r="U901" s="5" t="n"/>
      <c r="V901" s="5" t="n"/>
      <c r="W901" s="5" t="n"/>
      <c r="X901" s="5" t="n"/>
      <c r="Y901" s="5" t="n"/>
      <c r="Z901" s="5" t="n"/>
      <c r="AA901" s="5" t="n"/>
    </row>
    <row r="902" ht="15.75" customHeight="1">
      <c r="A902" s="5" t="n"/>
      <c r="B902" s="6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8" t="n"/>
      <c r="L902" s="8" t="n"/>
      <c r="M902" s="5" t="n"/>
      <c r="N902" s="16" t="n"/>
      <c r="O902" s="5" t="n"/>
      <c r="P902" s="5" t="n"/>
      <c r="Q902" s="5" t="n"/>
      <c r="R902" s="5" t="n"/>
      <c r="S902" s="5" t="n"/>
      <c r="T902" s="5" t="n"/>
      <c r="U902" s="5" t="n"/>
      <c r="V902" s="5" t="n"/>
      <c r="W902" s="5" t="n"/>
      <c r="X902" s="5" t="n"/>
      <c r="Y902" s="5" t="n"/>
      <c r="Z902" s="5" t="n"/>
      <c r="AA902" s="5" t="n"/>
    </row>
    <row r="903" ht="15.75" customHeight="1">
      <c r="A903" s="5" t="n"/>
      <c r="B903" s="6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8" t="n"/>
      <c r="L903" s="8" t="n"/>
      <c r="M903" s="5" t="n"/>
      <c r="N903" s="16" t="n"/>
      <c r="O903" s="5" t="n"/>
      <c r="P903" s="5" t="n"/>
      <c r="Q903" s="5" t="n"/>
      <c r="R903" s="5" t="n"/>
      <c r="S903" s="5" t="n"/>
      <c r="T903" s="5" t="n"/>
      <c r="U903" s="5" t="n"/>
      <c r="V903" s="5" t="n"/>
      <c r="W903" s="5" t="n"/>
      <c r="X903" s="5" t="n"/>
      <c r="Y903" s="5" t="n"/>
      <c r="Z903" s="5" t="n"/>
      <c r="AA903" s="5" t="n"/>
    </row>
    <row r="904" ht="15.75" customHeight="1">
      <c r="A904" s="5" t="n"/>
      <c r="B904" s="6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8" t="n"/>
      <c r="L904" s="8" t="n"/>
      <c r="M904" s="5" t="n"/>
      <c r="N904" s="16" t="n"/>
      <c r="O904" s="5" t="n"/>
      <c r="P904" s="5" t="n"/>
      <c r="Q904" s="5" t="n"/>
      <c r="R904" s="5" t="n"/>
      <c r="S904" s="5" t="n"/>
      <c r="T904" s="5" t="n"/>
      <c r="U904" s="5" t="n"/>
      <c r="V904" s="5" t="n"/>
      <c r="W904" s="5" t="n"/>
      <c r="X904" s="5" t="n"/>
      <c r="Y904" s="5" t="n"/>
      <c r="Z904" s="5" t="n"/>
      <c r="AA904" s="5" t="n"/>
    </row>
    <row r="905" ht="15.75" customHeight="1">
      <c r="A905" s="5" t="n"/>
      <c r="B905" s="6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8" t="n"/>
      <c r="L905" s="8" t="n"/>
      <c r="M905" s="5" t="n"/>
      <c r="N905" s="16" t="n"/>
      <c r="O905" s="5" t="n"/>
      <c r="P905" s="5" t="n"/>
      <c r="Q905" s="5" t="n"/>
      <c r="R905" s="5" t="n"/>
      <c r="S905" s="5" t="n"/>
      <c r="T905" s="5" t="n"/>
      <c r="U905" s="5" t="n"/>
      <c r="V905" s="5" t="n"/>
      <c r="W905" s="5" t="n"/>
      <c r="X905" s="5" t="n"/>
      <c r="Y905" s="5" t="n"/>
      <c r="Z905" s="5" t="n"/>
      <c r="AA905" s="5" t="n"/>
    </row>
    <row r="906" ht="15.75" customHeight="1">
      <c r="A906" s="5" t="n"/>
      <c r="B906" s="6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8" t="n"/>
      <c r="L906" s="8" t="n"/>
      <c r="M906" s="5" t="n"/>
      <c r="N906" s="16" t="n"/>
      <c r="O906" s="5" t="n"/>
      <c r="P906" s="5" t="n"/>
      <c r="Q906" s="5" t="n"/>
      <c r="R906" s="5" t="n"/>
      <c r="S906" s="5" t="n"/>
      <c r="T906" s="5" t="n"/>
      <c r="U906" s="5" t="n"/>
      <c r="V906" s="5" t="n"/>
      <c r="W906" s="5" t="n"/>
      <c r="X906" s="5" t="n"/>
      <c r="Y906" s="5" t="n"/>
      <c r="Z906" s="5" t="n"/>
      <c r="AA906" s="5" t="n"/>
    </row>
    <row r="907" ht="15.75" customHeight="1">
      <c r="A907" s="5" t="n"/>
      <c r="B907" s="6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8" t="n"/>
      <c r="L907" s="8" t="n"/>
      <c r="M907" s="5" t="n"/>
      <c r="N907" s="16" t="n"/>
      <c r="O907" s="5" t="n"/>
      <c r="P907" s="5" t="n"/>
      <c r="Q907" s="5" t="n"/>
      <c r="R907" s="5" t="n"/>
      <c r="S907" s="5" t="n"/>
      <c r="T907" s="5" t="n"/>
      <c r="U907" s="5" t="n"/>
      <c r="V907" s="5" t="n"/>
      <c r="W907" s="5" t="n"/>
      <c r="X907" s="5" t="n"/>
      <c r="Y907" s="5" t="n"/>
      <c r="Z907" s="5" t="n"/>
      <c r="AA907" s="5" t="n"/>
    </row>
    <row r="908" ht="15.75" customHeight="1">
      <c r="A908" s="5" t="n"/>
      <c r="B908" s="6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8" t="n"/>
      <c r="L908" s="8" t="n"/>
      <c r="M908" s="5" t="n"/>
      <c r="N908" s="16" t="n"/>
      <c r="O908" s="5" t="n"/>
      <c r="P908" s="5" t="n"/>
      <c r="Q908" s="5" t="n"/>
      <c r="R908" s="5" t="n"/>
      <c r="S908" s="5" t="n"/>
      <c r="T908" s="5" t="n"/>
      <c r="U908" s="5" t="n"/>
      <c r="V908" s="5" t="n"/>
      <c r="W908" s="5" t="n"/>
      <c r="X908" s="5" t="n"/>
      <c r="Y908" s="5" t="n"/>
      <c r="Z908" s="5" t="n"/>
      <c r="AA908" s="5" t="n"/>
    </row>
    <row r="909" ht="15.75" customHeight="1">
      <c r="A909" s="5" t="n"/>
      <c r="B909" s="6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8" t="n"/>
      <c r="L909" s="8" t="n"/>
      <c r="M909" s="5" t="n"/>
      <c r="N909" s="16" t="n"/>
      <c r="O909" s="5" t="n"/>
      <c r="P909" s="5" t="n"/>
      <c r="Q909" s="5" t="n"/>
      <c r="R909" s="5" t="n"/>
      <c r="S909" s="5" t="n"/>
      <c r="T909" s="5" t="n"/>
      <c r="U909" s="5" t="n"/>
      <c r="V909" s="5" t="n"/>
      <c r="W909" s="5" t="n"/>
      <c r="X909" s="5" t="n"/>
      <c r="Y909" s="5" t="n"/>
      <c r="Z909" s="5" t="n"/>
      <c r="AA909" s="5" t="n"/>
    </row>
    <row r="910" ht="15.75" customHeight="1">
      <c r="A910" s="5" t="n"/>
      <c r="B910" s="6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8" t="n"/>
      <c r="L910" s="8" t="n"/>
      <c r="M910" s="5" t="n"/>
      <c r="N910" s="16" t="n"/>
      <c r="O910" s="5" t="n"/>
      <c r="P910" s="5" t="n"/>
      <c r="Q910" s="5" t="n"/>
      <c r="R910" s="5" t="n"/>
      <c r="S910" s="5" t="n"/>
      <c r="T910" s="5" t="n"/>
      <c r="U910" s="5" t="n"/>
      <c r="V910" s="5" t="n"/>
      <c r="W910" s="5" t="n"/>
      <c r="X910" s="5" t="n"/>
      <c r="Y910" s="5" t="n"/>
      <c r="Z910" s="5" t="n"/>
      <c r="AA910" s="5" t="n"/>
    </row>
    <row r="911" ht="15.75" customHeight="1">
      <c r="A911" s="5" t="n"/>
      <c r="B911" s="6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8" t="n"/>
      <c r="L911" s="8" t="n"/>
      <c r="M911" s="5" t="n"/>
      <c r="N911" s="16" t="n"/>
      <c r="O911" s="5" t="n"/>
      <c r="P911" s="5" t="n"/>
      <c r="Q911" s="5" t="n"/>
      <c r="R911" s="5" t="n"/>
      <c r="S911" s="5" t="n"/>
      <c r="T911" s="5" t="n"/>
      <c r="U911" s="5" t="n"/>
      <c r="V911" s="5" t="n"/>
      <c r="W911" s="5" t="n"/>
      <c r="X911" s="5" t="n"/>
      <c r="Y911" s="5" t="n"/>
      <c r="Z911" s="5" t="n"/>
      <c r="AA911" s="5" t="n"/>
    </row>
    <row r="912" ht="15.75" customHeight="1">
      <c r="A912" s="5" t="n"/>
      <c r="B912" s="6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8" t="n"/>
      <c r="L912" s="8" t="n"/>
      <c r="M912" s="5" t="n"/>
      <c r="N912" s="16" t="n"/>
      <c r="O912" s="5" t="n"/>
      <c r="P912" s="5" t="n"/>
      <c r="Q912" s="5" t="n"/>
      <c r="R912" s="5" t="n"/>
      <c r="S912" s="5" t="n"/>
      <c r="T912" s="5" t="n"/>
      <c r="U912" s="5" t="n"/>
      <c r="V912" s="5" t="n"/>
      <c r="W912" s="5" t="n"/>
      <c r="X912" s="5" t="n"/>
      <c r="Y912" s="5" t="n"/>
      <c r="Z912" s="5" t="n"/>
      <c r="AA912" s="5" t="n"/>
    </row>
    <row r="913" ht="15.75" customHeight="1">
      <c r="A913" s="5" t="n"/>
      <c r="B913" s="6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8" t="n"/>
      <c r="L913" s="8" t="n"/>
      <c r="M913" s="5" t="n"/>
      <c r="N913" s="16" t="n"/>
      <c r="O913" s="5" t="n"/>
      <c r="P913" s="5" t="n"/>
      <c r="Q913" s="5" t="n"/>
      <c r="R913" s="5" t="n"/>
      <c r="S913" s="5" t="n"/>
      <c r="T913" s="5" t="n"/>
      <c r="U913" s="5" t="n"/>
      <c r="V913" s="5" t="n"/>
      <c r="W913" s="5" t="n"/>
      <c r="X913" s="5" t="n"/>
      <c r="Y913" s="5" t="n"/>
      <c r="Z913" s="5" t="n"/>
      <c r="AA913" s="5" t="n"/>
    </row>
    <row r="914" ht="15.75" customHeight="1">
      <c r="A914" s="5" t="n"/>
      <c r="B914" s="6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8" t="n"/>
      <c r="L914" s="8" t="n"/>
      <c r="M914" s="5" t="n"/>
      <c r="N914" s="16" t="n"/>
      <c r="O914" s="5" t="n"/>
      <c r="P914" s="5" t="n"/>
      <c r="Q914" s="5" t="n"/>
      <c r="R914" s="5" t="n"/>
      <c r="S914" s="5" t="n"/>
      <c r="T914" s="5" t="n"/>
      <c r="U914" s="5" t="n"/>
      <c r="V914" s="5" t="n"/>
      <c r="W914" s="5" t="n"/>
      <c r="X914" s="5" t="n"/>
      <c r="Y914" s="5" t="n"/>
      <c r="Z914" s="5" t="n"/>
      <c r="AA914" s="5" t="n"/>
    </row>
    <row r="915" ht="15.75" customHeight="1">
      <c r="A915" s="5" t="n"/>
      <c r="B915" s="6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8" t="n"/>
      <c r="L915" s="8" t="n"/>
      <c r="M915" s="5" t="n"/>
      <c r="N915" s="16" t="n"/>
      <c r="O915" s="5" t="n"/>
      <c r="P915" s="5" t="n"/>
      <c r="Q915" s="5" t="n"/>
      <c r="R915" s="5" t="n"/>
      <c r="S915" s="5" t="n"/>
      <c r="T915" s="5" t="n"/>
      <c r="U915" s="5" t="n"/>
      <c r="V915" s="5" t="n"/>
      <c r="W915" s="5" t="n"/>
      <c r="X915" s="5" t="n"/>
      <c r="Y915" s="5" t="n"/>
      <c r="Z915" s="5" t="n"/>
      <c r="AA915" s="5" t="n"/>
    </row>
    <row r="916" ht="15.75" customHeight="1">
      <c r="A916" s="5" t="n"/>
      <c r="B916" s="6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8" t="n"/>
      <c r="L916" s="8" t="n"/>
      <c r="M916" s="5" t="n"/>
      <c r="N916" s="16" t="n"/>
      <c r="O916" s="5" t="n"/>
      <c r="P916" s="5" t="n"/>
      <c r="Q916" s="5" t="n"/>
      <c r="R916" s="5" t="n"/>
      <c r="S916" s="5" t="n"/>
      <c r="T916" s="5" t="n"/>
      <c r="U916" s="5" t="n"/>
      <c r="V916" s="5" t="n"/>
      <c r="W916" s="5" t="n"/>
      <c r="X916" s="5" t="n"/>
      <c r="Y916" s="5" t="n"/>
      <c r="Z916" s="5" t="n"/>
      <c r="AA916" s="5" t="n"/>
    </row>
    <row r="917" ht="15.75" customHeight="1">
      <c r="A917" s="5" t="n"/>
      <c r="B917" s="6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8" t="n"/>
      <c r="L917" s="8" t="n"/>
      <c r="M917" s="5" t="n"/>
      <c r="N917" s="16" t="n"/>
      <c r="O917" s="5" t="n"/>
      <c r="P917" s="5" t="n"/>
      <c r="Q917" s="5" t="n"/>
      <c r="R917" s="5" t="n"/>
      <c r="S917" s="5" t="n"/>
      <c r="T917" s="5" t="n"/>
      <c r="U917" s="5" t="n"/>
      <c r="V917" s="5" t="n"/>
      <c r="W917" s="5" t="n"/>
      <c r="X917" s="5" t="n"/>
      <c r="Y917" s="5" t="n"/>
      <c r="Z917" s="5" t="n"/>
      <c r="AA917" s="5" t="n"/>
    </row>
    <row r="918" ht="15.75" customHeight="1">
      <c r="A918" s="5" t="n"/>
      <c r="B918" s="6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8" t="n"/>
      <c r="L918" s="8" t="n"/>
      <c r="M918" s="5" t="n"/>
      <c r="N918" s="16" t="n"/>
      <c r="O918" s="5" t="n"/>
      <c r="P918" s="5" t="n"/>
      <c r="Q918" s="5" t="n"/>
      <c r="R918" s="5" t="n"/>
      <c r="S918" s="5" t="n"/>
      <c r="T918" s="5" t="n"/>
      <c r="U918" s="5" t="n"/>
      <c r="V918" s="5" t="n"/>
      <c r="W918" s="5" t="n"/>
      <c r="X918" s="5" t="n"/>
      <c r="Y918" s="5" t="n"/>
      <c r="Z918" s="5" t="n"/>
      <c r="AA918" s="5" t="n"/>
    </row>
    <row r="919" ht="15.75" customHeight="1">
      <c r="A919" s="5" t="n"/>
      <c r="B919" s="6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8" t="n"/>
      <c r="L919" s="8" t="n"/>
      <c r="M919" s="5" t="n"/>
      <c r="N919" s="16" t="n"/>
      <c r="O919" s="5" t="n"/>
      <c r="P919" s="5" t="n"/>
      <c r="Q919" s="5" t="n"/>
      <c r="R919" s="5" t="n"/>
      <c r="S919" s="5" t="n"/>
      <c r="T919" s="5" t="n"/>
      <c r="U919" s="5" t="n"/>
      <c r="V919" s="5" t="n"/>
      <c r="W919" s="5" t="n"/>
      <c r="X919" s="5" t="n"/>
      <c r="Y919" s="5" t="n"/>
      <c r="Z919" s="5" t="n"/>
      <c r="AA919" s="5" t="n"/>
    </row>
    <row r="920" ht="15.75" customHeight="1">
      <c r="A920" s="5" t="n"/>
      <c r="B920" s="6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8" t="n"/>
      <c r="L920" s="8" t="n"/>
      <c r="M920" s="5" t="n"/>
      <c r="N920" s="16" t="n"/>
      <c r="O920" s="5" t="n"/>
      <c r="P920" s="5" t="n"/>
      <c r="Q920" s="5" t="n"/>
      <c r="R920" s="5" t="n"/>
      <c r="S920" s="5" t="n"/>
      <c r="T920" s="5" t="n"/>
      <c r="U920" s="5" t="n"/>
      <c r="V920" s="5" t="n"/>
      <c r="W920" s="5" t="n"/>
      <c r="X920" s="5" t="n"/>
      <c r="Y920" s="5" t="n"/>
      <c r="Z920" s="5" t="n"/>
      <c r="AA920" s="5" t="n"/>
    </row>
    <row r="921" ht="15.75" customHeight="1">
      <c r="A921" s="5" t="n"/>
      <c r="B921" s="6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8" t="n"/>
      <c r="L921" s="8" t="n"/>
      <c r="M921" s="5" t="n"/>
      <c r="N921" s="16" t="n"/>
      <c r="O921" s="5" t="n"/>
      <c r="P921" s="5" t="n"/>
      <c r="Q921" s="5" t="n"/>
      <c r="R921" s="5" t="n"/>
      <c r="S921" s="5" t="n"/>
      <c r="T921" s="5" t="n"/>
      <c r="U921" s="5" t="n"/>
      <c r="V921" s="5" t="n"/>
      <c r="W921" s="5" t="n"/>
      <c r="X921" s="5" t="n"/>
      <c r="Y921" s="5" t="n"/>
      <c r="Z921" s="5" t="n"/>
      <c r="AA921" s="5" t="n"/>
    </row>
    <row r="922" ht="15.75" customHeight="1">
      <c r="A922" s="5" t="n"/>
      <c r="B922" s="6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8" t="n"/>
      <c r="L922" s="8" t="n"/>
      <c r="M922" s="5" t="n"/>
      <c r="N922" s="16" t="n"/>
      <c r="O922" s="5" t="n"/>
      <c r="P922" s="5" t="n"/>
      <c r="Q922" s="5" t="n"/>
      <c r="R922" s="5" t="n"/>
      <c r="S922" s="5" t="n"/>
      <c r="T922" s="5" t="n"/>
      <c r="U922" s="5" t="n"/>
      <c r="V922" s="5" t="n"/>
      <c r="W922" s="5" t="n"/>
      <c r="X922" s="5" t="n"/>
      <c r="Y922" s="5" t="n"/>
      <c r="Z922" s="5" t="n"/>
      <c r="AA922" s="5" t="n"/>
    </row>
    <row r="923" ht="15.75" customHeight="1">
      <c r="A923" s="5" t="n"/>
      <c r="B923" s="6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8" t="n"/>
      <c r="L923" s="8" t="n"/>
      <c r="M923" s="5" t="n"/>
      <c r="N923" s="16" t="n"/>
      <c r="O923" s="5" t="n"/>
      <c r="P923" s="5" t="n"/>
      <c r="Q923" s="5" t="n"/>
      <c r="R923" s="5" t="n"/>
      <c r="S923" s="5" t="n"/>
      <c r="T923" s="5" t="n"/>
      <c r="U923" s="5" t="n"/>
      <c r="V923" s="5" t="n"/>
      <c r="W923" s="5" t="n"/>
      <c r="X923" s="5" t="n"/>
      <c r="Y923" s="5" t="n"/>
      <c r="Z923" s="5" t="n"/>
      <c r="AA923" s="5" t="n"/>
    </row>
    <row r="924" ht="15.75" customHeight="1">
      <c r="A924" s="5" t="n"/>
      <c r="B924" s="6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8" t="n"/>
      <c r="L924" s="8" t="n"/>
      <c r="M924" s="5" t="n"/>
      <c r="N924" s="16" t="n"/>
      <c r="O924" s="5" t="n"/>
      <c r="P924" s="5" t="n"/>
      <c r="Q924" s="5" t="n"/>
      <c r="R924" s="5" t="n"/>
      <c r="S924" s="5" t="n"/>
      <c r="T924" s="5" t="n"/>
      <c r="U924" s="5" t="n"/>
      <c r="V924" s="5" t="n"/>
      <c r="W924" s="5" t="n"/>
      <c r="X924" s="5" t="n"/>
      <c r="Y924" s="5" t="n"/>
      <c r="Z924" s="5" t="n"/>
      <c r="AA924" s="5" t="n"/>
    </row>
    <row r="925" ht="15.75" customHeight="1">
      <c r="A925" s="5" t="n"/>
      <c r="B925" s="6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8" t="n"/>
      <c r="L925" s="8" t="n"/>
      <c r="M925" s="5" t="n"/>
      <c r="N925" s="16" t="n"/>
      <c r="O925" s="5" t="n"/>
      <c r="P925" s="5" t="n"/>
      <c r="Q925" s="5" t="n"/>
      <c r="R925" s="5" t="n"/>
      <c r="S925" s="5" t="n"/>
      <c r="T925" s="5" t="n"/>
      <c r="U925" s="5" t="n"/>
      <c r="V925" s="5" t="n"/>
      <c r="W925" s="5" t="n"/>
      <c r="X925" s="5" t="n"/>
      <c r="Y925" s="5" t="n"/>
      <c r="Z925" s="5" t="n"/>
      <c r="AA925" s="5" t="n"/>
    </row>
    <row r="926" ht="15.75" customHeight="1">
      <c r="A926" s="5" t="n"/>
      <c r="B926" s="6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8" t="n"/>
      <c r="L926" s="8" t="n"/>
      <c r="M926" s="5" t="n"/>
      <c r="N926" s="16" t="n"/>
      <c r="O926" s="5" t="n"/>
      <c r="P926" s="5" t="n"/>
      <c r="Q926" s="5" t="n"/>
      <c r="R926" s="5" t="n"/>
      <c r="S926" s="5" t="n"/>
      <c r="T926" s="5" t="n"/>
      <c r="U926" s="5" t="n"/>
      <c r="V926" s="5" t="n"/>
      <c r="W926" s="5" t="n"/>
      <c r="X926" s="5" t="n"/>
      <c r="Y926" s="5" t="n"/>
      <c r="Z926" s="5" t="n"/>
      <c r="AA926" s="5" t="n"/>
    </row>
    <row r="927" ht="15.75" customHeight="1">
      <c r="A927" s="5" t="n"/>
      <c r="B927" s="6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8" t="n"/>
      <c r="L927" s="8" t="n"/>
      <c r="M927" s="5" t="n"/>
      <c r="N927" s="16" t="n"/>
      <c r="O927" s="5" t="n"/>
      <c r="P927" s="5" t="n"/>
      <c r="Q927" s="5" t="n"/>
      <c r="R927" s="5" t="n"/>
      <c r="S927" s="5" t="n"/>
      <c r="T927" s="5" t="n"/>
      <c r="U927" s="5" t="n"/>
      <c r="V927" s="5" t="n"/>
      <c r="W927" s="5" t="n"/>
      <c r="X927" s="5" t="n"/>
      <c r="Y927" s="5" t="n"/>
      <c r="Z927" s="5" t="n"/>
      <c r="AA927" s="5" t="n"/>
    </row>
    <row r="928" ht="15.75" customHeight="1">
      <c r="A928" s="5" t="n"/>
      <c r="B928" s="6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8" t="n"/>
      <c r="L928" s="8" t="n"/>
      <c r="M928" s="5" t="n"/>
      <c r="N928" s="16" t="n"/>
      <c r="O928" s="5" t="n"/>
      <c r="P928" s="5" t="n"/>
      <c r="Q928" s="5" t="n"/>
      <c r="R928" s="5" t="n"/>
      <c r="S928" s="5" t="n"/>
      <c r="T928" s="5" t="n"/>
      <c r="U928" s="5" t="n"/>
      <c r="V928" s="5" t="n"/>
      <c r="W928" s="5" t="n"/>
      <c r="X928" s="5" t="n"/>
      <c r="Y928" s="5" t="n"/>
      <c r="Z928" s="5" t="n"/>
      <c r="AA928" s="5" t="n"/>
    </row>
    <row r="929" ht="15.75" customHeight="1">
      <c r="A929" s="5" t="n"/>
      <c r="B929" s="6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8" t="n"/>
      <c r="L929" s="8" t="n"/>
      <c r="M929" s="5" t="n"/>
      <c r="N929" s="16" t="n"/>
      <c r="O929" s="5" t="n"/>
      <c r="P929" s="5" t="n"/>
      <c r="Q929" s="5" t="n"/>
      <c r="R929" s="5" t="n"/>
      <c r="S929" s="5" t="n"/>
      <c r="T929" s="5" t="n"/>
      <c r="U929" s="5" t="n"/>
      <c r="V929" s="5" t="n"/>
      <c r="W929" s="5" t="n"/>
      <c r="X929" s="5" t="n"/>
      <c r="Y929" s="5" t="n"/>
      <c r="Z929" s="5" t="n"/>
      <c r="AA929" s="5" t="n"/>
    </row>
    <row r="930" ht="15.75" customHeight="1">
      <c r="A930" s="5" t="n"/>
      <c r="B930" s="6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8" t="n"/>
      <c r="L930" s="8" t="n"/>
      <c r="M930" s="5" t="n"/>
      <c r="N930" s="16" t="n"/>
      <c r="O930" s="5" t="n"/>
      <c r="P930" s="5" t="n"/>
      <c r="Q930" s="5" t="n"/>
      <c r="R930" s="5" t="n"/>
      <c r="S930" s="5" t="n"/>
      <c r="T930" s="5" t="n"/>
      <c r="U930" s="5" t="n"/>
      <c r="V930" s="5" t="n"/>
      <c r="W930" s="5" t="n"/>
      <c r="X930" s="5" t="n"/>
      <c r="Y930" s="5" t="n"/>
      <c r="Z930" s="5" t="n"/>
      <c r="AA930" s="5" t="n"/>
    </row>
    <row r="931" ht="15.75" customHeight="1">
      <c r="A931" s="5" t="n"/>
      <c r="B931" s="6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8" t="n"/>
      <c r="L931" s="8" t="n"/>
      <c r="M931" s="5" t="n"/>
      <c r="N931" s="16" t="n"/>
      <c r="O931" s="5" t="n"/>
      <c r="P931" s="5" t="n"/>
      <c r="Q931" s="5" t="n"/>
      <c r="R931" s="5" t="n"/>
      <c r="S931" s="5" t="n"/>
      <c r="T931" s="5" t="n"/>
      <c r="U931" s="5" t="n"/>
      <c r="V931" s="5" t="n"/>
      <c r="W931" s="5" t="n"/>
      <c r="X931" s="5" t="n"/>
      <c r="Y931" s="5" t="n"/>
      <c r="Z931" s="5" t="n"/>
      <c r="AA931" s="5" t="n"/>
    </row>
    <row r="932" ht="15.75" customHeight="1">
      <c r="A932" s="5" t="n"/>
      <c r="B932" s="6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8" t="n"/>
      <c r="L932" s="8" t="n"/>
      <c r="M932" s="5" t="n"/>
      <c r="N932" s="16" t="n"/>
      <c r="O932" s="5" t="n"/>
      <c r="P932" s="5" t="n"/>
      <c r="Q932" s="5" t="n"/>
      <c r="R932" s="5" t="n"/>
      <c r="S932" s="5" t="n"/>
      <c r="T932" s="5" t="n"/>
      <c r="U932" s="5" t="n"/>
      <c r="V932" s="5" t="n"/>
      <c r="W932" s="5" t="n"/>
      <c r="X932" s="5" t="n"/>
      <c r="Y932" s="5" t="n"/>
      <c r="Z932" s="5" t="n"/>
      <c r="AA932" s="5" t="n"/>
    </row>
    <row r="933" ht="15.75" customHeight="1">
      <c r="A933" s="5" t="n"/>
      <c r="B933" s="6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8" t="n"/>
      <c r="L933" s="8" t="n"/>
      <c r="M933" s="5" t="n"/>
      <c r="N933" s="16" t="n"/>
      <c r="O933" s="5" t="n"/>
      <c r="P933" s="5" t="n"/>
      <c r="Q933" s="5" t="n"/>
      <c r="R933" s="5" t="n"/>
      <c r="S933" s="5" t="n"/>
      <c r="T933" s="5" t="n"/>
      <c r="U933" s="5" t="n"/>
      <c r="V933" s="5" t="n"/>
      <c r="W933" s="5" t="n"/>
      <c r="X933" s="5" t="n"/>
      <c r="Y933" s="5" t="n"/>
      <c r="Z933" s="5" t="n"/>
      <c r="AA933" s="5" t="n"/>
    </row>
    <row r="934" ht="15.75" customHeight="1">
      <c r="A934" s="5" t="n"/>
      <c r="B934" s="6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8" t="n"/>
      <c r="L934" s="8" t="n"/>
      <c r="M934" s="5" t="n"/>
      <c r="N934" s="16" t="n"/>
      <c r="O934" s="5" t="n"/>
      <c r="P934" s="5" t="n"/>
      <c r="Q934" s="5" t="n"/>
      <c r="R934" s="5" t="n"/>
      <c r="S934" s="5" t="n"/>
      <c r="T934" s="5" t="n"/>
      <c r="U934" s="5" t="n"/>
      <c r="V934" s="5" t="n"/>
      <c r="W934" s="5" t="n"/>
      <c r="X934" s="5" t="n"/>
      <c r="Y934" s="5" t="n"/>
      <c r="Z934" s="5" t="n"/>
      <c r="AA934" s="5" t="n"/>
    </row>
    <row r="935" ht="15.75" customHeight="1">
      <c r="A935" s="5" t="n"/>
      <c r="B935" s="6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8" t="n"/>
      <c r="L935" s="8" t="n"/>
      <c r="M935" s="5" t="n"/>
      <c r="N935" s="16" t="n"/>
      <c r="O935" s="5" t="n"/>
      <c r="P935" s="5" t="n"/>
      <c r="Q935" s="5" t="n"/>
      <c r="R935" s="5" t="n"/>
      <c r="S935" s="5" t="n"/>
      <c r="T935" s="5" t="n"/>
      <c r="U935" s="5" t="n"/>
      <c r="V935" s="5" t="n"/>
      <c r="W935" s="5" t="n"/>
      <c r="X935" s="5" t="n"/>
      <c r="Y935" s="5" t="n"/>
      <c r="Z935" s="5" t="n"/>
      <c r="AA935" s="5" t="n"/>
    </row>
    <row r="936" ht="15.75" customHeight="1">
      <c r="A936" s="5" t="n"/>
      <c r="B936" s="6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8" t="n"/>
      <c r="L936" s="8" t="n"/>
      <c r="M936" s="5" t="n"/>
      <c r="N936" s="16" t="n"/>
      <c r="O936" s="5" t="n"/>
      <c r="P936" s="5" t="n"/>
      <c r="Q936" s="5" t="n"/>
      <c r="R936" s="5" t="n"/>
      <c r="S936" s="5" t="n"/>
      <c r="T936" s="5" t="n"/>
      <c r="U936" s="5" t="n"/>
      <c r="V936" s="5" t="n"/>
      <c r="W936" s="5" t="n"/>
      <c r="X936" s="5" t="n"/>
      <c r="Y936" s="5" t="n"/>
      <c r="Z936" s="5" t="n"/>
      <c r="AA936" s="5" t="n"/>
    </row>
    <row r="937" ht="15.75" customHeight="1">
      <c r="A937" s="5" t="n"/>
      <c r="B937" s="6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8" t="n"/>
      <c r="L937" s="8" t="n"/>
      <c r="M937" s="5" t="n"/>
      <c r="N937" s="16" t="n"/>
      <c r="O937" s="5" t="n"/>
      <c r="P937" s="5" t="n"/>
      <c r="Q937" s="5" t="n"/>
      <c r="R937" s="5" t="n"/>
      <c r="S937" s="5" t="n"/>
      <c r="T937" s="5" t="n"/>
      <c r="U937" s="5" t="n"/>
      <c r="V937" s="5" t="n"/>
      <c r="W937" s="5" t="n"/>
      <c r="X937" s="5" t="n"/>
      <c r="Y937" s="5" t="n"/>
      <c r="Z937" s="5" t="n"/>
      <c r="AA937" s="5" t="n"/>
    </row>
    <row r="938" ht="15.75" customHeight="1">
      <c r="A938" s="5" t="n"/>
      <c r="B938" s="6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8" t="n"/>
      <c r="L938" s="8" t="n"/>
      <c r="M938" s="5" t="n"/>
      <c r="N938" s="16" t="n"/>
      <c r="O938" s="5" t="n"/>
      <c r="P938" s="5" t="n"/>
      <c r="Q938" s="5" t="n"/>
      <c r="R938" s="5" t="n"/>
      <c r="S938" s="5" t="n"/>
      <c r="T938" s="5" t="n"/>
      <c r="U938" s="5" t="n"/>
      <c r="V938" s="5" t="n"/>
      <c r="W938" s="5" t="n"/>
      <c r="X938" s="5" t="n"/>
      <c r="Y938" s="5" t="n"/>
      <c r="Z938" s="5" t="n"/>
      <c r="AA938" s="5" t="n"/>
    </row>
    <row r="939" ht="15.75" customHeight="1">
      <c r="A939" s="5" t="n"/>
      <c r="B939" s="6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8" t="n"/>
      <c r="L939" s="8" t="n"/>
      <c r="M939" s="5" t="n"/>
      <c r="N939" s="16" t="n"/>
      <c r="O939" s="5" t="n"/>
      <c r="P939" s="5" t="n"/>
      <c r="Q939" s="5" t="n"/>
      <c r="R939" s="5" t="n"/>
      <c r="S939" s="5" t="n"/>
      <c r="T939" s="5" t="n"/>
      <c r="U939" s="5" t="n"/>
      <c r="V939" s="5" t="n"/>
      <c r="W939" s="5" t="n"/>
      <c r="X939" s="5" t="n"/>
      <c r="Y939" s="5" t="n"/>
      <c r="Z939" s="5" t="n"/>
      <c r="AA939" s="5" t="n"/>
    </row>
    <row r="940" ht="15.75" customHeight="1">
      <c r="A940" s="5" t="n"/>
      <c r="B940" s="6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8" t="n"/>
      <c r="L940" s="8" t="n"/>
      <c r="M940" s="5" t="n"/>
      <c r="N940" s="16" t="n"/>
      <c r="O940" s="5" t="n"/>
      <c r="P940" s="5" t="n"/>
      <c r="Q940" s="5" t="n"/>
      <c r="R940" s="5" t="n"/>
      <c r="S940" s="5" t="n"/>
      <c r="T940" s="5" t="n"/>
      <c r="U940" s="5" t="n"/>
      <c r="V940" s="5" t="n"/>
      <c r="W940" s="5" t="n"/>
      <c r="X940" s="5" t="n"/>
      <c r="Y940" s="5" t="n"/>
      <c r="Z940" s="5" t="n"/>
      <c r="AA940" s="5" t="n"/>
    </row>
    <row r="941" ht="15.75" customHeight="1">
      <c r="A941" s="5" t="n"/>
      <c r="B941" s="6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8" t="n"/>
      <c r="L941" s="8" t="n"/>
      <c r="M941" s="5" t="n"/>
      <c r="N941" s="16" t="n"/>
      <c r="O941" s="5" t="n"/>
      <c r="P941" s="5" t="n"/>
      <c r="Q941" s="5" t="n"/>
      <c r="R941" s="5" t="n"/>
      <c r="S941" s="5" t="n"/>
      <c r="T941" s="5" t="n"/>
      <c r="U941" s="5" t="n"/>
      <c r="V941" s="5" t="n"/>
      <c r="W941" s="5" t="n"/>
      <c r="X941" s="5" t="n"/>
      <c r="Y941" s="5" t="n"/>
      <c r="Z941" s="5" t="n"/>
      <c r="AA941" s="5" t="n"/>
    </row>
    <row r="942" ht="15.75" customHeight="1">
      <c r="A942" s="5" t="n"/>
      <c r="B942" s="6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8" t="n"/>
      <c r="L942" s="8" t="n"/>
      <c r="M942" s="5" t="n"/>
      <c r="N942" s="16" t="n"/>
      <c r="O942" s="5" t="n"/>
      <c r="P942" s="5" t="n"/>
      <c r="Q942" s="5" t="n"/>
      <c r="R942" s="5" t="n"/>
      <c r="S942" s="5" t="n"/>
      <c r="T942" s="5" t="n"/>
      <c r="U942" s="5" t="n"/>
      <c r="V942" s="5" t="n"/>
      <c r="W942" s="5" t="n"/>
      <c r="X942" s="5" t="n"/>
      <c r="Y942" s="5" t="n"/>
      <c r="Z942" s="5" t="n"/>
      <c r="AA942" s="5" t="n"/>
    </row>
    <row r="943" ht="15.75" customHeight="1">
      <c r="A943" s="5" t="n"/>
      <c r="B943" s="6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8" t="n"/>
      <c r="L943" s="8" t="n"/>
      <c r="M943" s="5" t="n"/>
      <c r="N943" s="16" t="n"/>
      <c r="O943" s="5" t="n"/>
      <c r="P943" s="5" t="n"/>
      <c r="Q943" s="5" t="n"/>
      <c r="R943" s="5" t="n"/>
      <c r="S943" s="5" t="n"/>
      <c r="T943" s="5" t="n"/>
      <c r="U943" s="5" t="n"/>
      <c r="V943" s="5" t="n"/>
      <c r="W943" s="5" t="n"/>
      <c r="X943" s="5" t="n"/>
      <c r="Y943" s="5" t="n"/>
      <c r="Z943" s="5" t="n"/>
      <c r="AA943" s="5" t="n"/>
    </row>
    <row r="944" ht="15.75" customHeight="1">
      <c r="A944" s="5" t="n"/>
      <c r="B944" s="6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8" t="n"/>
      <c r="L944" s="8" t="n"/>
      <c r="M944" s="5" t="n"/>
      <c r="N944" s="16" t="n"/>
      <c r="O944" s="5" t="n"/>
      <c r="P944" s="5" t="n"/>
      <c r="Q944" s="5" t="n"/>
      <c r="R944" s="5" t="n"/>
      <c r="S944" s="5" t="n"/>
      <c r="T944" s="5" t="n"/>
      <c r="U944" s="5" t="n"/>
      <c r="V944" s="5" t="n"/>
      <c r="W944" s="5" t="n"/>
      <c r="X944" s="5" t="n"/>
      <c r="Y944" s="5" t="n"/>
      <c r="Z944" s="5" t="n"/>
      <c r="AA944" s="5" t="n"/>
    </row>
    <row r="945" ht="15.75" customHeight="1">
      <c r="A945" s="5" t="n"/>
      <c r="B945" s="6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8" t="n"/>
      <c r="L945" s="8" t="n"/>
      <c r="M945" s="5" t="n"/>
      <c r="N945" s="16" t="n"/>
      <c r="O945" s="5" t="n"/>
      <c r="P945" s="5" t="n"/>
      <c r="Q945" s="5" t="n"/>
      <c r="R945" s="5" t="n"/>
      <c r="S945" s="5" t="n"/>
      <c r="T945" s="5" t="n"/>
      <c r="U945" s="5" t="n"/>
      <c r="V945" s="5" t="n"/>
      <c r="W945" s="5" t="n"/>
      <c r="X945" s="5" t="n"/>
      <c r="Y945" s="5" t="n"/>
      <c r="Z945" s="5" t="n"/>
      <c r="AA945" s="5" t="n"/>
    </row>
    <row r="946" ht="15.75" customHeight="1">
      <c r="A946" s="5" t="n"/>
      <c r="B946" s="6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8" t="n"/>
      <c r="L946" s="8" t="n"/>
      <c r="M946" s="5" t="n"/>
      <c r="N946" s="16" t="n"/>
      <c r="O946" s="5" t="n"/>
      <c r="P946" s="5" t="n"/>
      <c r="Q946" s="5" t="n"/>
      <c r="R946" s="5" t="n"/>
      <c r="S946" s="5" t="n"/>
      <c r="T946" s="5" t="n"/>
      <c r="U946" s="5" t="n"/>
      <c r="V946" s="5" t="n"/>
      <c r="W946" s="5" t="n"/>
      <c r="X946" s="5" t="n"/>
      <c r="Y946" s="5" t="n"/>
      <c r="Z946" s="5" t="n"/>
      <c r="AA946" s="5" t="n"/>
    </row>
    <row r="947" ht="15.75" customHeight="1">
      <c r="A947" s="5" t="n"/>
      <c r="B947" s="6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8" t="n"/>
      <c r="L947" s="8" t="n"/>
      <c r="M947" s="5" t="n"/>
      <c r="N947" s="16" t="n"/>
      <c r="O947" s="5" t="n"/>
      <c r="P947" s="5" t="n"/>
      <c r="Q947" s="5" t="n"/>
      <c r="R947" s="5" t="n"/>
      <c r="S947" s="5" t="n"/>
      <c r="T947" s="5" t="n"/>
      <c r="U947" s="5" t="n"/>
      <c r="V947" s="5" t="n"/>
      <c r="W947" s="5" t="n"/>
      <c r="X947" s="5" t="n"/>
      <c r="Y947" s="5" t="n"/>
      <c r="Z947" s="5" t="n"/>
      <c r="AA947" s="5" t="n"/>
    </row>
    <row r="948" ht="15.75" customHeight="1">
      <c r="A948" s="5" t="n"/>
      <c r="B948" s="6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8" t="n"/>
      <c r="L948" s="8" t="n"/>
      <c r="M948" s="5" t="n"/>
      <c r="N948" s="16" t="n"/>
      <c r="O948" s="5" t="n"/>
      <c r="P948" s="5" t="n"/>
      <c r="Q948" s="5" t="n"/>
      <c r="R948" s="5" t="n"/>
      <c r="S948" s="5" t="n"/>
      <c r="T948" s="5" t="n"/>
      <c r="U948" s="5" t="n"/>
      <c r="V948" s="5" t="n"/>
      <c r="W948" s="5" t="n"/>
      <c r="X948" s="5" t="n"/>
      <c r="Y948" s="5" t="n"/>
      <c r="Z948" s="5" t="n"/>
      <c r="AA948" s="5" t="n"/>
    </row>
    <row r="949" ht="15.75" customHeight="1">
      <c r="A949" s="5" t="n"/>
      <c r="B949" s="6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8" t="n"/>
      <c r="L949" s="8" t="n"/>
      <c r="M949" s="5" t="n"/>
      <c r="N949" s="16" t="n"/>
      <c r="O949" s="5" t="n"/>
      <c r="P949" s="5" t="n"/>
      <c r="Q949" s="5" t="n"/>
      <c r="R949" s="5" t="n"/>
      <c r="S949" s="5" t="n"/>
      <c r="T949" s="5" t="n"/>
      <c r="U949" s="5" t="n"/>
      <c r="V949" s="5" t="n"/>
      <c r="W949" s="5" t="n"/>
      <c r="X949" s="5" t="n"/>
      <c r="Y949" s="5" t="n"/>
      <c r="Z949" s="5" t="n"/>
      <c r="AA949" s="5" t="n"/>
    </row>
    <row r="950" ht="15.75" customHeight="1">
      <c r="A950" s="5" t="n"/>
      <c r="B950" s="6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8" t="n"/>
      <c r="L950" s="8" t="n"/>
      <c r="M950" s="5" t="n"/>
      <c r="N950" s="16" t="n"/>
      <c r="O950" s="5" t="n"/>
      <c r="P950" s="5" t="n"/>
      <c r="Q950" s="5" t="n"/>
      <c r="R950" s="5" t="n"/>
      <c r="S950" s="5" t="n"/>
      <c r="T950" s="5" t="n"/>
      <c r="U950" s="5" t="n"/>
      <c r="V950" s="5" t="n"/>
      <c r="W950" s="5" t="n"/>
      <c r="X950" s="5" t="n"/>
      <c r="Y950" s="5" t="n"/>
      <c r="Z950" s="5" t="n"/>
      <c r="AA950" s="5" t="n"/>
    </row>
    <row r="951" ht="15.75" customHeight="1">
      <c r="A951" s="5" t="n"/>
      <c r="B951" s="6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8" t="n"/>
      <c r="L951" s="8" t="n"/>
      <c r="M951" s="5" t="n"/>
      <c r="N951" s="16" t="n"/>
      <c r="O951" s="5" t="n"/>
      <c r="P951" s="5" t="n"/>
      <c r="Q951" s="5" t="n"/>
      <c r="R951" s="5" t="n"/>
      <c r="S951" s="5" t="n"/>
      <c r="T951" s="5" t="n"/>
      <c r="U951" s="5" t="n"/>
      <c r="V951" s="5" t="n"/>
      <c r="W951" s="5" t="n"/>
      <c r="X951" s="5" t="n"/>
      <c r="Y951" s="5" t="n"/>
      <c r="Z951" s="5" t="n"/>
      <c r="AA951" s="5" t="n"/>
    </row>
    <row r="952" ht="15.75" customHeight="1">
      <c r="A952" s="5" t="n"/>
      <c r="B952" s="6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8" t="n"/>
      <c r="L952" s="8" t="n"/>
      <c r="M952" s="5" t="n"/>
      <c r="N952" s="16" t="n"/>
      <c r="O952" s="5" t="n"/>
      <c r="P952" s="5" t="n"/>
      <c r="Q952" s="5" t="n"/>
      <c r="R952" s="5" t="n"/>
      <c r="S952" s="5" t="n"/>
      <c r="T952" s="5" t="n"/>
      <c r="U952" s="5" t="n"/>
      <c r="V952" s="5" t="n"/>
      <c r="W952" s="5" t="n"/>
      <c r="X952" s="5" t="n"/>
      <c r="Y952" s="5" t="n"/>
      <c r="Z952" s="5" t="n"/>
      <c r="AA952" s="5" t="n"/>
    </row>
    <row r="953" ht="15.75" customHeight="1">
      <c r="A953" s="5" t="n"/>
      <c r="B953" s="6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8" t="n"/>
      <c r="L953" s="8" t="n"/>
      <c r="M953" s="5" t="n"/>
      <c r="N953" s="16" t="n"/>
      <c r="O953" s="5" t="n"/>
      <c r="P953" s="5" t="n"/>
      <c r="Q953" s="5" t="n"/>
      <c r="R953" s="5" t="n"/>
      <c r="S953" s="5" t="n"/>
      <c r="T953" s="5" t="n"/>
      <c r="U953" s="5" t="n"/>
      <c r="V953" s="5" t="n"/>
      <c r="W953" s="5" t="n"/>
      <c r="X953" s="5" t="n"/>
      <c r="Y953" s="5" t="n"/>
      <c r="Z953" s="5" t="n"/>
      <c r="AA953" s="5" t="n"/>
    </row>
    <row r="954" ht="15.75" customHeight="1">
      <c r="A954" s="5" t="n"/>
      <c r="B954" s="6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8" t="n"/>
      <c r="L954" s="8" t="n"/>
      <c r="M954" s="5" t="n"/>
      <c r="N954" s="16" t="n"/>
      <c r="O954" s="5" t="n"/>
      <c r="P954" s="5" t="n"/>
      <c r="Q954" s="5" t="n"/>
      <c r="R954" s="5" t="n"/>
      <c r="S954" s="5" t="n"/>
      <c r="T954" s="5" t="n"/>
      <c r="U954" s="5" t="n"/>
      <c r="V954" s="5" t="n"/>
      <c r="W954" s="5" t="n"/>
      <c r="X954" s="5" t="n"/>
      <c r="Y954" s="5" t="n"/>
      <c r="Z954" s="5" t="n"/>
      <c r="AA954" s="5" t="n"/>
    </row>
    <row r="955" ht="15.75" customHeight="1">
      <c r="A955" s="5" t="n"/>
      <c r="B955" s="6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8" t="n"/>
      <c r="L955" s="8" t="n"/>
      <c r="M955" s="5" t="n"/>
      <c r="N955" s="16" t="n"/>
      <c r="O955" s="5" t="n"/>
      <c r="P955" s="5" t="n"/>
      <c r="Q955" s="5" t="n"/>
      <c r="R955" s="5" t="n"/>
      <c r="S955" s="5" t="n"/>
      <c r="T955" s="5" t="n"/>
      <c r="U955" s="5" t="n"/>
      <c r="V955" s="5" t="n"/>
      <c r="W955" s="5" t="n"/>
      <c r="X955" s="5" t="n"/>
      <c r="Y955" s="5" t="n"/>
      <c r="Z955" s="5" t="n"/>
      <c r="AA955" s="5" t="n"/>
    </row>
    <row r="956" ht="15.75" customHeight="1">
      <c r="A956" s="5" t="n"/>
      <c r="B956" s="6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8" t="n"/>
      <c r="L956" s="8" t="n"/>
      <c r="M956" s="5" t="n"/>
      <c r="N956" s="16" t="n"/>
      <c r="O956" s="5" t="n"/>
      <c r="P956" s="5" t="n"/>
      <c r="Q956" s="5" t="n"/>
      <c r="R956" s="5" t="n"/>
      <c r="S956" s="5" t="n"/>
      <c r="T956" s="5" t="n"/>
      <c r="U956" s="5" t="n"/>
      <c r="V956" s="5" t="n"/>
      <c r="W956" s="5" t="n"/>
      <c r="X956" s="5" t="n"/>
      <c r="Y956" s="5" t="n"/>
      <c r="Z956" s="5" t="n"/>
      <c r="AA956" s="5" t="n"/>
    </row>
    <row r="957" ht="15.75" customHeight="1">
      <c r="A957" s="5" t="n"/>
      <c r="B957" s="6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8" t="n"/>
      <c r="L957" s="8" t="n"/>
      <c r="M957" s="5" t="n"/>
      <c r="N957" s="16" t="n"/>
      <c r="O957" s="5" t="n"/>
      <c r="P957" s="5" t="n"/>
      <c r="Q957" s="5" t="n"/>
      <c r="R957" s="5" t="n"/>
      <c r="S957" s="5" t="n"/>
      <c r="T957" s="5" t="n"/>
      <c r="U957" s="5" t="n"/>
      <c r="V957" s="5" t="n"/>
      <c r="W957" s="5" t="n"/>
      <c r="X957" s="5" t="n"/>
      <c r="Y957" s="5" t="n"/>
      <c r="Z957" s="5" t="n"/>
      <c r="AA957" s="5" t="n"/>
    </row>
    <row r="958" ht="15.75" customHeight="1">
      <c r="A958" s="5" t="n"/>
      <c r="B958" s="6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8" t="n"/>
      <c r="L958" s="8" t="n"/>
      <c r="M958" s="5" t="n"/>
      <c r="N958" s="16" t="n"/>
      <c r="O958" s="5" t="n"/>
      <c r="P958" s="5" t="n"/>
      <c r="Q958" s="5" t="n"/>
      <c r="R958" s="5" t="n"/>
      <c r="S958" s="5" t="n"/>
      <c r="T958" s="5" t="n"/>
      <c r="U958" s="5" t="n"/>
      <c r="V958" s="5" t="n"/>
      <c r="W958" s="5" t="n"/>
      <c r="X958" s="5" t="n"/>
      <c r="Y958" s="5" t="n"/>
      <c r="Z958" s="5" t="n"/>
      <c r="AA958" s="5" t="n"/>
    </row>
    <row r="959" ht="15.75" customHeight="1">
      <c r="A959" s="5" t="n"/>
      <c r="B959" s="6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8" t="n"/>
      <c r="L959" s="8" t="n"/>
      <c r="M959" s="5" t="n"/>
      <c r="N959" s="16" t="n"/>
      <c r="O959" s="5" t="n"/>
      <c r="P959" s="5" t="n"/>
      <c r="Q959" s="5" t="n"/>
      <c r="R959" s="5" t="n"/>
      <c r="S959" s="5" t="n"/>
      <c r="T959" s="5" t="n"/>
      <c r="U959" s="5" t="n"/>
      <c r="V959" s="5" t="n"/>
      <c r="W959" s="5" t="n"/>
      <c r="X959" s="5" t="n"/>
      <c r="Y959" s="5" t="n"/>
      <c r="Z959" s="5" t="n"/>
      <c r="AA959" s="5" t="n"/>
    </row>
    <row r="960" ht="15.75" customHeight="1">
      <c r="A960" s="5" t="n"/>
      <c r="B960" s="6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8" t="n"/>
      <c r="L960" s="8" t="n"/>
      <c r="M960" s="5" t="n"/>
      <c r="N960" s="16" t="n"/>
      <c r="O960" s="5" t="n"/>
      <c r="P960" s="5" t="n"/>
      <c r="Q960" s="5" t="n"/>
      <c r="R960" s="5" t="n"/>
      <c r="S960" s="5" t="n"/>
      <c r="T960" s="5" t="n"/>
      <c r="U960" s="5" t="n"/>
      <c r="V960" s="5" t="n"/>
      <c r="W960" s="5" t="n"/>
      <c r="X960" s="5" t="n"/>
      <c r="Y960" s="5" t="n"/>
      <c r="Z960" s="5" t="n"/>
      <c r="AA960" s="5" t="n"/>
    </row>
    <row r="961" ht="15.75" customHeight="1">
      <c r="A961" s="5" t="n"/>
      <c r="B961" s="6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8" t="n"/>
      <c r="L961" s="8" t="n"/>
      <c r="M961" s="5" t="n"/>
      <c r="N961" s="16" t="n"/>
      <c r="O961" s="5" t="n"/>
      <c r="P961" s="5" t="n"/>
      <c r="Q961" s="5" t="n"/>
      <c r="R961" s="5" t="n"/>
      <c r="S961" s="5" t="n"/>
      <c r="T961" s="5" t="n"/>
      <c r="U961" s="5" t="n"/>
      <c r="V961" s="5" t="n"/>
      <c r="W961" s="5" t="n"/>
      <c r="X961" s="5" t="n"/>
      <c r="Y961" s="5" t="n"/>
      <c r="Z961" s="5" t="n"/>
      <c r="AA961" s="5" t="n"/>
    </row>
    <row r="962" ht="15.75" customHeight="1">
      <c r="A962" s="5" t="n"/>
      <c r="B962" s="6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8" t="n"/>
      <c r="L962" s="8" t="n"/>
      <c r="M962" s="5" t="n"/>
      <c r="N962" s="16" t="n"/>
      <c r="O962" s="5" t="n"/>
      <c r="P962" s="5" t="n"/>
      <c r="Q962" s="5" t="n"/>
      <c r="R962" s="5" t="n"/>
      <c r="S962" s="5" t="n"/>
      <c r="T962" s="5" t="n"/>
      <c r="U962" s="5" t="n"/>
      <c r="V962" s="5" t="n"/>
      <c r="W962" s="5" t="n"/>
      <c r="X962" s="5" t="n"/>
      <c r="Y962" s="5" t="n"/>
      <c r="Z962" s="5" t="n"/>
      <c r="AA962" s="5" t="n"/>
    </row>
    <row r="963" ht="15.75" customHeight="1">
      <c r="A963" s="5" t="n"/>
      <c r="B963" s="6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8" t="n"/>
      <c r="L963" s="8" t="n"/>
      <c r="M963" s="5" t="n"/>
      <c r="N963" s="16" t="n"/>
      <c r="O963" s="5" t="n"/>
      <c r="P963" s="5" t="n"/>
      <c r="Q963" s="5" t="n"/>
      <c r="R963" s="5" t="n"/>
      <c r="S963" s="5" t="n"/>
      <c r="T963" s="5" t="n"/>
      <c r="U963" s="5" t="n"/>
      <c r="V963" s="5" t="n"/>
      <c r="W963" s="5" t="n"/>
      <c r="X963" s="5" t="n"/>
      <c r="Y963" s="5" t="n"/>
      <c r="Z963" s="5" t="n"/>
      <c r="AA963" s="5" t="n"/>
    </row>
    <row r="964" ht="15.75" customHeight="1">
      <c r="A964" s="5" t="n"/>
      <c r="B964" s="6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8" t="n"/>
      <c r="L964" s="8" t="n"/>
      <c r="M964" s="5" t="n"/>
      <c r="N964" s="16" t="n"/>
      <c r="O964" s="5" t="n"/>
      <c r="P964" s="5" t="n"/>
      <c r="Q964" s="5" t="n"/>
      <c r="R964" s="5" t="n"/>
      <c r="S964" s="5" t="n"/>
      <c r="T964" s="5" t="n"/>
      <c r="U964" s="5" t="n"/>
      <c r="V964" s="5" t="n"/>
      <c r="W964" s="5" t="n"/>
      <c r="X964" s="5" t="n"/>
      <c r="Y964" s="5" t="n"/>
      <c r="Z964" s="5" t="n"/>
      <c r="AA964" s="5" t="n"/>
    </row>
    <row r="965" ht="15.75" customHeight="1">
      <c r="A965" s="5" t="n"/>
      <c r="B965" s="6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8" t="n"/>
      <c r="L965" s="8" t="n"/>
      <c r="M965" s="5" t="n"/>
      <c r="N965" s="16" t="n"/>
      <c r="O965" s="5" t="n"/>
      <c r="P965" s="5" t="n"/>
      <c r="Q965" s="5" t="n"/>
      <c r="R965" s="5" t="n"/>
      <c r="S965" s="5" t="n"/>
      <c r="T965" s="5" t="n"/>
      <c r="U965" s="5" t="n"/>
      <c r="V965" s="5" t="n"/>
      <c r="W965" s="5" t="n"/>
      <c r="X965" s="5" t="n"/>
      <c r="Y965" s="5" t="n"/>
      <c r="Z965" s="5" t="n"/>
      <c r="AA965" s="5" t="n"/>
    </row>
    <row r="966" ht="15.75" customHeight="1">
      <c r="A966" s="5" t="n"/>
      <c r="B966" s="6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8" t="n"/>
      <c r="L966" s="8" t="n"/>
      <c r="M966" s="5" t="n"/>
      <c r="N966" s="16" t="n"/>
      <c r="O966" s="5" t="n"/>
      <c r="P966" s="5" t="n"/>
      <c r="Q966" s="5" t="n"/>
      <c r="R966" s="5" t="n"/>
      <c r="S966" s="5" t="n"/>
      <c r="T966" s="5" t="n"/>
      <c r="U966" s="5" t="n"/>
      <c r="V966" s="5" t="n"/>
      <c r="W966" s="5" t="n"/>
      <c r="X966" s="5" t="n"/>
      <c r="Y966" s="5" t="n"/>
      <c r="Z966" s="5" t="n"/>
      <c r="AA966" s="5" t="n"/>
    </row>
    <row r="967" ht="15.75" customHeight="1">
      <c r="A967" s="5" t="n"/>
      <c r="B967" s="6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8" t="n"/>
      <c r="L967" s="8" t="n"/>
      <c r="M967" s="5" t="n"/>
      <c r="N967" s="16" t="n"/>
      <c r="O967" s="5" t="n"/>
      <c r="P967" s="5" t="n"/>
      <c r="Q967" s="5" t="n"/>
      <c r="R967" s="5" t="n"/>
      <c r="S967" s="5" t="n"/>
      <c r="T967" s="5" t="n"/>
      <c r="U967" s="5" t="n"/>
      <c r="V967" s="5" t="n"/>
      <c r="W967" s="5" t="n"/>
      <c r="X967" s="5" t="n"/>
      <c r="Y967" s="5" t="n"/>
      <c r="Z967" s="5" t="n"/>
      <c r="AA967" s="5" t="n"/>
    </row>
    <row r="968" ht="15.75" customHeight="1">
      <c r="A968" s="5" t="n"/>
      <c r="B968" s="6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8" t="n"/>
      <c r="L968" s="8" t="n"/>
      <c r="M968" s="5" t="n"/>
      <c r="N968" s="16" t="n"/>
      <c r="O968" s="5" t="n"/>
      <c r="P968" s="5" t="n"/>
      <c r="Q968" s="5" t="n"/>
      <c r="R968" s="5" t="n"/>
      <c r="S968" s="5" t="n"/>
      <c r="T968" s="5" t="n"/>
      <c r="U968" s="5" t="n"/>
      <c r="V968" s="5" t="n"/>
      <c r="W968" s="5" t="n"/>
      <c r="X968" s="5" t="n"/>
      <c r="Y968" s="5" t="n"/>
      <c r="Z968" s="5" t="n"/>
      <c r="AA968" s="5" t="n"/>
    </row>
    <row r="969" ht="15.75" customHeight="1">
      <c r="A969" s="5" t="n"/>
      <c r="B969" s="6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8" t="n"/>
      <c r="L969" s="8" t="n"/>
      <c r="M969" s="5" t="n"/>
      <c r="N969" s="16" t="n"/>
      <c r="O969" s="5" t="n"/>
      <c r="P969" s="5" t="n"/>
      <c r="Q969" s="5" t="n"/>
      <c r="R969" s="5" t="n"/>
      <c r="S969" s="5" t="n"/>
      <c r="T969" s="5" t="n"/>
      <c r="U969" s="5" t="n"/>
      <c r="V969" s="5" t="n"/>
      <c r="W969" s="5" t="n"/>
      <c r="X969" s="5" t="n"/>
      <c r="Y969" s="5" t="n"/>
      <c r="Z969" s="5" t="n"/>
      <c r="AA969" s="5" t="n"/>
    </row>
    <row r="970" ht="15.75" customHeight="1">
      <c r="A970" s="5" t="n"/>
      <c r="B970" s="6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8" t="n"/>
      <c r="L970" s="8" t="n"/>
      <c r="M970" s="5" t="n"/>
      <c r="N970" s="16" t="n"/>
      <c r="O970" s="5" t="n"/>
      <c r="P970" s="5" t="n"/>
      <c r="Q970" s="5" t="n"/>
      <c r="R970" s="5" t="n"/>
      <c r="S970" s="5" t="n"/>
      <c r="T970" s="5" t="n"/>
      <c r="U970" s="5" t="n"/>
      <c r="V970" s="5" t="n"/>
      <c r="W970" s="5" t="n"/>
      <c r="X970" s="5" t="n"/>
      <c r="Y970" s="5" t="n"/>
      <c r="Z970" s="5" t="n"/>
      <c r="AA970" s="5" t="n"/>
    </row>
    <row r="971" ht="15.75" customHeight="1">
      <c r="A971" s="5" t="n"/>
      <c r="B971" s="6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8" t="n"/>
      <c r="L971" s="8" t="n"/>
      <c r="M971" s="5" t="n"/>
      <c r="N971" s="16" t="n"/>
      <c r="O971" s="5" t="n"/>
      <c r="P971" s="5" t="n"/>
      <c r="Q971" s="5" t="n"/>
      <c r="R971" s="5" t="n"/>
      <c r="S971" s="5" t="n"/>
      <c r="T971" s="5" t="n"/>
      <c r="U971" s="5" t="n"/>
      <c r="V971" s="5" t="n"/>
      <c r="W971" s="5" t="n"/>
      <c r="X971" s="5" t="n"/>
      <c r="Y971" s="5" t="n"/>
      <c r="Z971" s="5" t="n"/>
      <c r="AA971" s="5" t="n"/>
    </row>
    <row r="972" ht="15.75" customHeight="1">
      <c r="A972" s="5" t="n"/>
      <c r="B972" s="6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8" t="n"/>
      <c r="L972" s="8" t="n"/>
      <c r="M972" s="5" t="n"/>
      <c r="N972" s="16" t="n"/>
      <c r="O972" s="5" t="n"/>
      <c r="P972" s="5" t="n"/>
      <c r="Q972" s="5" t="n"/>
      <c r="R972" s="5" t="n"/>
      <c r="S972" s="5" t="n"/>
      <c r="T972" s="5" t="n"/>
      <c r="U972" s="5" t="n"/>
      <c r="V972" s="5" t="n"/>
      <c r="W972" s="5" t="n"/>
      <c r="X972" s="5" t="n"/>
      <c r="Y972" s="5" t="n"/>
      <c r="Z972" s="5" t="n"/>
      <c r="AA972" s="5" t="n"/>
    </row>
    <row r="973" ht="15.75" customHeight="1">
      <c r="A973" s="5" t="n"/>
      <c r="B973" s="6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8" t="n"/>
      <c r="L973" s="8" t="n"/>
      <c r="M973" s="5" t="n"/>
      <c r="N973" s="16" t="n"/>
      <c r="O973" s="5" t="n"/>
      <c r="P973" s="5" t="n"/>
      <c r="Q973" s="5" t="n"/>
      <c r="R973" s="5" t="n"/>
      <c r="S973" s="5" t="n"/>
      <c r="T973" s="5" t="n"/>
      <c r="U973" s="5" t="n"/>
      <c r="V973" s="5" t="n"/>
      <c r="W973" s="5" t="n"/>
      <c r="X973" s="5" t="n"/>
      <c r="Y973" s="5" t="n"/>
      <c r="Z973" s="5" t="n"/>
      <c r="AA973" s="5" t="n"/>
    </row>
    <row r="974" ht="15.75" customHeight="1">
      <c r="A974" s="5" t="n"/>
      <c r="B974" s="6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8" t="n"/>
      <c r="L974" s="8" t="n"/>
      <c r="M974" s="5" t="n"/>
      <c r="N974" s="16" t="n"/>
      <c r="O974" s="5" t="n"/>
      <c r="P974" s="5" t="n"/>
      <c r="Q974" s="5" t="n"/>
      <c r="R974" s="5" t="n"/>
      <c r="S974" s="5" t="n"/>
      <c r="T974" s="5" t="n"/>
      <c r="U974" s="5" t="n"/>
      <c r="V974" s="5" t="n"/>
      <c r="W974" s="5" t="n"/>
      <c r="X974" s="5" t="n"/>
      <c r="Y974" s="5" t="n"/>
      <c r="Z974" s="5" t="n"/>
      <c r="AA974" s="5" t="n"/>
    </row>
    <row r="975" ht="15.75" customHeight="1">
      <c r="A975" s="5" t="n"/>
      <c r="B975" s="6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8" t="n"/>
      <c r="L975" s="8" t="n"/>
      <c r="M975" s="5" t="n"/>
      <c r="N975" s="16" t="n"/>
      <c r="O975" s="5" t="n"/>
      <c r="P975" s="5" t="n"/>
      <c r="Q975" s="5" t="n"/>
      <c r="R975" s="5" t="n"/>
      <c r="S975" s="5" t="n"/>
      <c r="T975" s="5" t="n"/>
      <c r="U975" s="5" t="n"/>
      <c r="V975" s="5" t="n"/>
      <c r="W975" s="5" t="n"/>
      <c r="X975" s="5" t="n"/>
      <c r="Y975" s="5" t="n"/>
      <c r="Z975" s="5" t="n"/>
      <c r="AA975" s="5" t="n"/>
    </row>
    <row r="976" ht="15.75" customHeight="1">
      <c r="A976" s="5" t="n"/>
      <c r="B976" s="6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8" t="n"/>
      <c r="L976" s="8" t="n"/>
      <c r="M976" s="5" t="n"/>
      <c r="N976" s="16" t="n"/>
      <c r="O976" s="5" t="n"/>
      <c r="P976" s="5" t="n"/>
      <c r="Q976" s="5" t="n"/>
      <c r="R976" s="5" t="n"/>
      <c r="S976" s="5" t="n"/>
      <c r="T976" s="5" t="n"/>
      <c r="U976" s="5" t="n"/>
      <c r="V976" s="5" t="n"/>
      <c r="W976" s="5" t="n"/>
      <c r="X976" s="5" t="n"/>
      <c r="Y976" s="5" t="n"/>
      <c r="Z976" s="5" t="n"/>
      <c r="AA976" s="5" t="n"/>
    </row>
    <row r="977" ht="15.75" customHeight="1">
      <c r="A977" s="5" t="n"/>
      <c r="B977" s="6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8" t="n"/>
      <c r="L977" s="8" t="n"/>
      <c r="M977" s="5" t="n"/>
      <c r="N977" s="16" t="n"/>
      <c r="O977" s="5" t="n"/>
      <c r="P977" s="5" t="n"/>
      <c r="Q977" s="5" t="n"/>
      <c r="R977" s="5" t="n"/>
      <c r="S977" s="5" t="n"/>
      <c r="T977" s="5" t="n"/>
      <c r="U977" s="5" t="n"/>
      <c r="V977" s="5" t="n"/>
      <c r="W977" s="5" t="n"/>
      <c r="X977" s="5" t="n"/>
      <c r="Y977" s="5" t="n"/>
      <c r="Z977" s="5" t="n"/>
      <c r="AA977" s="5" t="n"/>
    </row>
    <row r="978" ht="15.75" customHeight="1">
      <c r="A978" s="5" t="n"/>
      <c r="B978" s="6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8" t="n"/>
      <c r="L978" s="8" t="n"/>
      <c r="M978" s="5" t="n"/>
      <c r="N978" s="16" t="n"/>
      <c r="O978" s="5" t="n"/>
      <c r="P978" s="5" t="n"/>
      <c r="Q978" s="5" t="n"/>
      <c r="R978" s="5" t="n"/>
      <c r="S978" s="5" t="n"/>
      <c r="T978" s="5" t="n"/>
      <c r="U978" s="5" t="n"/>
      <c r="V978" s="5" t="n"/>
      <c r="W978" s="5" t="n"/>
      <c r="X978" s="5" t="n"/>
      <c r="Y978" s="5" t="n"/>
      <c r="Z978" s="5" t="n"/>
      <c r="AA978" s="5" t="n"/>
    </row>
    <row r="979" ht="15.75" customHeight="1">
      <c r="A979" s="5" t="n"/>
      <c r="B979" s="6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8" t="n"/>
      <c r="L979" s="8" t="n"/>
      <c r="M979" s="5" t="n"/>
      <c r="N979" s="16" t="n"/>
      <c r="O979" s="5" t="n"/>
      <c r="P979" s="5" t="n"/>
      <c r="Q979" s="5" t="n"/>
      <c r="R979" s="5" t="n"/>
      <c r="S979" s="5" t="n"/>
      <c r="T979" s="5" t="n"/>
      <c r="U979" s="5" t="n"/>
      <c r="V979" s="5" t="n"/>
      <c r="W979" s="5" t="n"/>
      <c r="X979" s="5" t="n"/>
      <c r="Y979" s="5" t="n"/>
      <c r="Z979" s="5" t="n"/>
      <c r="AA979" s="5" t="n"/>
    </row>
    <row r="980" ht="15.75" customHeight="1">
      <c r="A980" s="5" t="n"/>
      <c r="B980" s="6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8" t="n"/>
      <c r="L980" s="8" t="n"/>
      <c r="M980" s="5" t="n"/>
      <c r="N980" s="16" t="n"/>
      <c r="O980" s="5" t="n"/>
      <c r="P980" s="5" t="n"/>
      <c r="Q980" s="5" t="n"/>
      <c r="R980" s="5" t="n"/>
      <c r="S980" s="5" t="n"/>
      <c r="T980" s="5" t="n"/>
      <c r="U980" s="5" t="n"/>
      <c r="V980" s="5" t="n"/>
      <c r="W980" s="5" t="n"/>
      <c r="X980" s="5" t="n"/>
      <c r="Y980" s="5" t="n"/>
      <c r="Z980" s="5" t="n"/>
      <c r="AA980" s="5" t="n"/>
    </row>
    <row r="981" ht="15.75" customHeight="1">
      <c r="A981" s="5" t="n"/>
      <c r="B981" s="6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8" t="n"/>
      <c r="L981" s="8" t="n"/>
      <c r="M981" s="5" t="n"/>
      <c r="N981" s="16" t="n"/>
      <c r="O981" s="5" t="n"/>
      <c r="P981" s="5" t="n"/>
      <c r="Q981" s="5" t="n"/>
      <c r="R981" s="5" t="n"/>
      <c r="S981" s="5" t="n"/>
      <c r="T981" s="5" t="n"/>
      <c r="U981" s="5" t="n"/>
      <c r="V981" s="5" t="n"/>
      <c r="W981" s="5" t="n"/>
      <c r="X981" s="5" t="n"/>
      <c r="Y981" s="5" t="n"/>
      <c r="Z981" s="5" t="n"/>
      <c r="AA981" s="5" t="n"/>
    </row>
    <row r="982" ht="15.75" customHeight="1">
      <c r="A982" s="5" t="n"/>
      <c r="B982" s="6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8" t="n"/>
      <c r="L982" s="8" t="n"/>
      <c r="M982" s="5" t="n"/>
      <c r="N982" s="16" t="n"/>
      <c r="O982" s="5" t="n"/>
      <c r="P982" s="5" t="n"/>
      <c r="Q982" s="5" t="n"/>
      <c r="R982" s="5" t="n"/>
      <c r="S982" s="5" t="n"/>
      <c r="T982" s="5" t="n"/>
      <c r="U982" s="5" t="n"/>
      <c r="V982" s="5" t="n"/>
      <c r="W982" s="5" t="n"/>
      <c r="X982" s="5" t="n"/>
      <c r="Y982" s="5" t="n"/>
      <c r="Z982" s="5" t="n"/>
      <c r="AA982" s="5" t="n"/>
    </row>
    <row r="983" ht="15.75" customHeight="1">
      <c r="A983" s="5" t="n"/>
      <c r="B983" s="6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8" t="n"/>
      <c r="L983" s="8" t="n"/>
      <c r="M983" s="5" t="n"/>
      <c r="N983" s="16" t="n"/>
      <c r="O983" s="5" t="n"/>
      <c r="P983" s="5" t="n"/>
      <c r="Q983" s="5" t="n"/>
      <c r="R983" s="5" t="n"/>
      <c r="S983" s="5" t="n"/>
      <c r="T983" s="5" t="n"/>
      <c r="U983" s="5" t="n"/>
      <c r="V983" s="5" t="n"/>
      <c r="W983" s="5" t="n"/>
      <c r="X983" s="5" t="n"/>
      <c r="Y983" s="5" t="n"/>
      <c r="Z983" s="5" t="n"/>
      <c r="AA983" s="5" t="n"/>
    </row>
    <row r="984" ht="15.75" customHeight="1">
      <c r="A984" s="5" t="n"/>
      <c r="B984" s="6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8" t="n"/>
      <c r="L984" s="8" t="n"/>
      <c r="M984" s="5" t="n"/>
      <c r="N984" s="16" t="n"/>
      <c r="O984" s="5" t="n"/>
      <c r="P984" s="5" t="n"/>
      <c r="Q984" s="5" t="n"/>
      <c r="R984" s="5" t="n"/>
      <c r="S984" s="5" t="n"/>
      <c r="T984" s="5" t="n"/>
      <c r="U984" s="5" t="n"/>
      <c r="V984" s="5" t="n"/>
      <c r="W984" s="5" t="n"/>
      <c r="X984" s="5" t="n"/>
      <c r="Y984" s="5" t="n"/>
      <c r="Z984" s="5" t="n"/>
      <c r="AA984" s="5" t="n"/>
    </row>
    <row r="985" ht="15.75" customHeight="1">
      <c r="A985" s="5" t="n"/>
      <c r="B985" s="6" t="n"/>
      <c r="C985" s="5" t="n"/>
      <c r="D985" s="5" t="n"/>
      <c r="E985" s="5" t="n"/>
      <c r="F985" s="5" t="n"/>
      <c r="G985" s="5" t="n"/>
      <c r="H985" s="5" t="n"/>
      <c r="I985" s="5" t="n"/>
      <c r="J985" s="5" t="n"/>
      <c r="K985" s="8" t="n"/>
      <c r="L985" s="8" t="n"/>
      <c r="M985" s="5" t="n"/>
      <c r="N985" s="16" t="n"/>
      <c r="O985" s="5" t="n"/>
      <c r="P985" s="5" t="n"/>
      <c r="Q985" s="5" t="n"/>
      <c r="R985" s="5" t="n"/>
      <c r="S985" s="5" t="n"/>
      <c r="T985" s="5" t="n"/>
      <c r="U985" s="5" t="n"/>
      <c r="V985" s="5" t="n"/>
      <c r="W985" s="5" t="n"/>
      <c r="X985" s="5" t="n"/>
      <c r="Y985" s="5" t="n"/>
      <c r="Z985" s="5" t="n"/>
      <c r="AA985" s="5" t="n"/>
    </row>
    <row r="986" ht="15.75" customHeight="1">
      <c r="A986" s="5" t="n"/>
      <c r="B986" s="6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8" t="n"/>
      <c r="L986" s="8" t="n"/>
      <c r="M986" s="5" t="n"/>
      <c r="N986" s="16" t="n"/>
      <c r="O986" s="5" t="n"/>
      <c r="P986" s="5" t="n"/>
      <c r="Q986" s="5" t="n"/>
      <c r="R986" s="5" t="n"/>
      <c r="S986" s="5" t="n"/>
      <c r="T986" s="5" t="n"/>
      <c r="U986" s="5" t="n"/>
      <c r="V986" s="5" t="n"/>
      <c r="W986" s="5" t="n"/>
      <c r="X986" s="5" t="n"/>
      <c r="Y986" s="5" t="n"/>
      <c r="Z986" s="5" t="n"/>
      <c r="AA986" s="5" t="n"/>
    </row>
    <row r="987" ht="15.75" customHeight="1">
      <c r="A987" s="5" t="n"/>
      <c r="B987" s="6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8" t="n"/>
      <c r="L987" s="8" t="n"/>
      <c r="M987" s="5" t="n"/>
      <c r="N987" s="16" t="n"/>
      <c r="O987" s="5" t="n"/>
      <c r="P987" s="5" t="n"/>
      <c r="Q987" s="5" t="n"/>
      <c r="R987" s="5" t="n"/>
      <c r="S987" s="5" t="n"/>
      <c r="T987" s="5" t="n"/>
      <c r="U987" s="5" t="n"/>
      <c r="V987" s="5" t="n"/>
      <c r="W987" s="5" t="n"/>
      <c r="X987" s="5" t="n"/>
      <c r="Y987" s="5" t="n"/>
      <c r="Z987" s="5" t="n"/>
      <c r="AA987" s="5" t="n"/>
    </row>
    <row r="988" ht="15.75" customHeight="1">
      <c r="A988" s="5" t="n"/>
      <c r="B988" s="6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8" t="n"/>
      <c r="L988" s="8" t="n"/>
      <c r="M988" s="5" t="n"/>
      <c r="N988" s="16" t="n"/>
      <c r="O988" s="5" t="n"/>
      <c r="P988" s="5" t="n"/>
      <c r="Q988" s="5" t="n"/>
      <c r="R988" s="5" t="n"/>
      <c r="S988" s="5" t="n"/>
      <c r="T988" s="5" t="n"/>
      <c r="U988" s="5" t="n"/>
      <c r="V988" s="5" t="n"/>
      <c r="W988" s="5" t="n"/>
      <c r="X988" s="5" t="n"/>
      <c r="Y988" s="5" t="n"/>
      <c r="Z988" s="5" t="n"/>
      <c r="AA988" s="5" t="n"/>
    </row>
    <row r="989" ht="15.75" customHeight="1">
      <c r="A989" s="5" t="n"/>
      <c r="B989" s="6" t="n"/>
      <c r="C989" s="5" t="n"/>
      <c r="D989" s="5" t="n"/>
      <c r="E989" s="5" t="n"/>
      <c r="F989" s="5" t="n"/>
      <c r="G989" s="5" t="n"/>
      <c r="H989" s="5" t="n"/>
      <c r="I989" s="5" t="n"/>
      <c r="J989" s="5" t="n"/>
      <c r="K989" s="8" t="n"/>
      <c r="L989" s="8" t="n"/>
      <c r="M989" s="5" t="n"/>
      <c r="N989" s="16" t="n"/>
      <c r="O989" s="5" t="n"/>
      <c r="P989" s="5" t="n"/>
      <c r="Q989" s="5" t="n"/>
      <c r="R989" s="5" t="n"/>
      <c r="S989" s="5" t="n"/>
      <c r="T989" s="5" t="n"/>
      <c r="U989" s="5" t="n"/>
      <c r="V989" s="5" t="n"/>
      <c r="W989" s="5" t="n"/>
      <c r="X989" s="5" t="n"/>
      <c r="Y989" s="5" t="n"/>
      <c r="Z989" s="5" t="n"/>
      <c r="AA989" s="5" t="n"/>
    </row>
    <row r="990" ht="15.75" customHeight="1">
      <c r="A990" s="5" t="n"/>
      <c r="B990" s="6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8" t="n"/>
      <c r="L990" s="8" t="n"/>
      <c r="M990" s="5" t="n"/>
      <c r="N990" s="16" t="n"/>
      <c r="O990" s="5" t="n"/>
      <c r="P990" s="5" t="n"/>
      <c r="Q990" s="5" t="n"/>
      <c r="R990" s="5" t="n"/>
      <c r="S990" s="5" t="n"/>
      <c r="T990" s="5" t="n"/>
      <c r="U990" s="5" t="n"/>
      <c r="V990" s="5" t="n"/>
      <c r="W990" s="5" t="n"/>
      <c r="X990" s="5" t="n"/>
      <c r="Y990" s="5" t="n"/>
      <c r="Z990" s="5" t="n"/>
      <c r="AA990" s="5" t="n"/>
    </row>
    <row r="991" ht="15.75" customHeight="1">
      <c r="A991" s="5" t="n"/>
      <c r="B991" s="6" t="n"/>
      <c r="C991" s="5" t="n"/>
      <c r="D991" s="5" t="n"/>
      <c r="E991" s="5" t="n"/>
      <c r="F991" s="5" t="n"/>
      <c r="G991" s="5" t="n"/>
      <c r="H991" s="5" t="n"/>
      <c r="I991" s="5" t="n"/>
      <c r="J991" s="5" t="n"/>
      <c r="K991" s="8" t="n"/>
      <c r="L991" s="8" t="n"/>
      <c r="M991" s="5" t="n"/>
      <c r="N991" s="16" t="n"/>
      <c r="O991" s="5" t="n"/>
      <c r="P991" s="5" t="n"/>
      <c r="Q991" s="5" t="n"/>
      <c r="R991" s="5" t="n"/>
      <c r="S991" s="5" t="n"/>
      <c r="T991" s="5" t="n"/>
      <c r="U991" s="5" t="n"/>
      <c r="V991" s="5" t="n"/>
      <c r="W991" s="5" t="n"/>
      <c r="X991" s="5" t="n"/>
      <c r="Y991" s="5" t="n"/>
      <c r="Z991" s="5" t="n"/>
      <c r="AA991" s="5" t="n"/>
    </row>
    <row r="992" ht="15.75" customHeight="1">
      <c r="A992" s="5" t="n"/>
      <c r="B992" s="6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8" t="n"/>
      <c r="L992" s="8" t="n"/>
      <c r="M992" s="5" t="n"/>
      <c r="N992" s="16" t="n"/>
      <c r="O992" s="5" t="n"/>
      <c r="P992" s="5" t="n"/>
      <c r="Q992" s="5" t="n"/>
      <c r="R992" s="5" t="n"/>
      <c r="S992" s="5" t="n"/>
      <c r="T992" s="5" t="n"/>
      <c r="U992" s="5" t="n"/>
      <c r="V992" s="5" t="n"/>
      <c r="W992" s="5" t="n"/>
      <c r="X992" s="5" t="n"/>
      <c r="Y992" s="5" t="n"/>
      <c r="Z992" s="5" t="n"/>
      <c r="AA992" s="5" t="n"/>
    </row>
    <row r="993" ht="15.75" customHeight="1">
      <c r="A993" s="5" t="n"/>
      <c r="B993" s="6" t="n"/>
      <c r="C993" s="5" t="n"/>
      <c r="D993" s="5" t="n"/>
      <c r="E993" s="5" t="n"/>
      <c r="F993" s="5" t="n"/>
      <c r="G993" s="5" t="n"/>
      <c r="H993" s="5" t="n"/>
      <c r="I993" s="5" t="n"/>
      <c r="J993" s="5" t="n"/>
      <c r="K993" s="8" t="n"/>
      <c r="L993" s="8" t="n"/>
      <c r="M993" s="5" t="n"/>
      <c r="N993" s="16" t="n"/>
      <c r="O993" s="5" t="n"/>
      <c r="P993" s="5" t="n"/>
      <c r="Q993" s="5" t="n"/>
      <c r="R993" s="5" t="n"/>
      <c r="S993" s="5" t="n"/>
      <c r="T993" s="5" t="n"/>
      <c r="U993" s="5" t="n"/>
      <c r="V993" s="5" t="n"/>
      <c r="W993" s="5" t="n"/>
      <c r="X993" s="5" t="n"/>
      <c r="Y993" s="5" t="n"/>
      <c r="Z993" s="5" t="n"/>
      <c r="AA993" s="5" t="n"/>
    </row>
    <row r="994" ht="15.75" customHeight="1">
      <c r="A994" s="5" t="n"/>
      <c r="B994" s="6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8" t="n"/>
      <c r="L994" s="8" t="n"/>
      <c r="M994" s="5" t="n"/>
      <c r="N994" s="16" t="n"/>
      <c r="O994" s="5" t="n"/>
      <c r="P994" s="5" t="n"/>
      <c r="Q994" s="5" t="n"/>
      <c r="R994" s="5" t="n"/>
      <c r="S994" s="5" t="n"/>
      <c r="T994" s="5" t="n"/>
      <c r="U994" s="5" t="n"/>
      <c r="V994" s="5" t="n"/>
      <c r="W994" s="5" t="n"/>
      <c r="X994" s="5" t="n"/>
      <c r="Y994" s="5" t="n"/>
      <c r="Z994" s="5" t="n"/>
      <c r="AA994" s="5" t="n"/>
    </row>
    <row r="995" ht="15.75" customHeight="1">
      <c r="A995" s="5" t="n"/>
      <c r="B995" s="6" t="n"/>
      <c r="C995" s="5" t="n"/>
      <c r="D995" s="5" t="n"/>
      <c r="E995" s="5" t="n"/>
      <c r="F995" s="5" t="n"/>
      <c r="G995" s="5" t="n"/>
      <c r="H995" s="5" t="n"/>
      <c r="I995" s="5" t="n"/>
      <c r="J995" s="5" t="n"/>
      <c r="K995" s="8" t="n"/>
      <c r="L995" s="8" t="n"/>
      <c r="M995" s="5" t="n"/>
      <c r="N995" s="16" t="n"/>
      <c r="O995" s="5" t="n"/>
      <c r="P995" s="5" t="n"/>
      <c r="Q995" s="5" t="n"/>
      <c r="R995" s="5" t="n"/>
      <c r="S995" s="5" t="n"/>
      <c r="T995" s="5" t="n"/>
      <c r="U995" s="5" t="n"/>
      <c r="V995" s="5" t="n"/>
      <c r="W995" s="5" t="n"/>
      <c r="X995" s="5" t="n"/>
      <c r="Y995" s="5" t="n"/>
      <c r="Z995" s="5" t="n"/>
      <c r="AA995" s="5" t="n"/>
    </row>
    <row r="996" ht="15.75" customHeight="1">
      <c r="A996" s="5" t="n"/>
      <c r="B996" s="6" t="n"/>
      <c r="C996" s="5" t="n"/>
      <c r="D996" s="5" t="n"/>
      <c r="E996" s="5" t="n"/>
      <c r="F996" s="5" t="n"/>
      <c r="G996" s="5" t="n"/>
      <c r="H996" s="5" t="n"/>
      <c r="I996" s="5" t="n"/>
      <c r="J996" s="5" t="n"/>
      <c r="K996" s="8" t="n"/>
      <c r="L996" s="8" t="n"/>
      <c r="M996" s="5" t="n"/>
      <c r="N996" s="16" t="n"/>
      <c r="O996" s="5" t="n"/>
      <c r="P996" s="5" t="n"/>
      <c r="Q996" s="5" t="n"/>
      <c r="R996" s="5" t="n"/>
      <c r="S996" s="5" t="n"/>
      <c r="T996" s="5" t="n"/>
      <c r="U996" s="5" t="n"/>
      <c r="V996" s="5" t="n"/>
      <c r="W996" s="5" t="n"/>
      <c r="X996" s="5" t="n"/>
      <c r="Y996" s="5" t="n"/>
      <c r="Z996" s="5" t="n"/>
      <c r="AA996" s="5" t="n"/>
    </row>
    <row r="997" ht="15.75" customHeight="1">
      <c r="A997" s="5" t="n"/>
      <c r="B997" s="6" t="n"/>
      <c r="C997" s="5" t="n"/>
      <c r="D997" s="5" t="n"/>
      <c r="E997" s="5" t="n"/>
      <c r="F997" s="5" t="n"/>
      <c r="G997" s="5" t="n"/>
      <c r="H997" s="5" t="n"/>
      <c r="I997" s="5" t="n"/>
      <c r="J997" s="5" t="n"/>
      <c r="K997" s="8" t="n"/>
      <c r="L997" s="8" t="n"/>
      <c r="M997" s="5" t="n"/>
      <c r="N997" s="16" t="n"/>
      <c r="O997" s="5" t="n"/>
      <c r="P997" s="5" t="n"/>
      <c r="Q997" s="5" t="n"/>
      <c r="R997" s="5" t="n"/>
      <c r="S997" s="5" t="n"/>
      <c r="T997" s="5" t="n"/>
      <c r="U997" s="5" t="n"/>
      <c r="V997" s="5" t="n"/>
      <c r="W997" s="5" t="n"/>
      <c r="X997" s="5" t="n"/>
      <c r="Y997" s="5" t="n"/>
      <c r="Z997" s="5" t="n"/>
      <c r="AA997" s="5" t="n"/>
    </row>
    <row r="998" ht="15.75" customHeight="1">
      <c r="A998" s="5" t="n"/>
      <c r="B998" s="6" t="n"/>
      <c r="C998" s="5" t="n"/>
      <c r="D998" s="5" t="n"/>
      <c r="E998" s="5" t="n"/>
      <c r="F998" s="5" t="n"/>
      <c r="G998" s="5" t="n"/>
      <c r="H998" s="5" t="n"/>
      <c r="I998" s="5" t="n"/>
      <c r="J998" s="5" t="n"/>
      <c r="K998" s="8" t="n"/>
      <c r="L998" s="8" t="n"/>
      <c r="M998" s="5" t="n"/>
      <c r="N998" s="16" t="n"/>
      <c r="O998" s="5" t="n"/>
      <c r="P998" s="5" t="n"/>
      <c r="Q998" s="5" t="n"/>
      <c r="R998" s="5" t="n"/>
      <c r="S998" s="5" t="n"/>
      <c r="T998" s="5" t="n"/>
      <c r="U998" s="5" t="n"/>
      <c r="V998" s="5" t="n"/>
      <c r="W998" s="5" t="n"/>
      <c r="X998" s="5" t="n"/>
      <c r="Y998" s="5" t="n"/>
      <c r="Z998" s="5" t="n"/>
      <c r="AA998" s="5" t="n"/>
    </row>
    <row r="999" ht="15.75" customHeight="1"/>
    <row r="1000" ht="15.75" customHeight="1"/>
  </sheetData>
  <dataValidations count="4">
    <dataValidation sqref="B2:B1000" showDropDown="0" showInputMessage="0" showErrorMessage="0" allowBlank="1" type="date">
      <formula1>1/1/2020</formula1>
      <formula2>12/31/2030</formula2>
    </dataValidation>
    <dataValidation sqref="M2:M1000" showDropDown="0" showInputMessage="0" showErrorMessage="0" allowBlank="1" type="list">
      <formula1>"Win,Loss"</formula1>
    </dataValidation>
    <dataValidation sqref="D2:D1000" showDropDown="0" showInputMessage="0" showErrorMessage="0" allowBlank="1" type="list">
      <formula1>"ES,MES,NQ,MNQ,YM,RTY,GC,MGC,CL,MCL,QM"</formula1>
    </dataValidation>
    <dataValidation sqref="E2:E1000" showDropDown="0" showInputMessage="0" showErrorMessage="0" allowBlank="1" type="list">
      <formula1>"Long,Short"</formula1>
    </dataValidation>
  </dataValidations>
  <hyperlinks>
    <hyperlink xmlns:r="http://schemas.openxmlformats.org/officeDocument/2006/relationships" ref="T3" r:id="rId1"/>
    <hyperlink xmlns:r="http://schemas.openxmlformats.org/officeDocument/2006/relationships" ref="U3" r:id="rId2"/>
  </hyperlink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ColWidth="14.42578125" defaultRowHeight="15" customHeight="1"/>
  <cols>
    <col width="10" customWidth="1" min="1" max="1"/>
    <col width="12" customWidth="1" min="2" max="2"/>
    <col width="8.7109375" customWidth="1" min="3" max="26"/>
  </cols>
  <sheetData>
    <row r="1">
      <c r="A1" s="1" t="inlineStr">
        <is>
          <t>Asset</t>
        </is>
      </c>
      <c r="B1" s="1" t="inlineStr">
        <is>
          <t>Multiplier</t>
        </is>
      </c>
    </row>
    <row r="2">
      <c r="A2" s="3" t="inlineStr">
        <is>
          <t>ES</t>
        </is>
      </c>
      <c r="B2" s="3" t="n">
        <v>50</v>
      </c>
    </row>
    <row r="3">
      <c r="A3" s="3" t="inlineStr">
        <is>
          <t>MES</t>
        </is>
      </c>
      <c r="B3" s="3" t="n">
        <v>5</v>
      </c>
    </row>
    <row r="4">
      <c r="A4" s="3" t="inlineStr">
        <is>
          <t>NQ</t>
        </is>
      </c>
      <c r="B4" s="3" t="n">
        <v>20</v>
      </c>
    </row>
    <row r="5">
      <c r="A5" s="3" t="inlineStr">
        <is>
          <t>MNQ</t>
        </is>
      </c>
      <c r="B5" s="3" t="n">
        <v>2</v>
      </c>
    </row>
    <row r="6">
      <c r="A6" s="3" t="inlineStr">
        <is>
          <t>YM</t>
        </is>
      </c>
      <c r="B6" s="3" t="n">
        <v>5</v>
      </c>
    </row>
    <row r="7">
      <c r="A7" s="3" t="inlineStr">
        <is>
          <t>RTY</t>
        </is>
      </c>
      <c r="B7" s="3" t="n">
        <v>50</v>
      </c>
    </row>
    <row r="8">
      <c r="A8" s="3" t="inlineStr">
        <is>
          <t>GC</t>
        </is>
      </c>
      <c r="B8" s="3" t="n">
        <v>100</v>
      </c>
    </row>
    <row r="9">
      <c r="A9" s="3" t="inlineStr">
        <is>
          <t>MGC</t>
        </is>
      </c>
      <c r="B9" s="3" t="n">
        <v>10</v>
      </c>
    </row>
    <row r="10">
      <c r="A10" s="3" t="inlineStr">
        <is>
          <t>CL</t>
        </is>
      </c>
      <c r="B10" s="3" t="n">
        <v>1000</v>
      </c>
    </row>
    <row r="11">
      <c r="A11" s="3" t="inlineStr">
        <is>
          <t>MCL</t>
        </is>
      </c>
      <c r="B11" s="3" t="n">
        <v>100</v>
      </c>
    </row>
    <row r="12">
      <c r="A12" s="3" t="inlineStr">
        <is>
          <t>QM</t>
        </is>
      </c>
      <c r="B12" s="3" t="n">
        <v>500</v>
      </c>
    </row>
    <row r="13">
      <c r="A13" t="inlineStr">
        <is>
          <t>MYM</t>
        </is>
      </c>
      <c r="B13" t="n">
        <v>0.5</v>
      </c>
    </row>
    <row r="14">
      <c r="A14" t="inlineStr">
        <is>
          <t>M2K</t>
        </is>
      </c>
      <c r="B14" t="n">
        <v>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"/>
  <sheetViews>
    <sheetView tabSelected="1" workbookViewId="0">
      <selection activeCell="D18" sqref="D18"/>
    </sheetView>
  </sheetViews>
  <sheetFormatPr baseColWidth="8" defaultRowHeight="15"/>
  <cols>
    <col width="16" customWidth="1" min="1" max="1"/>
    <col width="19" customWidth="1" min="2" max="2"/>
    <col width="22" customWidth="1" min="3" max="3"/>
    <col width="16" customWidth="1" min="4" max="7"/>
  </cols>
  <sheetData>
    <row r="1">
      <c r="A1" s="20" t="inlineStr">
        <is>
          <t>Rules</t>
        </is>
      </c>
      <c r="B1" s="20" t="inlineStr">
        <is>
          <t>Market conditions</t>
        </is>
      </c>
      <c r="C1" s="20" t="inlineStr">
        <is>
          <t>Emotion before trade</t>
        </is>
      </c>
      <c r="D1" s="20" t="inlineStr">
        <is>
          <t>Setup</t>
        </is>
      </c>
      <c r="E1" s="20" t="inlineStr">
        <is>
          <t>Process</t>
        </is>
      </c>
      <c r="F1" s="20" t="inlineStr">
        <is>
          <t>Mistakes</t>
        </is>
      </c>
      <c r="G1" s="20" t="inlineStr">
        <is>
          <t>Learning</t>
        </is>
      </c>
      <c r="I1" s="21" t="inlineStr">
        <is>
          <t>Reference list of suggested tag values — edit freely.</t>
        </is>
      </c>
    </row>
    <row r="2">
      <c r="A2" t="inlineStr">
        <is>
          <t>Followed plan</t>
        </is>
      </c>
      <c r="B2" t="inlineStr">
        <is>
          <t>Trending up</t>
        </is>
      </c>
      <c r="C2" t="inlineStr">
        <is>
          <t>Calm</t>
        </is>
      </c>
      <c r="D2" t="inlineStr">
        <is>
          <t>Break and Retest</t>
        </is>
      </c>
      <c r="E2" t="inlineStr">
        <is>
          <t>Pre-market done</t>
        </is>
      </c>
      <c r="F2" t="inlineStr">
        <is>
          <t>Revenge trade</t>
        </is>
      </c>
      <c r="G2" t="inlineStr">
        <is>
          <t>Wait for confluence</t>
        </is>
      </c>
    </row>
    <row r="3">
      <c r="A3" t="inlineStr">
        <is>
          <t>Broke a rule</t>
        </is>
      </c>
      <c r="B3" t="inlineStr">
        <is>
          <t>Trending down</t>
        </is>
      </c>
      <c r="C3" t="inlineStr">
        <is>
          <t>Confident</t>
        </is>
      </c>
      <c r="D3" t="inlineStr">
        <is>
          <t>Bounce</t>
        </is>
      </c>
      <c r="E3" t="inlineStr">
        <is>
          <t>Wrote entry reason</t>
        </is>
      </c>
      <c r="F3" t="inlineStr">
        <is>
          <t>Oversized</t>
        </is>
      </c>
      <c r="G3" t="inlineStr">
        <is>
          <t>Size down on news</t>
        </is>
      </c>
    </row>
    <row r="4">
      <c r="A4" t="inlineStr">
        <is>
          <t>Within daily loss limit</t>
        </is>
      </c>
      <c r="B4" t="inlineStr">
        <is>
          <t>Ranging</t>
        </is>
      </c>
      <c r="C4" t="inlineStr">
        <is>
          <t>Focused</t>
        </is>
      </c>
      <c r="D4" t="inlineStr">
        <is>
          <t>Rejection</t>
        </is>
      </c>
      <c r="E4" t="inlineStr">
        <is>
          <t>A+ process day</t>
        </is>
      </c>
      <c r="F4" t="inlineStr">
        <is>
          <t>Moved stop</t>
        </is>
      </c>
      <c r="G4" t="inlineStr">
        <is>
          <t>Let winners run</t>
        </is>
      </c>
    </row>
    <row r="5">
      <c r="A5" t="inlineStr">
        <is>
          <t>Hit daily loss limit</t>
        </is>
      </c>
      <c r="B5" t="inlineStr">
        <is>
          <t>Choppy</t>
        </is>
      </c>
      <c r="C5" t="inlineStr">
        <is>
          <t>FOMO</t>
        </is>
      </c>
      <c r="D5" t="inlineStr">
        <is>
          <t>123 Setup</t>
        </is>
      </c>
      <c r="E5" t="inlineStr">
        <is>
          <t>Cooled off between trades</t>
        </is>
      </c>
      <c r="F5" t="inlineStr">
        <is>
          <t>Cut winner early</t>
        </is>
      </c>
      <c r="G5" t="inlineStr">
        <is>
          <t>Honor the stop</t>
        </is>
      </c>
    </row>
    <row r="6">
      <c r="A6" t="inlineStr">
        <is>
          <t>Within max size</t>
        </is>
      </c>
      <c r="B6" t="inlineStr">
        <is>
          <t>High volatility</t>
        </is>
      </c>
      <c r="C6" t="inlineStr">
        <is>
          <t>Fear</t>
        </is>
      </c>
      <c r="D6" t="inlineStr">
        <is>
          <t>Pivot</t>
        </is>
      </c>
      <c r="E6" t="inlineStr">
        <is>
          <t>Journaled</t>
        </is>
      </c>
      <c r="F6" t="inlineStr">
        <is>
          <t>Blew stop</t>
        </is>
      </c>
      <c r="G6" t="inlineStr">
        <is>
          <t>Trade only A+</t>
        </is>
      </c>
    </row>
    <row r="7">
      <c r="A7" t="inlineStr">
        <is>
          <t>Risked &gt;1R per trade</t>
        </is>
      </c>
      <c r="B7" t="inlineStr">
        <is>
          <t>Low volatility</t>
        </is>
      </c>
      <c r="C7" t="inlineStr">
        <is>
          <t>Greed</t>
        </is>
      </c>
      <c r="D7" t="inlineStr">
        <is>
          <t>A+ setup</t>
        </is>
      </c>
      <c r="E7" t="inlineStr">
        <is>
          <t>No pre-market</t>
        </is>
      </c>
      <c r="F7" t="inlineStr">
        <is>
          <t>No confluence</t>
        </is>
      </c>
      <c r="G7" t="inlineStr">
        <is>
          <t>Reduce overnight trading</t>
        </is>
      </c>
    </row>
    <row r="8">
      <c r="A8" t="inlineStr">
        <is>
          <t>Traded planned session</t>
        </is>
      </c>
      <c r="B8" t="inlineStr">
        <is>
          <t>News day</t>
        </is>
      </c>
      <c r="C8" t="inlineStr">
        <is>
          <t>Impatient</t>
        </is>
      </c>
      <c r="D8" t="inlineStr">
        <is>
          <t>Full confluence</t>
        </is>
      </c>
      <c r="E8" t="inlineStr">
        <is>
          <t>Distracted</t>
        </is>
      </c>
      <c r="F8" t="inlineStr">
        <is>
          <t>Early entry</t>
        </is>
      </c>
      <c r="G8" t="inlineStr">
        <is>
          <t>Stick to Pullbacks</t>
        </is>
      </c>
    </row>
    <row r="9">
      <c r="A9" t="inlineStr">
        <is>
          <t>Waited for A+ only</t>
        </is>
      </c>
      <c r="B9" t="inlineStr">
        <is>
          <t>Thin / overnight</t>
        </is>
      </c>
      <c r="C9" t="inlineStr">
        <is>
          <t>Frustrated</t>
        </is>
      </c>
      <c r="D9" t="inlineStr">
        <is>
          <t>Breakout</t>
        </is>
      </c>
      <c r="E9" t="inlineStr">
        <is>
          <t>Multitasking</t>
        </is>
      </c>
      <c r="F9" t="inlineStr">
        <is>
          <t>Late entry</t>
        </is>
      </c>
      <c r="G9" t="inlineStr">
        <is>
          <t>Take the 2R</t>
        </is>
      </c>
    </row>
    <row r="10">
      <c r="A10" t="inlineStr">
        <is>
          <t>Stopped after 2 losses</t>
        </is>
      </c>
      <c r="B10" t="inlineStr">
        <is>
          <t>Strong trend</t>
        </is>
      </c>
      <c r="C10" t="inlineStr">
        <is>
          <t>Bored</t>
        </is>
      </c>
      <c r="D10" t="inlineStr">
        <is>
          <t>Breakdown</t>
        </is>
      </c>
      <c r="E10" t="inlineStr">
        <is>
          <t>Rushed entry</t>
        </is>
      </c>
      <c r="F10" t="inlineStr">
        <is>
          <t>Overtraded</t>
        </is>
      </c>
      <c r="G10" t="inlineStr">
        <is>
          <t>Be patient</t>
        </is>
      </c>
    </row>
    <row r="11">
      <c r="B11" t="inlineStr">
        <is>
          <t>Reversal day</t>
        </is>
      </c>
      <c r="C11" t="inlineStr">
        <is>
          <t>Pressure to recover</t>
        </is>
      </c>
      <c r="D11" t="inlineStr">
        <is>
          <t>Pullback</t>
        </is>
      </c>
      <c r="F11" t="inlineStr">
        <is>
          <t>Chased entry</t>
        </is>
      </c>
      <c r="G11" t="inlineStr">
        <is>
          <t>Smaller size</t>
        </is>
      </c>
    </row>
    <row r="12">
      <c r="C12" t="inlineStr">
        <is>
          <t>Tilted</t>
        </is>
      </c>
      <c r="D12" t="inlineStr">
        <is>
          <t>Reversal</t>
        </is>
      </c>
      <c r="F12" t="inlineStr">
        <is>
          <t>Out-of-plan</t>
        </is>
      </c>
    </row>
    <row r="13">
      <c r="C13" t="inlineStr">
        <is>
          <t>Anxious</t>
        </is>
      </c>
      <c r="D13" t="inlineStr">
        <is>
          <t>Range fade</t>
        </is>
      </c>
      <c r="F13" t="inlineStr">
        <is>
          <t>No stop</t>
        </is>
      </c>
    </row>
    <row r="14">
      <c r="C14" t="inlineStr">
        <is>
          <t>Zen mode</t>
        </is>
      </c>
      <c r="D14" t="inlineStr">
        <is>
          <t>Trend continuation</t>
        </is>
      </c>
    </row>
    <row r="15">
      <c r="D15" t="inlineStr">
        <is>
          <t>VWAP bounce</t>
        </is>
      </c>
    </row>
    <row r="16">
      <c r="D16" t="inlineStr">
        <is>
          <t>Support / Resistance</t>
        </is>
      </c>
    </row>
    <row r="17">
      <c r="D17" t="inlineStr">
        <is>
          <t>Scalping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0" customWidth="1" min="1" max="1"/>
    <col width="100" customWidth="1" min="2" max="2"/>
  </cols>
  <sheetData>
    <row r="1">
      <c r="A1" s="23" t="inlineStr">
        <is>
          <t>Type</t>
        </is>
      </c>
      <c r="B1" s="23" t="inlineStr">
        <is>
          <t>Rule</t>
        </is>
      </c>
    </row>
    <row r="2">
      <c r="A2" t="inlineStr">
        <is>
          <t>Hard</t>
        </is>
      </c>
      <c r="B2" s="14" t="inlineStr">
        <is>
          <t>Check Economic News.</t>
        </is>
      </c>
    </row>
    <row r="3">
      <c r="A3" t="inlineStr">
        <is>
          <t>Hard</t>
        </is>
      </c>
      <c r="B3" s="14" t="inlineStr">
        <is>
          <t>Mark Levels before market open. Mark the opening print as a 4/5 Level.</t>
        </is>
      </c>
    </row>
    <row r="4">
      <c r="A4" t="inlineStr">
        <is>
          <t>Hard</t>
        </is>
      </c>
      <c r="B4" s="14" t="inlineStr">
        <is>
          <t>Create a plan — only long if 1H is uptrend; only short if 1H is downtrend.</t>
        </is>
      </c>
    </row>
    <row r="5">
      <c r="A5" t="inlineStr">
        <is>
          <t>Hard</t>
        </is>
      </c>
      <c r="B5" s="14" t="inlineStr">
        <is>
          <t>Pick the levels you want to go long/short off based on that analysis. Label the levels AND where the analysis could switch — e.g. an uptrend holds until a level breaks; if the hourly candle closes beneath it, bias can flip down. Mark out both.</t>
        </is>
      </c>
    </row>
    <row r="6">
      <c r="A6" t="inlineStr">
        <is>
          <t>Hard</t>
        </is>
      </c>
      <c r="B6" s="14" t="inlineStr">
        <is>
          <t>Trade only after 9:45. Don't trade after 12 pm.</t>
        </is>
      </c>
    </row>
    <row r="7">
      <c r="A7" t="inlineStr">
        <is>
          <t>Hard</t>
        </is>
      </c>
      <c r="B7" s="14" t="inlineStr">
        <is>
          <t>Target 2–2.5 Risk to Reward.</t>
        </is>
      </c>
    </row>
    <row r="8">
      <c r="A8" t="inlineStr">
        <is>
          <t>Hard</t>
        </is>
      </c>
      <c r="B8" s="14" t="inlineStr">
        <is>
          <t>Aim for 1–3 trades a day with a predefined daily stop loss and an overall assumed profit target.</t>
        </is>
      </c>
    </row>
    <row r="9">
      <c r="A9" t="inlineStr">
        <is>
          <t>Other</t>
        </is>
      </c>
      <c r="B9" s="14" t="inlineStr">
        <is>
          <t>Re-taking a BR/Bounce at a level that already worked: OK, but with caution. The first Break &amp; Retest/Bounce cleared out most of the immediate sell liquidity, so a second test at the same exact level carries higher break-through risk. Only take it if the 1H trend is still strong — otherwise size down or skip.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8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24" t="inlineStr">
        <is>
          <t>Overview</t>
        </is>
      </c>
    </row>
    <row r="2">
      <c r="A2" t="inlineStr">
        <is>
          <t>Generated</t>
        </is>
      </c>
      <c r="B2" t="inlineStr">
        <is>
          <t>2026-08-31 13:16</t>
        </is>
      </c>
    </row>
    <row r="3">
      <c r="A3" t="inlineStr">
        <is>
          <t>Date range</t>
        </is>
      </c>
      <c r="B3" t="inlineStr">
        <is>
          <t>2026-08-11 → 2026-08-31</t>
        </is>
      </c>
    </row>
    <row r="4">
      <c r="A4" t="inlineStr">
        <is>
          <t>Trades</t>
        </is>
      </c>
      <c r="B4" t="n">
        <v>93</v>
      </c>
    </row>
    <row r="5">
      <c r="A5" t="inlineStr">
        <is>
          <t>Win rate</t>
        </is>
      </c>
      <c r="B5" t="inlineStr">
        <is>
          <t>54.8%</t>
        </is>
      </c>
    </row>
    <row r="6">
      <c r="A6" t="inlineStr">
        <is>
          <t>Total P&amp;L</t>
        </is>
      </c>
      <c r="B6" t="n">
        <v>2383</v>
      </c>
    </row>
    <row r="7">
      <c r="A7" t="inlineStr">
        <is>
          <t>Profit factor</t>
        </is>
      </c>
      <c r="B7" t="n">
        <v>1.3</v>
      </c>
    </row>
    <row r="8">
      <c r="A8" t="inlineStr">
        <is>
          <t>Expectancy / trade</t>
        </is>
      </c>
      <c r="B8" t="n">
        <v>25.62</v>
      </c>
    </row>
    <row r="9">
      <c r="A9" t="inlineStr">
        <is>
          <t>Avg win</t>
        </is>
      </c>
      <c r="B9" t="n">
        <v>204.53</v>
      </c>
    </row>
    <row r="10">
      <c r="A10" t="inlineStr">
        <is>
          <t>Avg loss</t>
        </is>
      </c>
      <c r="B10" t="n">
        <v>-191.62</v>
      </c>
    </row>
    <row r="11">
      <c r="A11" t="inlineStr">
        <is>
          <t>Avg RR targeted</t>
        </is>
      </c>
      <c r="B11" t="n">
        <v>1.35</v>
      </c>
    </row>
    <row r="12">
      <c r="A12" t="inlineStr">
        <is>
          <t>Avg RR realized</t>
        </is>
      </c>
      <c r="B12" t="n">
        <v>0.04</v>
      </c>
    </row>
    <row r="13">
      <c r="A13" t="inlineStr">
        <is>
          <t>Max drawdown</t>
        </is>
      </c>
      <c r="B13" t="n">
        <v>-1750</v>
      </c>
    </row>
    <row r="14">
      <c r="A14" t="inlineStr">
        <is>
          <t>Max win streak</t>
        </is>
      </c>
      <c r="B14" t="n">
        <v>8</v>
      </c>
    </row>
    <row r="15">
      <c r="A15" t="inlineStr">
        <is>
          <t>Max loss streak</t>
        </is>
      </c>
      <c r="B15" t="n">
        <v>5</v>
      </c>
    </row>
    <row r="17">
      <c r="A17" s="24" t="inlineStr">
        <is>
          <t>By Setup</t>
        </is>
      </c>
    </row>
    <row r="18">
      <c r="A18" s="23" t="inlineStr">
        <is>
          <t>Setup</t>
        </is>
      </c>
      <c r="B18" s="23" t="inlineStr">
        <is>
          <t>Trades</t>
        </is>
      </c>
      <c r="C18" s="23" t="inlineStr">
        <is>
          <t>Win %</t>
        </is>
      </c>
      <c r="D18" s="23" t="inlineStr">
        <is>
          <t>Total P&amp;L</t>
        </is>
      </c>
      <c r="E18" s="23" t="inlineStr">
        <is>
          <t>Expectancy</t>
        </is>
      </c>
    </row>
    <row r="19">
      <c r="A19" t="inlineStr">
        <is>
          <t>Break and Retest</t>
        </is>
      </c>
      <c r="B19" t="n">
        <v>88</v>
      </c>
      <c r="C19" t="inlineStr">
        <is>
          <t>53%</t>
        </is>
      </c>
      <c r="D19" t="n">
        <v>1924</v>
      </c>
      <c r="E19" t="n">
        <v>21.86</v>
      </c>
    </row>
    <row r="20">
      <c r="A20" t="inlineStr">
        <is>
          <t>ZTH Indicator</t>
        </is>
      </c>
      <c r="B20" t="n">
        <v>2</v>
      </c>
      <c r="C20" t="inlineStr">
        <is>
          <t>100%</t>
        </is>
      </c>
      <c r="D20" t="n">
        <v>351</v>
      </c>
      <c r="E20" t="n">
        <v>175.5</v>
      </c>
    </row>
    <row r="21">
      <c r="A21" t="inlineStr">
        <is>
          <t>Gap up</t>
        </is>
      </c>
      <c r="B21" t="n">
        <v>1</v>
      </c>
      <c r="C21" t="inlineStr">
        <is>
          <t>100%</t>
        </is>
      </c>
      <c r="D21" t="n">
        <v>199</v>
      </c>
      <c r="E21" t="n">
        <v>199</v>
      </c>
    </row>
    <row r="22">
      <c r="A22" t="inlineStr">
        <is>
          <t>Rejection</t>
        </is>
      </c>
      <c r="B22" t="n">
        <v>1</v>
      </c>
      <c r="C22" t="inlineStr">
        <is>
          <t>100%</t>
        </is>
      </c>
      <c r="D22" t="n">
        <v>134</v>
      </c>
      <c r="E22" t="n">
        <v>134</v>
      </c>
    </row>
    <row r="23">
      <c r="A23" t="inlineStr">
        <is>
          <t>Break and Retest, Rejection</t>
        </is>
      </c>
      <c r="B23" t="n">
        <v>1</v>
      </c>
      <c r="C23" t="inlineStr">
        <is>
          <t>0%</t>
        </is>
      </c>
      <c r="D23" t="n">
        <v>-225</v>
      </c>
      <c r="E23" t="n">
        <v>-225</v>
      </c>
    </row>
    <row r="25">
      <c r="A25" s="24" t="inlineStr">
        <is>
          <t>By Instrument</t>
        </is>
      </c>
    </row>
    <row r="26">
      <c r="A26" s="23" t="inlineStr">
        <is>
          <t>Instrument</t>
        </is>
      </c>
      <c r="B26" s="23" t="inlineStr">
        <is>
          <t>Trades</t>
        </is>
      </c>
      <c r="C26" s="23" t="inlineStr">
        <is>
          <t>Win %</t>
        </is>
      </c>
      <c r="D26" s="23" t="inlineStr">
        <is>
          <t>Total P&amp;L</t>
        </is>
      </c>
      <c r="E26" s="23" t="inlineStr">
        <is>
          <t>Expectancy</t>
        </is>
      </c>
    </row>
    <row r="27">
      <c r="A27" t="inlineStr">
        <is>
          <t>MGC</t>
        </is>
      </c>
      <c r="B27" t="n">
        <v>51</v>
      </c>
      <c r="C27" t="inlineStr">
        <is>
          <t>57%</t>
        </is>
      </c>
      <c r="D27" t="n">
        <v>2021</v>
      </c>
      <c r="E27" t="n">
        <v>39.63</v>
      </c>
    </row>
    <row r="28">
      <c r="A28" t="inlineStr">
        <is>
          <t>MNQ</t>
        </is>
      </c>
      <c r="B28" t="n">
        <v>42</v>
      </c>
      <c r="C28" t="inlineStr">
        <is>
          <t>52%</t>
        </is>
      </c>
      <c r="D28" t="n">
        <v>362</v>
      </c>
      <c r="E28" t="n">
        <v>8.619999999999999</v>
      </c>
    </row>
    <row r="30">
      <c r="A30" s="24" t="inlineStr">
        <is>
          <t>By Direction</t>
        </is>
      </c>
    </row>
    <row r="31">
      <c r="A31" s="23" t="inlineStr">
        <is>
          <t>Direction</t>
        </is>
      </c>
      <c r="B31" s="23" t="inlineStr">
        <is>
          <t>Trades</t>
        </is>
      </c>
      <c r="C31" s="23" t="inlineStr">
        <is>
          <t>Win %</t>
        </is>
      </c>
      <c r="D31" s="23" t="inlineStr">
        <is>
          <t>Total P&amp;L</t>
        </is>
      </c>
      <c r="E31" s="23" t="inlineStr">
        <is>
          <t>Expectancy</t>
        </is>
      </c>
    </row>
    <row r="32">
      <c r="A32" t="inlineStr">
        <is>
          <t>Long</t>
        </is>
      </c>
      <c r="B32" t="n">
        <v>52</v>
      </c>
      <c r="C32" t="inlineStr">
        <is>
          <t>50%</t>
        </is>
      </c>
      <c r="D32" t="n">
        <v>2269.5</v>
      </c>
      <c r="E32" t="n">
        <v>43.64</v>
      </c>
    </row>
    <row r="33">
      <c r="A33" t="inlineStr">
        <is>
          <t>Short</t>
        </is>
      </c>
      <c r="B33" t="n">
        <v>41</v>
      </c>
      <c r="C33" t="inlineStr">
        <is>
          <t>61%</t>
        </is>
      </c>
      <c r="D33" t="n">
        <v>113.5</v>
      </c>
      <c r="E33" t="n">
        <v>2.77</v>
      </c>
    </row>
    <row r="35">
      <c r="A35" s="24" t="inlineStr">
        <is>
          <t>By Hour</t>
        </is>
      </c>
    </row>
    <row r="36">
      <c r="A36" s="23" t="inlineStr">
        <is>
          <t>Hour</t>
        </is>
      </c>
      <c r="B36" s="23" t="inlineStr">
        <is>
          <t>Trades</t>
        </is>
      </c>
      <c r="C36" s="23" t="inlineStr">
        <is>
          <t>Win %</t>
        </is>
      </c>
      <c r="D36" s="23" t="inlineStr">
        <is>
          <t>Total P&amp;L</t>
        </is>
      </c>
      <c r="E36" s="23" t="inlineStr">
        <is>
          <t>Expectancy</t>
        </is>
      </c>
    </row>
    <row r="37">
      <c r="A37" t="inlineStr">
        <is>
          <t>00:00</t>
        </is>
      </c>
      <c r="B37" t="n">
        <v>4</v>
      </c>
      <c r="C37" t="inlineStr">
        <is>
          <t>75%</t>
        </is>
      </c>
      <c r="D37" t="n">
        <v>82</v>
      </c>
      <c r="E37" t="n">
        <v>20.5</v>
      </c>
    </row>
    <row r="38">
      <c r="A38" t="inlineStr">
        <is>
          <t>08:00</t>
        </is>
      </c>
      <c r="B38" t="n">
        <v>1</v>
      </c>
      <c r="C38" t="inlineStr">
        <is>
          <t>0%</t>
        </is>
      </c>
      <c r="D38" t="n">
        <v>-57</v>
      </c>
      <c r="E38" t="n">
        <v>-57</v>
      </c>
    </row>
    <row r="39">
      <c r="A39" t="inlineStr">
        <is>
          <t>09:00</t>
        </is>
      </c>
      <c r="B39" t="n">
        <v>17</v>
      </c>
      <c r="C39" t="inlineStr">
        <is>
          <t>71%</t>
        </is>
      </c>
      <c r="D39" t="n">
        <v>1907.5</v>
      </c>
      <c r="E39" t="n">
        <v>112.21</v>
      </c>
    </row>
    <row r="40">
      <c r="A40" t="inlineStr">
        <is>
          <t>10:00</t>
        </is>
      </c>
      <c r="B40" t="n">
        <v>21</v>
      </c>
      <c r="C40" t="inlineStr">
        <is>
          <t>43%</t>
        </is>
      </c>
      <c r="D40" t="n">
        <v>206</v>
      </c>
      <c r="E40" t="n">
        <v>9.81</v>
      </c>
    </row>
    <row r="41">
      <c r="A41" t="inlineStr">
        <is>
          <t>11:00</t>
        </is>
      </c>
      <c r="B41" t="n">
        <v>10</v>
      </c>
      <c r="C41" t="inlineStr">
        <is>
          <t>40%</t>
        </is>
      </c>
      <c r="D41" t="n">
        <v>-139</v>
      </c>
      <c r="E41" t="n">
        <v>-13.9</v>
      </c>
    </row>
    <row r="42">
      <c r="A42" t="inlineStr">
        <is>
          <t>12:00</t>
        </is>
      </c>
      <c r="B42" t="n">
        <v>6</v>
      </c>
      <c r="C42" t="inlineStr">
        <is>
          <t>83%</t>
        </is>
      </c>
      <c r="D42" t="n">
        <v>-2</v>
      </c>
      <c r="E42" t="n">
        <v>-0.33</v>
      </c>
    </row>
    <row r="43">
      <c r="A43" t="inlineStr">
        <is>
          <t>13:00</t>
        </is>
      </c>
      <c r="B43" t="n">
        <v>1</v>
      </c>
      <c r="C43" t="inlineStr">
        <is>
          <t>0%</t>
        </is>
      </c>
      <c r="D43" t="n">
        <v>-255</v>
      </c>
      <c r="E43" t="n">
        <v>-255</v>
      </c>
    </row>
    <row r="44">
      <c r="A44" t="inlineStr">
        <is>
          <t>14:00</t>
        </is>
      </c>
      <c r="B44" t="n">
        <v>2</v>
      </c>
      <c r="C44" t="inlineStr">
        <is>
          <t>0%</t>
        </is>
      </c>
      <c r="D44" t="n">
        <v>-402</v>
      </c>
      <c r="E44" t="n">
        <v>-201</v>
      </c>
    </row>
    <row r="45">
      <c r="A45" t="inlineStr">
        <is>
          <t>15:00</t>
        </is>
      </c>
      <c r="B45" t="n">
        <v>1</v>
      </c>
      <c r="C45" t="inlineStr">
        <is>
          <t>0%</t>
        </is>
      </c>
      <c r="D45" t="n">
        <v>-120</v>
      </c>
      <c r="E45" t="n">
        <v>-120</v>
      </c>
    </row>
    <row r="46">
      <c r="A46" t="inlineStr">
        <is>
          <t>18:00</t>
        </is>
      </c>
      <c r="B46" t="n">
        <v>2</v>
      </c>
      <c r="C46" t="inlineStr">
        <is>
          <t>100%</t>
        </is>
      </c>
      <c r="D46" t="n">
        <v>224</v>
      </c>
      <c r="E46" t="n">
        <v>112</v>
      </c>
    </row>
    <row r="47">
      <c r="A47" t="inlineStr">
        <is>
          <t>19:00</t>
        </is>
      </c>
      <c r="B47" t="n">
        <v>7</v>
      </c>
      <c r="C47" t="inlineStr">
        <is>
          <t>57%</t>
        </is>
      </c>
      <c r="D47" t="n">
        <v>-1470.5</v>
      </c>
      <c r="E47" t="n">
        <v>-210.07</v>
      </c>
    </row>
    <row r="48">
      <c r="A48" t="inlineStr">
        <is>
          <t>20:00</t>
        </is>
      </c>
      <c r="B48" t="n">
        <v>4</v>
      </c>
      <c r="C48" t="inlineStr">
        <is>
          <t>50%</t>
        </is>
      </c>
      <c r="D48" t="n">
        <v>457</v>
      </c>
      <c r="E48" t="n">
        <v>114.25</v>
      </c>
    </row>
    <row r="49">
      <c r="A49" t="inlineStr">
        <is>
          <t>21:00</t>
        </is>
      </c>
      <c r="B49" t="n">
        <v>6</v>
      </c>
      <c r="C49" t="inlineStr">
        <is>
          <t>83%</t>
        </is>
      </c>
      <c r="D49" t="n">
        <v>545</v>
      </c>
      <c r="E49" t="n">
        <v>90.83</v>
      </c>
    </row>
    <row r="50">
      <c r="A50" t="inlineStr">
        <is>
          <t>22:00</t>
        </is>
      </c>
      <c r="B50" t="n">
        <v>5</v>
      </c>
      <c r="C50" t="inlineStr">
        <is>
          <t>40%</t>
        </is>
      </c>
      <c r="D50" t="n">
        <v>1886</v>
      </c>
      <c r="E50" t="n">
        <v>377.2</v>
      </c>
    </row>
    <row r="51">
      <c r="A51" t="inlineStr">
        <is>
          <t>23:00</t>
        </is>
      </c>
      <c r="B51" t="n">
        <v>6</v>
      </c>
      <c r="C51" t="inlineStr">
        <is>
          <t>50%</t>
        </is>
      </c>
      <c r="D51" t="n">
        <v>-479</v>
      </c>
      <c r="E51" t="n">
        <v>-79.83</v>
      </c>
    </row>
    <row r="53">
      <c r="A53" s="24" t="inlineStr">
        <is>
          <t>By Day of Week</t>
        </is>
      </c>
    </row>
    <row r="54">
      <c r="A54" s="23" t="inlineStr">
        <is>
          <t>Day</t>
        </is>
      </c>
      <c r="B54" s="23" t="inlineStr">
        <is>
          <t>Trades</t>
        </is>
      </c>
      <c r="C54" s="23" t="inlineStr">
        <is>
          <t>Win %</t>
        </is>
      </c>
      <c r="D54" s="23" t="inlineStr">
        <is>
          <t>Total P&amp;L</t>
        </is>
      </c>
      <c r="E54" s="23" t="inlineStr">
        <is>
          <t>Expectancy</t>
        </is>
      </c>
    </row>
    <row r="55">
      <c r="A55" t="inlineStr">
        <is>
          <t>Thu</t>
        </is>
      </c>
      <c r="B55" t="n">
        <v>9</v>
      </c>
      <c r="C55" t="inlineStr">
        <is>
          <t>56%</t>
        </is>
      </c>
      <c r="D55" t="n">
        <v>1387</v>
      </c>
      <c r="E55" t="n">
        <v>154.11</v>
      </c>
    </row>
    <row r="56">
      <c r="A56" t="inlineStr">
        <is>
          <t>Fri</t>
        </is>
      </c>
      <c r="B56" t="n">
        <v>12</v>
      </c>
      <c r="C56" t="inlineStr">
        <is>
          <t>67%</t>
        </is>
      </c>
      <c r="D56" t="n">
        <v>930.5</v>
      </c>
      <c r="E56" t="n">
        <v>77.54000000000001</v>
      </c>
    </row>
    <row r="57">
      <c r="A57" t="inlineStr">
        <is>
          <t>Sun</t>
        </is>
      </c>
      <c r="B57" t="n">
        <v>9</v>
      </c>
      <c r="C57" t="inlineStr">
        <is>
          <t>67%</t>
        </is>
      </c>
      <c r="D57" t="n">
        <v>755</v>
      </c>
      <c r="E57" t="n">
        <v>83.89</v>
      </c>
    </row>
    <row r="58">
      <c r="A58" t="inlineStr">
        <is>
          <t>Wed</t>
        </is>
      </c>
      <c r="B58" t="n">
        <v>25</v>
      </c>
      <c r="C58" t="inlineStr">
        <is>
          <t>60%</t>
        </is>
      </c>
      <c r="D58" t="n">
        <v>-8.5</v>
      </c>
      <c r="E58" t="n">
        <v>-0.34</v>
      </c>
    </row>
    <row r="59">
      <c r="A59" t="inlineStr">
        <is>
          <t>Mon</t>
        </is>
      </c>
      <c r="B59" t="n">
        <v>17</v>
      </c>
      <c r="C59" t="inlineStr">
        <is>
          <t>41%</t>
        </is>
      </c>
      <c r="D59" t="n">
        <v>-256</v>
      </c>
      <c r="E59" t="n">
        <v>-15.06</v>
      </c>
    </row>
    <row r="60">
      <c r="A60" t="inlineStr">
        <is>
          <t>Tue</t>
        </is>
      </c>
      <c r="B60" t="n">
        <v>21</v>
      </c>
      <c r="C60" t="inlineStr">
        <is>
          <t>48%</t>
        </is>
      </c>
      <c r="D60" t="n">
        <v>-425</v>
      </c>
      <c r="E60" t="n">
        <v>-20.24</v>
      </c>
    </row>
    <row r="62">
      <c r="A62" s="24" t="inlineStr">
        <is>
          <t>Behavior Flags</t>
        </is>
      </c>
    </row>
    <row r="63">
      <c r="A63" t="inlineStr">
        <is>
          <t>Overtrading</t>
        </is>
      </c>
      <c r="B63" t="inlineStr">
        <is>
          <t>11 trades on 2026-08-11 (&gt; 6)</t>
        </is>
      </c>
    </row>
    <row r="64">
      <c r="A64" t="inlineStr">
        <is>
          <t>Overtrading</t>
        </is>
      </c>
      <c r="B64" t="inlineStr">
        <is>
          <t>9 trades on 2026-08-12 (&gt; 6)</t>
        </is>
      </c>
    </row>
    <row r="65">
      <c r="A65" t="inlineStr">
        <is>
          <t>Overtrading</t>
        </is>
      </c>
      <c r="B65" t="inlineStr">
        <is>
          <t>12 trades on 2026-08-26 (&gt; 6)</t>
        </is>
      </c>
    </row>
    <row r="66">
      <c r="A66" t="inlineStr">
        <is>
          <t>Overtrading</t>
        </is>
      </c>
      <c r="B66" t="inlineStr">
        <is>
          <t>10 trades on 2026-08-31 (&gt; 6)</t>
        </is>
      </c>
    </row>
    <row r="67">
      <c r="A67" t="inlineStr">
        <is>
          <t>Possible revenge trade</t>
        </is>
      </c>
      <c r="B67" t="inlineStr">
        <is>
          <t>MGC Short at 08/11 19:34 — 4 min after a loss, size 10</t>
        </is>
      </c>
    </row>
    <row r="68">
      <c r="A68" t="inlineStr">
        <is>
          <t>Possible revenge trade</t>
        </is>
      </c>
      <c r="B68" t="inlineStr">
        <is>
          <t>MGC Long at 08/11 23:25 — 14 min after a loss, size 10</t>
        </is>
      </c>
    </row>
    <row r="69">
      <c r="A69" t="inlineStr">
        <is>
          <t>Possible revenge trade</t>
        </is>
      </c>
      <c r="B69" t="inlineStr">
        <is>
          <t>MGC Short at 08/11 23:36 — 11 min after a loss, size 20</t>
        </is>
      </c>
    </row>
    <row r="70">
      <c r="A70" t="inlineStr">
        <is>
          <t>Possible revenge trade</t>
        </is>
      </c>
      <c r="B70" t="inlineStr">
        <is>
          <t>MGC Short at 08/13 22:59 — 9 min after a loss, size 3</t>
        </is>
      </c>
    </row>
    <row r="71">
      <c r="A71" t="inlineStr">
        <is>
          <t>Possible revenge trade</t>
        </is>
      </c>
      <c r="B71" t="inlineStr">
        <is>
          <t>MGC Long at 08/18 10:08 — 8 min after a loss, size 3</t>
        </is>
      </c>
    </row>
    <row r="72">
      <c r="A72" t="inlineStr">
        <is>
          <t>Possible revenge trade</t>
        </is>
      </c>
      <c r="B72" t="inlineStr">
        <is>
          <t>MNQ Short at 08/18 10:21 — 5 min after a loss, size 3</t>
        </is>
      </c>
    </row>
    <row r="73">
      <c r="A73" t="inlineStr">
        <is>
          <t>Possible revenge trade</t>
        </is>
      </c>
      <c r="B73" t="inlineStr">
        <is>
          <t>MGC Long at 08/23 19:46 — 11 min after a loss, size 1</t>
        </is>
      </c>
    </row>
    <row r="74">
      <c r="A74" t="inlineStr">
        <is>
          <t>Possible revenge trade</t>
        </is>
      </c>
      <c r="B74" t="inlineStr">
        <is>
          <t>MGC Long at 08/23 20:28 — 5 min after a loss, size 2</t>
        </is>
      </c>
    </row>
    <row r="75">
      <c r="A75" t="inlineStr">
        <is>
          <t>Possible revenge trade</t>
        </is>
      </c>
      <c r="B75" t="inlineStr">
        <is>
          <t>MNQ Short at 08/24 11:13 — 15 min after a loss, size 5</t>
        </is>
      </c>
    </row>
    <row r="76">
      <c r="A76" t="inlineStr">
        <is>
          <t>Possible revenge trade</t>
        </is>
      </c>
      <c r="B76" t="inlineStr">
        <is>
          <t>MGC Short at 08/26 11:55 — 9 min after a loss, size 5</t>
        </is>
      </c>
    </row>
    <row r="77">
      <c r="A77" t="inlineStr">
        <is>
          <t>Possible revenge trade</t>
        </is>
      </c>
      <c r="B77" t="inlineStr">
        <is>
          <t>MNQ Long at 08/26 21:16 — 11 min after a loss, size 12</t>
        </is>
      </c>
    </row>
    <row r="78">
      <c r="A78" t="inlineStr">
        <is>
          <t>Possible revenge trade</t>
        </is>
      </c>
      <c r="B78" t="inlineStr">
        <is>
          <t>MGC Long at 08/31 10:10 — 14 min after a loss, size 3</t>
        </is>
      </c>
    </row>
    <row r="79">
      <c r="A79" t="inlineStr">
        <is>
          <t>Possible revenge trade</t>
        </is>
      </c>
      <c r="B79" t="inlineStr">
        <is>
          <t>MNQ Short at 08/31 10:11 — 1 min after a loss, size 3</t>
        </is>
      </c>
    </row>
    <row r="80">
      <c r="A80" t="inlineStr">
        <is>
          <t>Stop overrun</t>
        </is>
      </c>
      <c r="B80" t="inlineStr">
        <is>
          <t>MNQ 08/12 11:57 realized RR -1.19 (worse than -1R)</t>
        </is>
      </c>
    </row>
    <row r="81">
      <c r="A81" t="inlineStr">
        <is>
          <t>Stop overrun</t>
        </is>
      </c>
      <c r="B81" t="inlineStr">
        <is>
          <t>MNQ 08/18 10:21 realized RR -1.19 (worse than -1R)</t>
        </is>
      </c>
    </row>
    <row r="82">
      <c r="A82" t="inlineStr">
        <is>
          <t>Winner cut short</t>
        </is>
      </c>
      <c r="B82" t="inlineStr">
        <is>
          <t>MGC 08/11 19:27 took 0.18R of 0.42R target</t>
        </is>
      </c>
    </row>
    <row r="83">
      <c r="A83" t="inlineStr">
        <is>
          <t>Winner cut short</t>
        </is>
      </c>
      <c r="B83" t="inlineStr">
        <is>
          <t>MNQ 08/25 10:32 took 0.49R of 2.16R target</t>
        </is>
      </c>
    </row>
    <row r="84">
      <c r="A84" t="inlineStr">
        <is>
          <t>Inconsistent sizing</t>
        </is>
      </c>
      <c r="B84" t="inlineStr">
        <is>
          <t>Position size varies a lot (CV 1.08)</t>
        </is>
      </c>
    </row>
    <row r="85">
      <c r="A85" t="inlineStr">
        <is>
          <t>Negative-edge hour</t>
        </is>
      </c>
      <c r="B85" t="inlineStr">
        <is>
          <t>12:00: 6 trades, 83% win, $-2 total</t>
        </is>
      </c>
    </row>
    <row r="86">
      <c r="A86" t="inlineStr">
        <is>
          <t>Negative-edge hour</t>
        </is>
      </c>
      <c r="B86" t="inlineStr">
        <is>
          <t>11:00: 10 trades, 40% win, $-139 total</t>
        </is>
      </c>
    </row>
    <row r="87">
      <c r="A87" t="inlineStr">
        <is>
          <t>Negative-edge hour</t>
        </is>
      </c>
      <c r="B87" t="inlineStr">
        <is>
          <t>23:00: 6 trades, 50% win, $-479 total</t>
        </is>
      </c>
    </row>
    <row r="88">
      <c r="A88" t="inlineStr">
        <is>
          <t>Negative-edge hour</t>
        </is>
      </c>
      <c r="B88" t="inlineStr">
        <is>
          <t>19:00: 7 trades, 57% win, $-1471 total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6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24" t="inlineStr">
        <is>
          <t>Claude AI Coaching</t>
        </is>
      </c>
    </row>
    <row r="3">
      <c r="A3" s="14" t="inlineStr">
        <is>
          <t>Here's the honest read on your August data — the top-line number ($2,383 net, PF 1.3) is masking a much better trader hiding inside a much worse one. Two data cuts below explain almost the entire story.</t>
        </is>
      </c>
    </row>
    <row r="4">
      <c r="A4" s="14" t="inlineStr"/>
    </row>
    <row r="5">
      <c r="A5" s="14" t="inlineStr">
        <is>
          <t>## The core finding: your edge is real but you're diluting it 2:1</t>
        </is>
      </c>
    </row>
    <row r="6">
      <c r="A6" s="14" t="inlineStr"/>
    </row>
    <row r="7">
      <c r="A7" s="14" t="inlineStr">
        <is>
          <t>Your indicator tags happen to partition all 93 trades cleanly into "quality" buckets, and the split is stark:</t>
        </is>
      </c>
    </row>
    <row r="8">
      <c r="A8" s="14" t="inlineStr"/>
    </row>
    <row r="9">
      <c r="A9" s="14" t="inlineStr">
        <is>
          <t>| Quality signal | Good side | Bad side |</t>
        </is>
      </c>
    </row>
    <row r="10">
      <c r="A10" s="14" t="inlineStr">
        <is>
          <t>|---|---|---|</t>
        </is>
      </c>
    </row>
    <row r="11">
      <c r="A11" s="14" t="inlineStr">
        <is>
          <t>| Pullback grade | Good/A+: 34 trades → **+$5,010** | Weak/No setup: 59 trades → **-$2,627** |</t>
        </is>
      </c>
    </row>
    <row r="12">
      <c r="A12" s="14" t="inlineStr">
        <is>
          <t>| 1H trend alignment | With trend: 55 trades → **+$3,787** | Against/unclear: 38 trades → **-$1,404** |</t>
        </is>
      </c>
    </row>
    <row r="13">
      <c r="A13" s="14" t="inlineStr">
        <is>
          <t>| At a key level | Yes: 63 trades → **+$4,561** | No: 30 trades → **-$2,178** |</t>
        </is>
      </c>
    </row>
    <row r="14">
      <c r="A14" s="14" t="inlineStr">
        <is>
          <t>| ADX (trend strength) | ≥20: 59 trades → **+$3,803** | &lt;20 (chop): 34 trades → **-$1,420** |</t>
        </is>
      </c>
    </row>
    <row r="15">
      <c r="A15" s="14" t="inlineStr">
        <is>
          <t>| Trigger-bar volume | High (≥1.2x): 34 trades → **+$2,514** | Weak: 59 trades → **-$131** |</t>
        </is>
      </c>
    </row>
    <row r="16">
      <c r="A16" s="14" t="inlineStr"/>
    </row>
    <row r="17">
      <c r="A17" s="14" t="inlineStr">
        <is>
          <t>These aren't 5 different stories — they're the same story told 5 ways: **when you take an A-grade Break and Retest (at a key level, with the 1-hour trend, in a trending ADX regime, on real volume), you have a strong, repeatable edge.** When you take a low-grade version of the same setup — weak pullback, chop, against/unclear trend — you bleed. 59 of your 93 trades (63%) fell into the low-quality bucket this month. If you'd simply passed on those, you'd be sitting closer to **$5,000** net instead of $2,383, with meaningfully less drawdown and screen time. This is the single highest-leverage fix available to you — not a new setup, just stricter filtering of the one you already have.</t>
        </is>
      </c>
    </row>
    <row r="18">
      <c r="A18" s="14" t="inlineStr"/>
    </row>
    <row r="19">
      <c r="A19" s="14" t="inlineStr">
        <is>
          <t>## Time of day confirms it</t>
        </is>
      </c>
    </row>
    <row r="20">
      <c r="A20" s="14" t="inlineStr">
        <is>
          <t>09:00 is your best hour by far (17 trades, 70.6% win, +$112 expectancy) — that's probably your primary session where setups are cleanest. Compare to 19:00 (-$1,471 over 7 trades), 23:00 (-$479), and 11:00 (-$139) — three "negative-edge hour" flags totaling **-$2,090**, almost enough by itself to explain the gap between your actual PnL and your potential PnL above. Late-session (19:00–23:00) trades are disproportionately where your revenge-trade flags cluster too (Aug 11, Aug 23). Worth asking: are you trading these hours because a real setup showed up, or because you're still at the screen after a loss and don't want to end the day red?</t>
        </is>
      </c>
    </row>
    <row r="21">
      <c r="A21" s="14" t="inlineStr"/>
    </row>
    <row r="22">
      <c r="A22" s="14" t="inlineStr">
        <is>
          <t>## The overtrading → revenge → oversized chain</t>
        </is>
      </c>
    </row>
    <row r="23">
      <c r="A23" s="14" t="inlineStr">
        <is>
          <t>Four days flagged for overtrading (Aug 11: 11 trades, Aug 12: 9, Aug 26: 12, Aug 31: 10 — today), and most of your 17 "possible revenge trade" flags sit inside those same days. The dangerous part isn't that revenge trades lost money this month — the "Revenge trade" tag actually shows +$2,091 (n=14) and "Oversized" shows +$1,745 (n=15, 73% win). **That's not a green light, it's survivorship.** Look at the actual sizes: MGC Short 08/11 23:36 at size 20, MNQ Long 08/26 21:16 at size 12 — these are 4-6x your typical 3-lot. Your largest loss (-$1,310) and max drawdown (-$1,750) live in this same behavioral neighborhood. You got away with sizing up under tilt this month; the position-size CV of 1.08 (flagged as "inconsistent sizing") says this isn't a controlled, conviction-based scale-up, it's a variance amplifier that will eventually bite on a day the market doesn't cooperate.</t>
        </is>
      </c>
    </row>
    <row r="24">
      <c r="A24" s="14" t="inlineStr"/>
    </row>
    <row r="25">
      <c r="A25" s="14" t="inlineStr">
        <is>
          <t>Today (Aug 31) is a live example: MGC 08/31 was a near-doji day (body = 2% of range — basically no trend), yet you still ran 10 trades, and the recent log shows a loss at 10:10 (revenge flagged), immediately followed by another loss at 10:11 one minute later (also revenge flagged) — chaining into a second impulsive trade before the first one's emotional charge even faded.</t>
        </is>
      </c>
    </row>
    <row r="26">
      <c r="A26" s="14" t="inlineStr"/>
    </row>
    <row r="27">
      <c r="A27" s="14" t="inlineStr">
        <is>
          <t>## Other things worth your attention</t>
        </is>
      </c>
    </row>
    <row r="28">
      <c r="A28" s="14" t="inlineStr">
        <is>
          <t>- **RR gap is the loudest number in the summary**: you target 1.35R on average but realize 0.04R. Even accounting for losers, that's an extreme shortfall — you're either cutting winners way early (confirmed by 2 explicit "winner cut short" flags, one where you took 0.18R of a 0.42R target, another where you left 1.67R on the table) or your stop/target execution doesn't match what you planned. This is worth fixing before anything else — it's suppressing your PF directly.</t>
        </is>
      </c>
    </row>
    <row r="29">
      <c r="A29" s="14" t="inlineStr">
        <is>
          <t>- **Longs ($43.64 expectancy) crush shorts ($2.77)** despite shorts having the *higher* win rate (61% vs 50%). That means your average short loser is oversized relative to your average short winner — a risk/reward problem specific to the short side, possibly tied to the MGC revenge-short cluster.</t>
        </is>
      </c>
    </row>
    <row r="30">
      <c r="A30" s="14" t="inlineStr">
        <is>
          <t>- **MGC ($39.63 expectancy) &gt;&gt; MNQ ($8.62)**. MNQ is close to a coin-flip for you money-wise right now; worth checking if MNQ trades skew toward the low-quality bucket above.</t>
        </is>
      </c>
    </row>
    <row r="31">
      <c r="A31" s="14" t="inlineStr">
        <is>
          <t>- One counterintuitive result: "Supertrends NOT aligned" outperformed "aligned" (+$2,665 vs -$282, n=63 vs 30). Don't read this as "fade alignment" — it's far more likely confounded with your other quality filters (alignment may be a lagging signal that only completes after the good part of the move is gone). Not actionable on its own; just don't let it talk you into inverting the signal.</t>
        </is>
      </c>
    </row>
    <row r="32">
      <c r="A32" s="14" t="inlineStr"/>
    </row>
    <row r="33">
      <c r="A33" s="14" t="inlineStr">
        <is>
          <t>## Three concrete rules for next week</t>
        </is>
      </c>
    </row>
    <row r="34">
      <c r="A34" s="14" t="inlineStr">
        <is>
          <t>1. **Only take trades that are "Good" or "A+" pullback grade, at a key level, with the 1H trend, and ADX ≥ 20.** If a setup is missing 2+ of these, skip it — that population is a net loser regardless of setup name.</t>
        </is>
      </c>
    </row>
    <row r="35">
      <c r="A35" s="14" t="inlineStr">
        <is>
          <t>2. **Hard cap: no new trade within 15 minutes of a loss, and no size increase for the rest of the session after any loss.** This directly targets the revenge/overtrading cluster before it produces the next -$1,310 day.</t>
        </is>
      </c>
    </row>
    <row r="36">
      <c r="A36" s="14" t="inlineStr">
        <is>
          <t>3. **Flag 19:00–23:00 as a reduced-size or no-trade window** unless it's an A+ setup — you have three separate hour-buckets in this window bleeding money, likely from mental fatigue or after-a-loss trading rather than genuinely bad setups at those hours.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9" customWidth="1" min="3" max="3"/>
    <col width="8" customWidth="1" min="4" max="4"/>
    <col width="34" customWidth="1" min="5" max="5"/>
    <col width="10" customWidth="1" min="6" max="6"/>
    <col width="10" customWidth="1" min="7" max="7"/>
    <col width="10" customWidth="1" min="8" max="8"/>
  </cols>
  <sheetData>
    <row r="1">
      <c r="A1" s="23" t="inlineStr">
        <is>
          <t>Date</t>
        </is>
      </c>
      <c r="B1" s="23" t="inlineStr">
        <is>
          <t>Time (ET)</t>
        </is>
      </c>
      <c r="C1" s="23" t="inlineStr">
        <is>
          <t>Currency</t>
        </is>
      </c>
      <c r="D1" s="23" t="inlineStr">
        <is>
          <t>Impact</t>
        </is>
      </c>
      <c r="E1" s="23" t="inlineStr">
        <is>
          <t>Event</t>
        </is>
      </c>
      <c r="F1" s="23" t="inlineStr">
        <is>
          <t>Actual</t>
        </is>
      </c>
      <c r="G1" s="23" t="inlineStr">
        <is>
          <t>Forecast</t>
        </is>
      </c>
      <c r="H1" s="23" t="inlineStr">
        <is>
          <t>Previous</t>
        </is>
      </c>
    </row>
    <row r="2">
      <c r="A2" t="inlineStr">
        <is>
          <t>2026-08-12</t>
        </is>
      </c>
      <c r="B2" t="inlineStr">
        <is>
          <t>08:30</t>
        </is>
      </c>
      <c r="C2" t="inlineStr">
        <is>
          <t>USD</t>
        </is>
      </c>
      <c r="D2" t="inlineStr">
        <is>
          <t>High</t>
        </is>
      </c>
      <c r="E2" t="inlineStr">
        <is>
          <t>CPI</t>
        </is>
      </c>
      <c r="F2" t="inlineStr">
        <is>
          <t>0.2%</t>
        </is>
      </c>
      <c r="G2" t="inlineStr">
        <is>
          <t>0.2%</t>
        </is>
      </c>
      <c r="H2" t="inlineStr">
        <is>
          <t>0.0%</t>
        </is>
      </c>
    </row>
    <row r="3">
      <c r="A3" t="inlineStr">
        <is>
          <t>2026-08-13</t>
        </is>
      </c>
      <c r="B3" t="inlineStr">
        <is>
          <t>08:30</t>
        </is>
      </c>
      <c r="C3" t="inlineStr">
        <is>
          <t>USD</t>
        </is>
      </c>
      <c r="D3" t="inlineStr">
        <is>
          <t>High</t>
        </is>
      </c>
      <c r="E3" t="inlineStr">
        <is>
          <t>PPI</t>
        </is>
      </c>
      <c r="F3" t="inlineStr">
        <is>
          <t>0.2%</t>
        </is>
      </c>
      <c r="G3" t="inlineStr">
        <is>
          <t>0.3%</t>
        </is>
      </c>
      <c r="H3" t="inlineStr">
        <is>
          <t>0.4%</t>
        </is>
      </c>
    </row>
    <row r="4">
      <c r="A4" t="inlineStr">
        <is>
          <t>2026-08-14</t>
        </is>
      </c>
      <c r="B4" t="inlineStr">
        <is>
          <t>08:30</t>
        </is>
      </c>
      <c r="C4" t="inlineStr">
        <is>
          <t>USD</t>
        </is>
      </c>
      <c r="D4" t="inlineStr">
        <is>
          <t>High</t>
        </is>
      </c>
      <c r="E4" t="inlineStr">
        <is>
          <t>Retail Sales</t>
        </is>
      </c>
      <c r="F4" t="inlineStr">
        <is>
          <t>-0.3%</t>
        </is>
      </c>
      <c r="G4" t="inlineStr">
        <is>
          <t>0.2%</t>
        </is>
      </c>
      <c r="H4" t="inlineStr">
        <is>
          <t>-0.2%</t>
        </is>
      </c>
    </row>
    <row r="5">
      <c r="A5" t="inlineStr">
        <is>
          <t>2026-08-19</t>
        </is>
      </c>
      <c r="B5" t="inlineStr">
        <is>
          <t>14:00</t>
        </is>
      </c>
      <c r="C5" t="inlineStr">
        <is>
          <t>USD</t>
        </is>
      </c>
      <c r="D5" t="inlineStr">
        <is>
          <t>High</t>
        </is>
      </c>
      <c r="E5" t="inlineStr">
        <is>
          <t>FOMC Minutes</t>
        </is>
      </c>
    </row>
    <row r="6">
      <c r="A6" t="inlineStr">
        <is>
          <t>2026-08-26</t>
        </is>
      </c>
      <c r="B6" t="inlineStr">
        <is>
          <t>08:30</t>
        </is>
      </c>
      <c r="C6" t="inlineStr">
        <is>
          <t>USD</t>
        </is>
      </c>
      <c r="D6" t="inlineStr">
        <is>
          <t>High</t>
        </is>
      </c>
      <c r="E6" t="inlineStr">
        <is>
          <t>PCE</t>
        </is>
      </c>
      <c r="F6" t="inlineStr">
        <is>
          <t>0.2%</t>
        </is>
      </c>
      <c r="G6" t="inlineStr">
        <is>
          <t>0.2%</t>
        </is>
      </c>
      <c r="H6" t="inlineStr">
        <is>
          <t>0.1%</t>
        </is>
      </c>
    </row>
    <row r="7">
      <c r="A7" t="inlineStr">
        <is>
          <t>2026-08-26</t>
        </is>
      </c>
      <c r="B7" t="inlineStr">
        <is>
          <t>08:30</t>
        </is>
      </c>
      <c r="C7" t="inlineStr">
        <is>
          <t>USD</t>
        </is>
      </c>
      <c r="D7" t="inlineStr">
        <is>
          <t>High</t>
        </is>
      </c>
      <c r="E7" t="inlineStr">
        <is>
          <t>GDP</t>
        </is>
      </c>
      <c r="F7" t="inlineStr">
        <is>
          <t>1.5%</t>
        </is>
      </c>
      <c r="G7" t="inlineStr">
        <is>
          <t>1.5%</t>
        </is>
      </c>
      <c r="H7" t="inlineStr">
        <is>
          <t>2.1%</t>
        </is>
      </c>
    </row>
    <row r="8">
      <c r="A8" t="inlineStr">
        <is>
          <t>2026-09-01</t>
        </is>
      </c>
      <c r="B8" t="inlineStr">
        <is>
          <t>10:00</t>
        </is>
      </c>
      <c r="C8" t="inlineStr">
        <is>
          <t>USD</t>
        </is>
      </c>
      <c r="D8" t="inlineStr">
        <is>
          <t>High</t>
        </is>
      </c>
      <c r="E8" t="inlineStr">
        <is>
          <t>ISM</t>
        </is>
      </c>
      <c r="F8" t="inlineStr">
        <is>
          <t>51.2</t>
        </is>
      </c>
      <c r="G8" t="inlineStr">
        <is>
          <t>52.5</t>
        </is>
      </c>
      <c r="H8" t="inlineStr">
        <is>
          <t>52.8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112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</cols>
  <sheetData>
    <row r="1">
      <c r="A1" s="23" t="inlineStr">
        <is>
          <t>Date</t>
        </is>
      </c>
      <c r="B1" s="23" t="inlineStr">
        <is>
          <t>Time</t>
        </is>
      </c>
      <c r="C1" s="23" t="inlineStr">
        <is>
          <t>Asset</t>
        </is>
      </c>
      <c r="D1" s="23" t="inlineStr">
        <is>
          <t>Dir</t>
        </is>
      </c>
      <c r="E1" s="23" t="inlineStr">
        <is>
          <t>P&amp;L</t>
        </is>
      </c>
      <c r="F1" s="23" t="inlineStr">
        <is>
          <t>1H Trend</t>
        </is>
      </c>
      <c r="G1" s="23" t="inlineStr">
        <is>
          <t>1H ST</t>
        </is>
      </c>
      <c r="H1" s="23" t="inlineStr">
        <is>
          <t>15m ST</t>
        </is>
      </c>
      <c r="I1" s="23" t="inlineStr">
        <is>
          <t>5m ST</t>
        </is>
      </c>
      <c r="J1" s="23" t="inlineStr">
        <is>
          <t>5m RSI</t>
        </is>
      </c>
      <c r="K1" s="23" t="inlineStr">
        <is>
          <t>5m EMA</t>
        </is>
      </c>
      <c r="L1" s="23" t="inlineStr">
        <is>
          <t>5m MACD</t>
        </is>
      </c>
      <c r="M1" s="23" t="inlineStr">
        <is>
          <t>5m ADX</t>
        </is>
      </c>
      <c r="N1" s="23" t="inlineStr">
        <is>
          <t>5m ATR</t>
        </is>
      </c>
      <c r="O1" s="23" t="inlineStr">
        <is>
          <t>VWAP</t>
        </is>
      </c>
      <c r="P1" s="23" t="inlineStr">
        <is>
          <t>VWAP Side</t>
        </is>
      </c>
      <c r="Q1" s="23" t="inlineStr">
        <is>
          <t>VPOC</t>
        </is>
      </c>
      <c r="R1" s="23" t="inlineStr">
        <is>
          <t>RVOL</t>
        </is>
      </c>
      <c r="S1" s="23" t="inlineStr">
        <is>
          <t>Est. Delta</t>
        </is>
      </c>
      <c r="T1" s="23" t="inlineStr">
        <is>
          <t>Fib %</t>
        </is>
      </c>
      <c r="U1" s="23" t="inlineStr">
        <is>
          <t>Fib Zone</t>
        </is>
      </c>
      <c r="V1" s="23" t="inlineStr">
        <is>
          <t>Pullback</t>
        </is>
      </c>
      <c r="W1" s="23" t="inlineStr">
        <is>
          <t>PB Score</t>
        </is>
      </c>
      <c r="X1" s="23" t="inlineStr">
        <is>
          <t>At Level</t>
        </is>
      </c>
      <c r="Y1" s="23" t="inlineStr">
        <is>
          <t>Candle</t>
        </is>
      </c>
      <c r="Z1" s="23" t="inlineStr">
        <is>
          <t>Trig Vol</t>
        </is>
      </c>
      <c r="AA1" s="23" t="inlineStr">
        <is>
          <t>STs Aligned</t>
        </is>
      </c>
      <c r="AB1" s="23" t="inlineStr">
        <is>
          <t>With 1H Trend</t>
        </is>
      </c>
    </row>
    <row r="2">
      <c r="A2" t="inlineStr">
        <is>
          <t>2026-08-11</t>
        </is>
      </c>
      <c r="B2" t="inlineStr">
        <is>
          <t>19:27</t>
        </is>
      </c>
      <c r="C2" t="inlineStr">
        <is>
          <t>MGC</t>
        </is>
      </c>
      <c r="D2" t="inlineStr">
        <is>
          <t>Long</t>
        </is>
      </c>
      <c r="E2" t="n">
        <v>30</v>
      </c>
      <c r="F2" t="inlineStr">
        <is>
          <t>up</t>
        </is>
      </c>
      <c r="G2" t="inlineStr">
        <is>
          <t>down</t>
        </is>
      </c>
      <c r="H2" t="inlineStr">
        <is>
          <t>down</t>
        </is>
      </c>
      <c r="I2" t="inlineStr">
        <is>
          <t>down</t>
        </is>
      </c>
      <c r="J2" t="n">
        <v>53.8</v>
      </c>
      <c r="K2" t="inlineStr">
        <is>
          <t>bear</t>
        </is>
      </c>
      <c r="L2" t="inlineStr">
        <is>
          <t>-</t>
        </is>
      </c>
      <c r="M2" t="n">
        <v>17.1</v>
      </c>
      <c r="N2" t="n">
        <v>3.95</v>
      </c>
      <c r="O2" t="n">
        <v>4439.45</v>
      </c>
      <c r="P2" t="inlineStr">
        <is>
          <t>below</t>
        </is>
      </c>
      <c r="Q2" t="n">
        <v>4444.22</v>
      </c>
      <c r="R2" t="n">
        <v>2.62</v>
      </c>
      <c r="S2" t="n">
        <v>-4577</v>
      </c>
      <c r="T2" t="n">
        <v>48</v>
      </c>
      <c r="U2" t="inlineStr">
        <is>
          <t>golden</t>
        </is>
      </c>
      <c r="V2" t="inlineStr">
        <is>
          <t>Weak</t>
        </is>
      </c>
      <c r="W2" t="n">
        <v>1</v>
      </c>
      <c r="X2" t="inlineStr">
        <is>
          <t>Round</t>
        </is>
      </c>
      <c r="Y2" t="inlineStr">
        <is>
          <t>strong bullish close</t>
        </is>
      </c>
      <c r="Z2" t="n">
        <v>1.78</v>
      </c>
      <c r="AA2" t="inlineStr">
        <is>
          <t>No</t>
        </is>
      </c>
      <c r="AB2" t="inlineStr">
        <is>
          <t>Yes</t>
        </is>
      </c>
    </row>
    <row r="3">
      <c r="A3" t="inlineStr">
        <is>
          <t>2026-08-11</t>
        </is>
      </c>
      <c r="B3" t="inlineStr">
        <is>
          <t>19:29</t>
        </is>
      </c>
      <c r="C3" t="inlineStr">
        <is>
          <t>MGC</t>
        </is>
      </c>
      <c r="D3" t="inlineStr">
        <is>
          <t>Short</t>
        </is>
      </c>
      <c r="E3" t="n">
        <v>110</v>
      </c>
      <c r="F3" t="inlineStr">
        <is>
          <t>up</t>
        </is>
      </c>
      <c r="G3" t="inlineStr">
        <is>
          <t>down</t>
        </is>
      </c>
      <c r="H3" t="inlineStr">
        <is>
          <t>down</t>
        </is>
      </c>
      <c r="I3" t="inlineStr">
        <is>
          <t>down</t>
        </is>
      </c>
      <c r="J3" t="n">
        <v>53.8</v>
      </c>
      <c r="K3" t="inlineStr">
        <is>
          <t>bear</t>
        </is>
      </c>
      <c r="L3" t="inlineStr">
        <is>
          <t>-</t>
        </is>
      </c>
      <c r="M3" t="n">
        <v>17.1</v>
      </c>
      <c r="N3" t="n">
        <v>3.95</v>
      </c>
      <c r="O3" t="n">
        <v>4439.45</v>
      </c>
      <c r="P3" t="inlineStr">
        <is>
          <t>below</t>
        </is>
      </c>
      <c r="Q3" t="n">
        <v>4444.22</v>
      </c>
      <c r="R3" t="n">
        <v>2.62</v>
      </c>
      <c r="S3" t="n">
        <v>-4577</v>
      </c>
      <c r="T3" t="n">
        <v>55</v>
      </c>
      <c r="U3" t="inlineStr">
        <is>
          <t>golden</t>
        </is>
      </c>
      <c r="V3" t="inlineStr">
        <is>
          <t>Weak</t>
        </is>
      </c>
      <c r="W3" t="n">
        <v>1</v>
      </c>
      <c r="X3" t="inlineStr">
        <is>
          <t>Round</t>
        </is>
      </c>
      <c r="Y3" t="inlineStr">
        <is>
          <t>strong bullish close</t>
        </is>
      </c>
      <c r="Z3" t="n">
        <v>1.78</v>
      </c>
      <c r="AA3" t="inlineStr">
        <is>
          <t>Yes</t>
        </is>
      </c>
      <c r="AB3" t="inlineStr">
        <is>
          <t>No</t>
        </is>
      </c>
    </row>
    <row r="4">
      <c r="A4" t="inlineStr">
        <is>
          <t>2026-08-11</t>
        </is>
      </c>
      <c r="B4" t="inlineStr">
        <is>
          <t>19:30</t>
        </is>
      </c>
      <c r="C4" t="inlineStr">
        <is>
          <t>MGC</t>
        </is>
      </c>
      <c r="D4" t="inlineStr">
        <is>
          <t>Long</t>
        </is>
      </c>
      <c r="E4" t="n">
        <v>-440</v>
      </c>
      <c r="F4" t="inlineStr">
        <is>
          <t>up</t>
        </is>
      </c>
      <c r="G4" t="inlineStr">
        <is>
          <t>down</t>
        </is>
      </c>
      <c r="H4" t="inlineStr">
        <is>
          <t>down</t>
        </is>
      </c>
      <c r="I4" t="inlineStr">
        <is>
          <t>down</t>
        </is>
      </c>
      <c r="J4" t="n">
        <v>45.1</v>
      </c>
      <c r="K4" t="inlineStr">
        <is>
          <t>bear</t>
        </is>
      </c>
      <c r="L4" t="inlineStr">
        <is>
          <t>-</t>
        </is>
      </c>
      <c r="M4" t="n">
        <v>17.2</v>
      </c>
      <c r="N4" t="n">
        <v>4.1</v>
      </c>
      <c r="O4" t="n">
        <v>4439.37</v>
      </c>
      <c r="P4" t="inlineStr">
        <is>
          <t>below</t>
        </is>
      </c>
      <c r="Q4" t="n">
        <v>4444.22</v>
      </c>
      <c r="R4" t="n">
        <v>1.78</v>
      </c>
      <c r="S4" t="n">
        <v>-4716</v>
      </c>
      <c r="T4" t="n">
        <v>40</v>
      </c>
      <c r="U4" t="inlineStr">
        <is>
          <t>golden</t>
        </is>
      </c>
      <c r="V4" t="inlineStr">
        <is>
          <t>Weak</t>
        </is>
      </c>
      <c r="W4" t="n">
        <v>1</v>
      </c>
      <c r="X4" t="inlineStr">
        <is>
          <t>Round</t>
        </is>
      </c>
      <c r="Z4" t="n">
        <v>1.39</v>
      </c>
      <c r="AA4" t="inlineStr">
        <is>
          <t>No</t>
        </is>
      </c>
      <c r="AB4" t="inlineStr">
        <is>
          <t>Yes</t>
        </is>
      </c>
    </row>
    <row r="5">
      <c r="A5" t="inlineStr">
        <is>
          <t>2026-08-11</t>
        </is>
      </c>
      <c r="B5" t="inlineStr">
        <is>
          <t>19:34</t>
        </is>
      </c>
      <c r="C5" t="inlineStr">
        <is>
          <t>MGC</t>
        </is>
      </c>
      <c r="D5" t="inlineStr">
        <is>
          <t>Short</t>
        </is>
      </c>
      <c r="E5" t="n">
        <v>-1310</v>
      </c>
      <c r="F5" t="inlineStr">
        <is>
          <t>up</t>
        </is>
      </c>
      <c r="G5" t="inlineStr">
        <is>
          <t>down</t>
        </is>
      </c>
      <c r="H5" t="inlineStr">
        <is>
          <t>down</t>
        </is>
      </c>
      <c r="I5" t="inlineStr">
        <is>
          <t>down</t>
        </is>
      </c>
      <c r="J5" t="n">
        <v>45.1</v>
      </c>
      <c r="K5" t="inlineStr">
        <is>
          <t>bear</t>
        </is>
      </c>
      <c r="L5" t="inlineStr">
        <is>
          <t>-</t>
        </is>
      </c>
      <c r="M5" t="n">
        <v>17.2</v>
      </c>
      <c r="N5" t="n">
        <v>4.1</v>
      </c>
      <c r="O5" t="n">
        <v>4439.37</v>
      </c>
      <c r="P5" t="inlineStr">
        <is>
          <t>below</t>
        </is>
      </c>
      <c r="Q5" t="n">
        <v>4444.22</v>
      </c>
      <c r="R5" t="n">
        <v>1.78</v>
      </c>
      <c r="S5" t="n">
        <v>-4716</v>
      </c>
      <c r="T5" t="n">
        <v>40</v>
      </c>
      <c r="U5" t="inlineStr">
        <is>
          <t>golden</t>
        </is>
      </c>
      <c r="V5" t="inlineStr">
        <is>
          <t>Weak</t>
        </is>
      </c>
      <c r="W5" t="n">
        <v>1</v>
      </c>
      <c r="X5" t="inlineStr">
        <is>
          <t>No</t>
        </is>
      </c>
      <c r="Z5" t="n">
        <v>1.39</v>
      </c>
      <c r="AA5" t="inlineStr">
        <is>
          <t>Yes</t>
        </is>
      </c>
      <c r="AB5" t="inlineStr">
        <is>
          <t>No</t>
        </is>
      </c>
    </row>
    <row r="6">
      <c r="A6" t="inlineStr">
        <is>
          <t>2026-08-11</t>
        </is>
      </c>
      <c r="B6" t="inlineStr">
        <is>
          <t>20:31</t>
        </is>
      </c>
      <c r="C6" t="inlineStr">
        <is>
          <t>MGC</t>
        </is>
      </c>
      <c r="D6" t="inlineStr">
        <is>
          <t>Long</t>
        </is>
      </c>
      <c r="E6" t="n">
        <v>370</v>
      </c>
      <c r="F6" t="inlineStr">
        <is>
          <t>up</t>
        </is>
      </c>
      <c r="G6" t="inlineStr">
        <is>
          <t>down</t>
        </is>
      </c>
      <c r="H6" t="inlineStr">
        <is>
          <t>down</t>
        </is>
      </c>
      <c r="I6" t="inlineStr">
        <is>
          <t>up</t>
        </is>
      </c>
      <c r="J6" t="n">
        <v>67.40000000000001</v>
      </c>
      <c r="K6" t="inlineStr">
        <is>
          <t>bull</t>
        </is>
      </c>
      <c r="L6" t="inlineStr">
        <is>
          <t>+</t>
        </is>
      </c>
      <c r="M6" t="n">
        <v>19</v>
      </c>
      <c r="N6" t="n">
        <v>3.89</v>
      </c>
      <c r="O6" t="n">
        <v>4439.2</v>
      </c>
      <c r="P6" t="inlineStr">
        <is>
          <t>above</t>
        </is>
      </c>
      <c r="Q6" t="n">
        <v>4444.22</v>
      </c>
      <c r="R6" t="n">
        <v>1.52</v>
      </c>
      <c r="S6" t="n">
        <v>-4008</v>
      </c>
      <c r="T6" t="n">
        <v>12</v>
      </c>
      <c r="U6" t="inlineStr">
        <is>
          <t>extended (no pullback)</t>
        </is>
      </c>
      <c r="V6" t="inlineStr">
        <is>
          <t>Weak</t>
        </is>
      </c>
      <c r="W6" t="n">
        <v>1</v>
      </c>
      <c r="X6" t="inlineStr">
        <is>
          <t>Round</t>
        </is>
      </c>
      <c r="Z6" t="n">
        <v>1.32</v>
      </c>
      <c r="AA6" t="inlineStr">
        <is>
          <t>No</t>
        </is>
      </c>
      <c r="AB6" t="inlineStr">
        <is>
          <t>Yes</t>
        </is>
      </c>
    </row>
    <row r="7">
      <c r="A7" t="inlineStr">
        <is>
          <t>2026-08-11</t>
        </is>
      </c>
      <c r="B7" t="inlineStr">
        <is>
          <t>21:16</t>
        </is>
      </c>
      <c r="C7" t="inlineStr">
        <is>
          <t>MGC</t>
        </is>
      </c>
      <c r="D7" t="inlineStr">
        <is>
          <t>Long</t>
        </is>
      </c>
      <c r="E7" t="n">
        <v>190</v>
      </c>
      <c r="F7" t="inlineStr">
        <is>
          <t>up</t>
        </is>
      </c>
      <c r="G7" t="inlineStr">
        <is>
          <t>down</t>
        </is>
      </c>
      <c r="H7" t="inlineStr">
        <is>
          <t>up</t>
        </is>
      </c>
      <c r="I7" t="inlineStr">
        <is>
          <t>up</t>
        </is>
      </c>
      <c r="J7" t="n">
        <v>74.09999999999999</v>
      </c>
      <c r="K7" t="inlineStr">
        <is>
          <t>bull</t>
        </is>
      </c>
      <c r="L7" t="inlineStr">
        <is>
          <t>+</t>
        </is>
      </c>
      <c r="M7" t="n">
        <v>26.8</v>
      </c>
      <c r="N7" t="n">
        <v>4.03</v>
      </c>
      <c r="O7" t="n">
        <v>4439.44</v>
      </c>
      <c r="P7" t="inlineStr">
        <is>
          <t>above</t>
        </is>
      </c>
      <c r="Q7" t="n">
        <v>4444.22</v>
      </c>
      <c r="R7" t="n">
        <v>1</v>
      </c>
      <c r="S7" t="n">
        <v>-2726</v>
      </c>
      <c r="T7" t="n">
        <v>-18</v>
      </c>
      <c r="U7" t="inlineStr">
        <is>
          <t>extended (no pullback)</t>
        </is>
      </c>
      <c r="V7" t="inlineStr">
        <is>
          <t>Weak</t>
        </is>
      </c>
      <c r="W7" t="n">
        <v>1</v>
      </c>
      <c r="X7" t="inlineStr">
        <is>
          <t>No</t>
        </is>
      </c>
      <c r="Y7" t="inlineStr">
        <is>
          <t>strong bullish close</t>
        </is>
      </c>
      <c r="Z7" t="n">
        <v>2.38</v>
      </c>
      <c r="AA7" t="inlineStr">
        <is>
          <t>No</t>
        </is>
      </c>
      <c r="AB7" t="inlineStr">
        <is>
          <t>Yes</t>
        </is>
      </c>
    </row>
    <row r="8">
      <c r="A8" t="inlineStr">
        <is>
          <t>2026-08-11</t>
        </is>
      </c>
      <c r="B8" t="inlineStr">
        <is>
          <t>22:40</t>
        </is>
      </c>
      <c r="C8" t="inlineStr">
        <is>
          <t>MGC</t>
        </is>
      </c>
      <c r="D8" t="inlineStr">
        <is>
          <t>Long</t>
        </is>
      </c>
      <c r="E8" t="n">
        <v>2160</v>
      </c>
      <c r="F8" t="inlineStr">
        <is>
          <t>up</t>
        </is>
      </c>
      <c r="G8" t="inlineStr">
        <is>
          <t>down</t>
        </is>
      </c>
      <c r="H8" t="inlineStr">
        <is>
          <t>up</t>
        </is>
      </c>
      <c r="I8" t="inlineStr">
        <is>
          <t>up</t>
        </is>
      </c>
      <c r="J8" t="n">
        <v>75.09999999999999</v>
      </c>
      <c r="K8" t="inlineStr">
        <is>
          <t>bull</t>
        </is>
      </c>
      <c r="L8" t="inlineStr">
        <is>
          <t>+</t>
        </is>
      </c>
      <c r="M8" t="n">
        <v>38</v>
      </c>
      <c r="N8" t="n">
        <v>4.31</v>
      </c>
      <c r="O8" t="n">
        <v>4441.14</v>
      </c>
      <c r="P8" t="inlineStr">
        <is>
          <t>above</t>
        </is>
      </c>
      <c r="Q8" t="n">
        <v>4444.25</v>
      </c>
      <c r="R8" t="n">
        <v>2.29</v>
      </c>
      <c r="S8" t="n">
        <v>-1849</v>
      </c>
      <c r="T8" t="n">
        <v>13</v>
      </c>
      <c r="U8" t="inlineStr">
        <is>
          <t>extended (no pullback)</t>
        </is>
      </c>
      <c r="V8" t="inlineStr">
        <is>
          <t>Good</t>
        </is>
      </c>
      <c r="W8" t="n">
        <v>2</v>
      </c>
      <c r="X8" t="inlineStr">
        <is>
          <t>ORH/Round</t>
        </is>
      </c>
      <c r="Z8" t="n">
        <v>2.09</v>
      </c>
      <c r="AA8" t="inlineStr">
        <is>
          <t>No</t>
        </is>
      </c>
      <c r="AB8" t="inlineStr">
        <is>
          <t>Yes</t>
        </is>
      </c>
    </row>
    <row r="9">
      <c r="A9" t="inlineStr">
        <is>
          <t>2026-08-11</t>
        </is>
      </c>
      <c r="B9" t="inlineStr">
        <is>
          <t>23:00</t>
        </is>
      </c>
      <c r="C9" t="inlineStr">
        <is>
          <t>MGC</t>
        </is>
      </c>
      <c r="D9" t="inlineStr">
        <is>
          <t>Long</t>
        </is>
      </c>
      <c r="E9" t="n">
        <v>-280</v>
      </c>
      <c r="F9" t="inlineStr">
        <is>
          <t>up</t>
        </is>
      </c>
      <c r="G9" t="inlineStr">
        <is>
          <t>down</t>
        </is>
      </c>
      <c r="H9" t="inlineStr">
        <is>
          <t>up</t>
        </is>
      </c>
      <c r="I9" t="inlineStr">
        <is>
          <t>up</t>
        </is>
      </c>
      <c r="J9" t="n">
        <v>71.3</v>
      </c>
      <c r="K9" t="inlineStr">
        <is>
          <t>bull</t>
        </is>
      </c>
      <c r="L9" t="inlineStr">
        <is>
          <t>+</t>
        </is>
      </c>
      <c r="M9" t="n">
        <v>42.7</v>
      </c>
      <c r="N9" t="n">
        <v>4.49</v>
      </c>
      <c r="O9" t="n">
        <v>4442.06</v>
      </c>
      <c r="P9" t="inlineStr">
        <is>
          <t>above</t>
        </is>
      </c>
      <c r="Q9" t="n">
        <v>4440.82</v>
      </c>
      <c r="R9" t="n">
        <v>1.95</v>
      </c>
      <c r="S9" t="n">
        <v>-1808</v>
      </c>
      <c r="T9" t="n">
        <v>4</v>
      </c>
      <c r="U9" t="inlineStr">
        <is>
          <t>extended (no pullback)</t>
        </is>
      </c>
      <c r="V9" t="inlineStr">
        <is>
          <t>Weak</t>
        </is>
      </c>
      <c r="W9" t="n">
        <v>1</v>
      </c>
      <c r="X9" t="inlineStr">
        <is>
          <t>No</t>
        </is>
      </c>
      <c r="Y9" t="inlineStr">
        <is>
          <t>strong bearish close</t>
        </is>
      </c>
      <c r="Z9" t="n">
        <v>1.18</v>
      </c>
      <c r="AA9" t="inlineStr">
        <is>
          <t>No</t>
        </is>
      </c>
      <c r="AB9" t="inlineStr">
        <is>
          <t>Yes</t>
        </is>
      </c>
    </row>
    <row r="10">
      <c r="A10" t="inlineStr">
        <is>
          <t>2026-08-11</t>
        </is>
      </c>
      <c r="B10" t="inlineStr">
        <is>
          <t>23:11</t>
        </is>
      </c>
      <c r="C10" t="inlineStr">
        <is>
          <t>MGC</t>
        </is>
      </c>
      <c r="D10" t="inlineStr">
        <is>
          <t>Long</t>
        </is>
      </c>
      <c r="E10" t="n">
        <v>-910</v>
      </c>
      <c r="F10" t="inlineStr">
        <is>
          <t>up</t>
        </is>
      </c>
      <c r="G10" t="inlineStr">
        <is>
          <t>down</t>
        </is>
      </c>
      <c r="H10" t="inlineStr">
        <is>
          <t>up</t>
        </is>
      </c>
      <c r="I10" t="inlineStr">
        <is>
          <t>up</t>
        </is>
      </c>
      <c r="J10" t="n">
        <v>68.90000000000001</v>
      </c>
      <c r="K10" t="inlineStr">
        <is>
          <t>bull</t>
        </is>
      </c>
      <c r="L10" t="inlineStr">
        <is>
          <t>+</t>
        </is>
      </c>
      <c r="M10" t="n">
        <v>44</v>
      </c>
      <c r="N10" t="n">
        <v>4.68</v>
      </c>
      <c r="O10" t="n">
        <v>4442.42</v>
      </c>
      <c r="P10" t="inlineStr">
        <is>
          <t>above</t>
        </is>
      </c>
      <c r="Q10" t="n">
        <v>4444.2</v>
      </c>
      <c r="R10" t="n">
        <v>2.07</v>
      </c>
      <c r="S10" t="n">
        <v>-1900</v>
      </c>
      <c r="T10" t="n">
        <v>3</v>
      </c>
      <c r="U10" t="inlineStr">
        <is>
          <t>extended (no pullback)</t>
        </is>
      </c>
      <c r="V10" t="inlineStr">
        <is>
          <t>Weak</t>
        </is>
      </c>
      <c r="W10" t="n">
        <v>1</v>
      </c>
      <c r="X10" t="inlineStr">
        <is>
          <t>No</t>
        </is>
      </c>
      <c r="Y10" t="inlineStr">
        <is>
          <t>strong bearish close</t>
        </is>
      </c>
      <c r="Z10" t="n">
        <v>0.77</v>
      </c>
      <c r="AA10" t="inlineStr">
        <is>
          <t>No</t>
        </is>
      </c>
      <c r="AB10" t="inlineStr">
        <is>
          <t>Yes</t>
        </is>
      </c>
    </row>
    <row r="11">
      <c r="A11" t="inlineStr">
        <is>
          <t>2026-08-11</t>
        </is>
      </c>
      <c r="B11" t="inlineStr">
        <is>
          <t>23:25</t>
        </is>
      </c>
      <c r="C11" t="inlineStr">
        <is>
          <t>MGC</t>
        </is>
      </c>
      <c r="D11" t="inlineStr">
        <is>
          <t>Long</t>
        </is>
      </c>
      <c r="E11" t="n">
        <v>-140</v>
      </c>
      <c r="F11" t="inlineStr">
        <is>
          <t>up</t>
        </is>
      </c>
      <c r="G11" t="inlineStr">
        <is>
          <t>down</t>
        </is>
      </c>
      <c r="H11" t="inlineStr">
        <is>
          <t>up</t>
        </is>
      </c>
      <c r="I11" t="inlineStr">
        <is>
          <t>up</t>
        </is>
      </c>
      <c r="J11" t="n">
        <v>61.4</v>
      </c>
      <c r="K11" t="inlineStr">
        <is>
          <t>bull</t>
        </is>
      </c>
      <c r="L11" t="inlineStr">
        <is>
          <t>-</t>
        </is>
      </c>
      <c r="M11" t="n">
        <v>40.3</v>
      </c>
      <c r="N11" t="n">
        <v>4.37</v>
      </c>
      <c r="O11" t="n">
        <v>4442.73</v>
      </c>
      <c r="P11" t="inlineStr">
        <is>
          <t>above</t>
        </is>
      </c>
      <c r="Q11" t="n">
        <v>4444.2</v>
      </c>
      <c r="R11" t="n">
        <v>0.82</v>
      </c>
      <c r="S11" t="n">
        <v>-2055</v>
      </c>
      <c r="T11" t="n">
        <v>16</v>
      </c>
      <c r="U11" t="inlineStr">
        <is>
          <t>shallow</t>
        </is>
      </c>
      <c r="V11" t="inlineStr">
        <is>
          <t>Weak</t>
        </is>
      </c>
      <c r="W11" t="n">
        <v>1</v>
      </c>
      <c r="X11" t="inlineStr">
        <is>
          <t>No</t>
        </is>
      </c>
      <c r="Z11" t="n">
        <v>0.5600000000000001</v>
      </c>
      <c r="AA11" t="inlineStr">
        <is>
          <t>No</t>
        </is>
      </c>
      <c r="AB11" t="inlineStr">
        <is>
          <t>Yes</t>
        </is>
      </c>
    </row>
    <row r="12">
      <c r="A12" t="inlineStr">
        <is>
          <t>2026-08-11</t>
        </is>
      </c>
      <c r="B12" t="inlineStr">
        <is>
          <t>23:36</t>
        </is>
      </c>
      <c r="C12" t="inlineStr">
        <is>
          <t>MGC</t>
        </is>
      </c>
      <c r="D12" t="inlineStr">
        <is>
          <t>Short</t>
        </is>
      </c>
      <c r="E12" t="n">
        <v>490</v>
      </c>
      <c r="F12" t="inlineStr">
        <is>
          <t>up</t>
        </is>
      </c>
      <c r="G12" t="inlineStr">
        <is>
          <t>down</t>
        </is>
      </c>
      <c r="H12" t="inlineStr">
        <is>
          <t>up</t>
        </is>
      </c>
      <c r="I12" t="inlineStr">
        <is>
          <t>up</t>
        </is>
      </c>
      <c r="J12" t="n">
        <v>55.6</v>
      </c>
      <c r="K12" t="inlineStr">
        <is>
          <t>bull</t>
        </is>
      </c>
      <c r="L12" t="inlineStr">
        <is>
          <t>-</t>
        </is>
      </c>
      <c r="M12" t="n">
        <v>37</v>
      </c>
      <c r="N12" t="n">
        <v>4.22</v>
      </c>
      <c r="O12" t="n">
        <v>4442.87</v>
      </c>
      <c r="P12" t="inlineStr">
        <is>
          <t>above</t>
        </is>
      </c>
      <c r="Q12" t="n">
        <v>4444.2</v>
      </c>
      <c r="R12" t="n">
        <v>1</v>
      </c>
      <c r="S12" t="n">
        <v>-2358</v>
      </c>
      <c r="T12" t="n">
        <v>-23</v>
      </c>
      <c r="U12" t="inlineStr">
        <is>
          <t>extended (no pullback)</t>
        </is>
      </c>
      <c r="V12" t="inlineStr">
        <is>
          <t>Weak</t>
        </is>
      </c>
      <c r="W12" t="n">
        <v>1</v>
      </c>
      <c r="X12" t="inlineStr">
        <is>
          <t>Round</t>
        </is>
      </c>
      <c r="Y12" t="inlineStr">
        <is>
          <t>strong bearish close</t>
        </is>
      </c>
      <c r="Z12" t="n">
        <v>0.45</v>
      </c>
      <c r="AA12" t="inlineStr">
        <is>
          <t>No</t>
        </is>
      </c>
      <c r="AB12" t="inlineStr">
        <is>
          <t>No</t>
        </is>
      </c>
    </row>
    <row r="13">
      <c r="A13" t="inlineStr">
        <is>
          <t>2026-08-12</t>
        </is>
      </c>
      <c r="B13" t="inlineStr">
        <is>
          <t>09:12</t>
        </is>
      </c>
      <c r="C13" t="inlineStr">
        <is>
          <t>MNQ</t>
        </is>
      </c>
      <c r="D13" t="inlineStr">
        <is>
          <t>Long</t>
        </is>
      </c>
      <c r="E13" t="n">
        <v>47.5</v>
      </c>
      <c r="F13" t="inlineStr">
        <is>
          <t>up</t>
        </is>
      </c>
      <c r="G13" t="inlineStr">
        <is>
          <t>up</t>
        </is>
      </c>
      <c r="H13" t="inlineStr">
        <is>
          <t>up</t>
        </is>
      </c>
      <c r="I13" t="inlineStr">
        <is>
          <t>up</t>
        </is>
      </c>
      <c r="J13" t="n">
        <v>74.5</v>
      </c>
      <c r="K13" t="inlineStr">
        <is>
          <t>bull</t>
        </is>
      </c>
      <c r="L13" t="inlineStr">
        <is>
          <t>+</t>
        </is>
      </c>
      <c r="M13" t="n">
        <v>13</v>
      </c>
      <c r="N13" t="n">
        <v>29.01</v>
      </c>
      <c r="O13" t="n">
        <v>29698.51</v>
      </c>
      <c r="P13" t="inlineStr">
        <is>
          <t>above</t>
        </is>
      </c>
      <c r="Q13" t="n">
        <v>29634.79</v>
      </c>
      <c r="R13" t="n">
        <v>0.8100000000000001</v>
      </c>
      <c r="S13" t="n">
        <v>-20867</v>
      </c>
      <c r="T13" t="n">
        <v>5</v>
      </c>
      <c r="U13" t="inlineStr">
        <is>
          <t>extended (no pullback)</t>
        </is>
      </c>
      <c r="V13" t="inlineStr">
        <is>
          <t>No setup</t>
        </is>
      </c>
      <c r="W13" t="n">
        <v>0</v>
      </c>
      <c r="X13" t="inlineStr">
        <is>
          <t>No</t>
        </is>
      </c>
      <c r="Y13" t="inlineStr">
        <is>
          <t>strong bullish close</t>
        </is>
      </c>
      <c r="Z13" t="n">
        <v>0.65</v>
      </c>
      <c r="AA13" t="inlineStr">
        <is>
          <t>Yes</t>
        </is>
      </c>
      <c r="AB13" t="inlineStr">
        <is>
          <t>Yes</t>
        </is>
      </c>
    </row>
    <row r="14">
      <c r="A14" t="inlineStr">
        <is>
          <t>2026-08-12</t>
        </is>
      </c>
      <c r="B14" t="inlineStr">
        <is>
          <t>09:26</t>
        </is>
      </c>
      <c r="C14" t="inlineStr">
        <is>
          <t>MGC</t>
        </is>
      </c>
      <c r="D14" t="inlineStr">
        <is>
          <t>Short</t>
        </is>
      </c>
      <c r="E14" t="n">
        <v>170</v>
      </c>
      <c r="F14" t="inlineStr">
        <is>
          <t>up</t>
        </is>
      </c>
      <c r="G14" t="inlineStr">
        <is>
          <t>up</t>
        </is>
      </c>
      <c r="H14" t="inlineStr">
        <is>
          <t>up</t>
        </is>
      </c>
      <c r="I14" t="inlineStr">
        <is>
          <t>up</t>
        </is>
      </c>
      <c r="J14" t="n">
        <v>48.6</v>
      </c>
      <c r="K14" t="inlineStr">
        <is>
          <t>bull</t>
        </is>
      </c>
      <c r="L14" t="inlineStr">
        <is>
          <t>-</t>
        </is>
      </c>
      <c r="M14" t="n">
        <v>14.1</v>
      </c>
      <c r="N14" t="n">
        <v>9.48</v>
      </c>
      <c r="O14" t="n">
        <v>4457.92</v>
      </c>
      <c r="P14" t="inlineStr">
        <is>
          <t>above</t>
        </is>
      </c>
      <c r="Q14" t="n">
        <v>4466.39</v>
      </c>
      <c r="R14" t="n">
        <v>1.28</v>
      </c>
      <c r="S14" t="n">
        <v>4436</v>
      </c>
      <c r="T14" t="n">
        <v>5</v>
      </c>
      <c r="U14" t="inlineStr">
        <is>
          <t>extended (no pullback)</t>
        </is>
      </c>
      <c r="V14" t="inlineStr">
        <is>
          <t>Good</t>
        </is>
      </c>
      <c r="W14" t="n">
        <v>2</v>
      </c>
      <c r="X14" t="inlineStr">
        <is>
          <t>Round</t>
        </is>
      </c>
      <c r="Y14" t="inlineStr">
        <is>
          <t>strong bullish close</t>
        </is>
      </c>
      <c r="Z14" t="n">
        <v>0.59</v>
      </c>
      <c r="AA14" t="inlineStr">
        <is>
          <t>No</t>
        </is>
      </c>
      <c r="AB14" t="inlineStr">
        <is>
          <t>No</t>
        </is>
      </c>
    </row>
    <row r="15">
      <c r="A15" t="inlineStr">
        <is>
          <t>2026-08-12</t>
        </is>
      </c>
      <c r="B15" t="inlineStr">
        <is>
          <t>09:38</t>
        </is>
      </c>
      <c r="C15" t="inlineStr">
        <is>
          <t>MNQ</t>
        </is>
      </c>
      <c r="D15" t="inlineStr">
        <is>
          <t>Short</t>
        </is>
      </c>
      <c r="E15" t="n">
        <v>69.5</v>
      </c>
      <c r="F15" t="inlineStr">
        <is>
          <t>up</t>
        </is>
      </c>
      <c r="G15" t="inlineStr">
        <is>
          <t>up</t>
        </is>
      </c>
      <c r="H15" t="inlineStr">
        <is>
          <t>up</t>
        </is>
      </c>
      <c r="I15" t="inlineStr">
        <is>
          <t>down</t>
        </is>
      </c>
      <c r="J15" t="n">
        <v>49.1</v>
      </c>
      <c r="K15" t="inlineStr">
        <is>
          <t>bull</t>
        </is>
      </c>
      <c r="L15" t="inlineStr">
        <is>
          <t>-</t>
        </is>
      </c>
      <c r="M15" t="n">
        <v>15.4</v>
      </c>
      <c r="N15" t="n">
        <v>38.58</v>
      </c>
      <c r="T15" t="n">
        <v>36</v>
      </c>
      <c r="U15" t="inlineStr">
        <is>
          <t>shallow</t>
        </is>
      </c>
      <c r="V15" t="inlineStr">
        <is>
          <t>Good</t>
        </is>
      </c>
      <c r="W15" t="n">
        <v>2</v>
      </c>
      <c r="X15" t="inlineStr">
        <is>
          <t>Round</t>
        </is>
      </c>
      <c r="Z15" t="n">
        <v>4.74</v>
      </c>
      <c r="AA15" t="inlineStr">
        <is>
          <t>No</t>
        </is>
      </c>
      <c r="AB15" t="inlineStr">
        <is>
          <t>No</t>
        </is>
      </c>
    </row>
    <row r="16">
      <c r="A16" t="inlineStr">
        <is>
          <t>2026-08-12</t>
        </is>
      </c>
      <c r="B16" t="inlineStr">
        <is>
          <t>09:51</t>
        </is>
      </c>
      <c r="C16" t="inlineStr">
        <is>
          <t>MGC</t>
        </is>
      </c>
      <c r="D16" t="inlineStr">
        <is>
          <t>Long</t>
        </is>
      </c>
      <c r="E16" t="n">
        <v>-460</v>
      </c>
      <c r="F16" t="inlineStr">
        <is>
          <t>up</t>
        </is>
      </c>
      <c r="G16" t="inlineStr">
        <is>
          <t>up</t>
        </is>
      </c>
      <c r="H16" t="inlineStr">
        <is>
          <t>up</t>
        </is>
      </c>
      <c r="I16" t="inlineStr">
        <is>
          <t>up</t>
        </is>
      </c>
      <c r="J16" t="n">
        <v>60</v>
      </c>
      <c r="K16" t="inlineStr">
        <is>
          <t>bull</t>
        </is>
      </c>
      <c r="L16" t="inlineStr">
        <is>
          <t>-</t>
        </is>
      </c>
      <c r="M16" t="n">
        <v>14.2</v>
      </c>
      <c r="N16" t="n">
        <v>9.68</v>
      </c>
      <c r="O16" t="n">
        <v>4478.64</v>
      </c>
      <c r="P16" t="inlineStr">
        <is>
          <t>above</t>
        </is>
      </c>
      <c r="Q16" t="n">
        <v>4474.18</v>
      </c>
      <c r="R16" t="n">
        <v>1.15</v>
      </c>
      <c r="S16" t="n">
        <v>889</v>
      </c>
      <c r="T16" t="n">
        <v>20</v>
      </c>
      <c r="U16" t="inlineStr">
        <is>
          <t>shallow</t>
        </is>
      </c>
      <c r="V16" t="inlineStr">
        <is>
          <t>Weak</t>
        </is>
      </c>
      <c r="W16" t="n">
        <v>1</v>
      </c>
      <c r="X16" t="inlineStr">
        <is>
          <t>Round</t>
        </is>
      </c>
      <c r="Y16" t="inlineStr">
        <is>
          <t>strong bullish close</t>
        </is>
      </c>
      <c r="Z16" t="n">
        <v>0.7</v>
      </c>
      <c r="AA16" t="inlineStr">
        <is>
          <t>Yes</t>
        </is>
      </c>
      <c r="AB16" t="inlineStr">
        <is>
          <t>Yes</t>
        </is>
      </c>
    </row>
    <row r="17">
      <c r="A17" t="inlineStr">
        <is>
          <t>2026-08-12</t>
        </is>
      </c>
      <c r="B17" t="inlineStr">
        <is>
          <t>10:55</t>
        </is>
      </c>
      <c r="C17" t="inlineStr">
        <is>
          <t>MNQ</t>
        </is>
      </c>
      <c r="D17" t="inlineStr">
        <is>
          <t>Long</t>
        </is>
      </c>
      <c r="E17" t="n">
        <v>93</v>
      </c>
      <c r="F17" t="inlineStr">
        <is>
          <t>up</t>
        </is>
      </c>
      <c r="G17" t="inlineStr">
        <is>
          <t>up</t>
        </is>
      </c>
      <c r="H17" t="inlineStr">
        <is>
          <t>up</t>
        </is>
      </c>
      <c r="I17" t="inlineStr">
        <is>
          <t>down</t>
        </is>
      </c>
      <c r="J17" t="n">
        <v>45.8</v>
      </c>
      <c r="K17" t="inlineStr">
        <is>
          <t>bear</t>
        </is>
      </c>
      <c r="L17" t="inlineStr">
        <is>
          <t>-</t>
        </is>
      </c>
      <c r="M17" t="n">
        <v>14.9</v>
      </c>
      <c r="N17" t="n">
        <v>49.91</v>
      </c>
      <c r="O17" t="n">
        <v>29904.66</v>
      </c>
      <c r="P17" t="inlineStr">
        <is>
          <t>below</t>
        </is>
      </c>
      <c r="Q17" t="n">
        <v>29878.13</v>
      </c>
      <c r="R17" t="n">
        <v>0.78</v>
      </c>
      <c r="S17" t="n">
        <v>-16307</v>
      </c>
      <c r="T17" t="n">
        <v>55</v>
      </c>
      <c r="U17" t="inlineStr">
        <is>
          <t>golden</t>
        </is>
      </c>
      <c r="V17" t="inlineStr">
        <is>
          <t>Weak</t>
        </is>
      </c>
      <c r="W17" t="n">
        <v>1</v>
      </c>
      <c r="X17" t="inlineStr">
        <is>
          <t>PDH/ORL/Round</t>
        </is>
      </c>
      <c r="Z17" t="n">
        <v>0.63</v>
      </c>
      <c r="AA17" t="inlineStr">
        <is>
          <t>No</t>
        </is>
      </c>
      <c r="AB17" t="inlineStr">
        <is>
          <t>Yes</t>
        </is>
      </c>
    </row>
    <row r="18">
      <c r="A18" t="inlineStr">
        <is>
          <t>2026-08-12</t>
        </is>
      </c>
      <c r="B18" t="inlineStr">
        <is>
          <t>11:22</t>
        </is>
      </c>
      <c r="C18" t="inlineStr">
        <is>
          <t>MNQ</t>
        </is>
      </c>
      <c r="D18" t="inlineStr">
        <is>
          <t>Long</t>
        </is>
      </c>
      <c r="E18" t="n">
        <v>154.5</v>
      </c>
      <c r="F18" t="inlineStr">
        <is>
          <t>up</t>
        </is>
      </c>
      <c r="G18" t="inlineStr">
        <is>
          <t>up</t>
        </is>
      </c>
      <c r="H18" t="inlineStr">
        <is>
          <t>up</t>
        </is>
      </c>
      <c r="I18" t="inlineStr">
        <is>
          <t>down</t>
        </is>
      </c>
      <c r="J18" t="n">
        <v>43.7</v>
      </c>
      <c r="K18" t="inlineStr">
        <is>
          <t>bear</t>
        </is>
      </c>
      <c r="L18" t="inlineStr">
        <is>
          <t>-</t>
        </is>
      </c>
      <c r="M18" t="n">
        <v>19.5</v>
      </c>
      <c r="N18" t="n">
        <v>45.34</v>
      </c>
      <c r="O18" t="n">
        <v>29900.13</v>
      </c>
      <c r="P18" t="inlineStr">
        <is>
          <t>below</t>
        </is>
      </c>
      <c r="Q18" t="n">
        <v>29878.13</v>
      </c>
      <c r="R18" t="n">
        <v>0.62</v>
      </c>
      <c r="S18" t="n">
        <v>-16824</v>
      </c>
      <c r="T18" t="n">
        <v>59</v>
      </c>
      <c r="U18" t="inlineStr">
        <is>
          <t>golden</t>
        </is>
      </c>
      <c r="V18" t="inlineStr">
        <is>
          <t>Weak</t>
        </is>
      </c>
      <c r="W18" t="n">
        <v>1</v>
      </c>
      <c r="X18" t="inlineStr">
        <is>
          <t>ORL/Round</t>
        </is>
      </c>
      <c r="Y18" t="inlineStr">
        <is>
          <t>strong bearish close</t>
        </is>
      </c>
      <c r="Z18" t="n">
        <v>0.49</v>
      </c>
      <c r="AA18" t="inlineStr">
        <is>
          <t>No</t>
        </is>
      </c>
      <c r="AB18" t="inlineStr">
        <is>
          <t>Yes</t>
        </is>
      </c>
    </row>
    <row r="19">
      <c r="A19" t="inlineStr">
        <is>
          <t>2026-08-12</t>
        </is>
      </c>
      <c r="B19" t="inlineStr">
        <is>
          <t>11:32</t>
        </is>
      </c>
      <c r="C19" t="inlineStr">
        <is>
          <t>MNQ</t>
        </is>
      </c>
      <c r="D19" t="inlineStr">
        <is>
          <t>Long</t>
        </is>
      </c>
      <c r="E19" t="n">
        <v>-136.5</v>
      </c>
      <c r="F19" t="inlineStr">
        <is>
          <t>up</t>
        </is>
      </c>
      <c r="G19" t="inlineStr">
        <is>
          <t>up</t>
        </is>
      </c>
      <c r="H19" t="inlineStr">
        <is>
          <t>up</t>
        </is>
      </c>
      <c r="I19" t="inlineStr">
        <is>
          <t>down</t>
        </is>
      </c>
      <c r="J19" t="n">
        <v>42.1</v>
      </c>
      <c r="K19" t="inlineStr">
        <is>
          <t>bear</t>
        </is>
      </c>
      <c r="L19" t="inlineStr">
        <is>
          <t>-</t>
        </is>
      </c>
      <c r="M19" t="n">
        <v>21.8</v>
      </c>
      <c r="N19" t="n">
        <v>45.45</v>
      </c>
      <c r="O19" t="n">
        <v>29898.1</v>
      </c>
      <c r="P19" t="inlineStr">
        <is>
          <t>below</t>
        </is>
      </c>
      <c r="Q19" t="n">
        <v>29908.09</v>
      </c>
      <c r="R19" t="n">
        <v>0.87</v>
      </c>
      <c r="S19" t="n">
        <v>-16568</v>
      </c>
      <c r="T19" t="n">
        <v>58</v>
      </c>
      <c r="U19" t="inlineStr">
        <is>
          <t>golden</t>
        </is>
      </c>
      <c r="V19" t="inlineStr">
        <is>
          <t>Good</t>
        </is>
      </c>
      <c r="W19" t="n">
        <v>2</v>
      </c>
      <c r="X19" t="inlineStr">
        <is>
          <t>ORL/Round</t>
        </is>
      </c>
      <c r="Y19" t="inlineStr">
        <is>
          <t>strong bearish close</t>
        </is>
      </c>
      <c r="Z19" t="n">
        <v>0.82</v>
      </c>
      <c r="AA19" t="inlineStr">
        <is>
          <t>No</t>
        </is>
      </c>
      <c r="AB19" t="inlineStr">
        <is>
          <t>Yes</t>
        </is>
      </c>
    </row>
    <row r="20">
      <c r="A20" t="inlineStr">
        <is>
          <t>2026-08-12</t>
        </is>
      </c>
      <c r="B20" t="inlineStr">
        <is>
          <t>11:57</t>
        </is>
      </c>
      <c r="C20" t="inlineStr">
        <is>
          <t>MNQ</t>
        </is>
      </c>
      <c r="D20" t="inlineStr">
        <is>
          <t>Short</t>
        </is>
      </c>
      <c r="E20" t="n">
        <v>-144</v>
      </c>
      <c r="F20" t="inlineStr">
        <is>
          <t>up</t>
        </is>
      </c>
      <c r="G20" t="inlineStr">
        <is>
          <t>up</t>
        </is>
      </c>
      <c r="H20" t="inlineStr">
        <is>
          <t>up</t>
        </is>
      </c>
      <c r="I20" t="inlineStr">
        <is>
          <t>down</t>
        </is>
      </c>
      <c r="J20" t="n">
        <v>42.8</v>
      </c>
      <c r="K20" t="inlineStr">
        <is>
          <t>bear</t>
        </is>
      </c>
      <c r="L20" t="inlineStr">
        <is>
          <t>-</t>
        </is>
      </c>
      <c r="M20" t="n">
        <v>27</v>
      </c>
      <c r="N20" t="n">
        <v>38.28</v>
      </c>
      <c r="O20" t="n">
        <v>29893.68</v>
      </c>
      <c r="P20" t="inlineStr">
        <is>
          <t>below</t>
        </is>
      </c>
      <c r="Q20" t="n">
        <v>29939.9</v>
      </c>
      <c r="R20" t="n">
        <v>0.64</v>
      </c>
      <c r="S20" t="n">
        <v>-20113</v>
      </c>
      <c r="T20" t="n">
        <v>11</v>
      </c>
      <c r="U20" t="inlineStr">
        <is>
          <t>extended (no pullback)</t>
        </is>
      </c>
      <c r="V20" t="inlineStr">
        <is>
          <t>No setup</t>
        </is>
      </c>
      <c r="W20" t="n">
        <v>0</v>
      </c>
      <c r="X20" t="inlineStr">
        <is>
          <t>ORL/Round</t>
        </is>
      </c>
      <c r="Y20" t="inlineStr">
        <is>
          <t>strong bearish close</t>
        </is>
      </c>
      <c r="Z20" t="n">
        <v>0.47</v>
      </c>
      <c r="AA20" t="inlineStr">
        <is>
          <t>No</t>
        </is>
      </c>
      <c r="AB20" t="inlineStr">
        <is>
          <t>No</t>
        </is>
      </c>
    </row>
    <row r="21">
      <c r="A21" t="inlineStr">
        <is>
          <t>2026-08-12</t>
        </is>
      </c>
      <c r="B21" t="inlineStr">
        <is>
          <t>14:12</t>
        </is>
      </c>
      <c r="C21" t="inlineStr">
        <is>
          <t>MGC</t>
        </is>
      </c>
      <c r="D21" t="inlineStr">
        <is>
          <t>Short</t>
        </is>
      </c>
      <c r="E21" t="n">
        <v>-195</v>
      </c>
      <c r="F21" t="inlineStr">
        <is>
          <t>up</t>
        </is>
      </c>
      <c r="G21" t="inlineStr">
        <is>
          <t>up</t>
        </is>
      </c>
      <c r="H21" t="inlineStr">
        <is>
          <t>up</t>
        </is>
      </c>
      <c r="I21" t="inlineStr">
        <is>
          <t>down</t>
        </is>
      </c>
      <c r="J21" t="n">
        <v>47</v>
      </c>
      <c r="K21" t="inlineStr">
        <is>
          <t>bear</t>
        </is>
      </c>
      <c r="L21" t="inlineStr">
        <is>
          <t>+</t>
        </is>
      </c>
      <c r="M21" t="n">
        <v>22.7</v>
      </c>
      <c r="N21" t="n">
        <v>5.08</v>
      </c>
      <c r="O21" t="n">
        <v>4478.14</v>
      </c>
      <c r="P21" t="inlineStr">
        <is>
          <t>below</t>
        </is>
      </c>
      <c r="Q21" t="n">
        <v>4479.5</v>
      </c>
      <c r="R21" t="n">
        <v>0.73</v>
      </c>
      <c r="S21" t="n">
        <v>-1793</v>
      </c>
      <c r="T21" t="n">
        <v>22</v>
      </c>
      <c r="U21" t="inlineStr">
        <is>
          <t>shallow</t>
        </is>
      </c>
      <c r="V21" t="inlineStr">
        <is>
          <t>Weak</t>
        </is>
      </c>
      <c r="W21" t="n">
        <v>1</v>
      </c>
      <c r="X21" t="inlineStr">
        <is>
          <t>No</t>
        </is>
      </c>
      <c r="Y21" t="inlineStr">
        <is>
          <t>strong bullish close</t>
        </is>
      </c>
      <c r="Z21" t="n">
        <v>0.39</v>
      </c>
      <c r="AA21" t="inlineStr">
        <is>
          <t>No</t>
        </is>
      </c>
      <c r="AB21" t="inlineStr">
        <is>
          <t>No</t>
        </is>
      </c>
    </row>
    <row r="22">
      <c r="A22" t="inlineStr">
        <is>
          <t>2026-08-13</t>
        </is>
      </c>
      <c r="B22" t="inlineStr">
        <is>
          <t>08:50</t>
        </is>
      </c>
      <c r="C22" t="inlineStr">
        <is>
          <t>MGC</t>
        </is>
      </c>
      <c r="D22" t="inlineStr">
        <is>
          <t>Long</t>
        </is>
      </c>
      <c r="E22" t="n">
        <v>-57</v>
      </c>
      <c r="F22" t="inlineStr">
        <is>
          <t>up</t>
        </is>
      </c>
      <c r="G22" t="inlineStr">
        <is>
          <t>down</t>
        </is>
      </c>
      <c r="H22" t="inlineStr">
        <is>
          <t>up</t>
        </is>
      </c>
      <c r="I22" t="inlineStr">
        <is>
          <t>up</t>
        </is>
      </c>
      <c r="J22" t="n">
        <v>61.3</v>
      </c>
      <c r="K22" t="inlineStr">
        <is>
          <t>bull</t>
        </is>
      </c>
      <c r="L22" t="inlineStr">
        <is>
          <t>+</t>
        </is>
      </c>
      <c r="M22" t="n">
        <v>26</v>
      </c>
      <c r="N22" t="n">
        <v>5.68</v>
      </c>
      <c r="O22" t="n">
        <v>4465.03</v>
      </c>
      <c r="P22" t="inlineStr">
        <is>
          <t>below</t>
        </is>
      </c>
      <c r="Q22" t="n">
        <v>4479.13</v>
      </c>
      <c r="R22" t="n">
        <v>0.63</v>
      </c>
      <c r="S22" t="n">
        <v>-1051</v>
      </c>
      <c r="T22" t="n">
        <v>23</v>
      </c>
      <c r="U22" t="inlineStr">
        <is>
          <t>shallow</t>
        </is>
      </c>
      <c r="V22" t="inlineStr">
        <is>
          <t>Good</t>
        </is>
      </c>
      <c r="W22" t="n">
        <v>2</v>
      </c>
      <c r="X22" t="inlineStr">
        <is>
          <t>Round</t>
        </is>
      </c>
      <c r="Z22" t="n">
        <v>0.61</v>
      </c>
      <c r="AA22" t="inlineStr">
        <is>
          <t>No</t>
        </is>
      </c>
      <c r="AB22" t="inlineStr">
        <is>
          <t>Yes</t>
        </is>
      </c>
    </row>
    <row r="23">
      <c r="A23" t="inlineStr">
        <is>
          <t>2026-08-13</t>
        </is>
      </c>
      <c r="B23" t="inlineStr">
        <is>
          <t>09:46</t>
        </is>
      </c>
      <c r="C23" t="inlineStr">
        <is>
          <t>MNQ</t>
        </is>
      </c>
      <c r="D23" t="inlineStr">
        <is>
          <t>Long</t>
        </is>
      </c>
      <c r="E23" t="n">
        <v>375</v>
      </c>
      <c r="F23" t="inlineStr">
        <is>
          <t>up</t>
        </is>
      </c>
      <c r="G23" t="inlineStr">
        <is>
          <t>up</t>
        </is>
      </c>
      <c r="H23" t="inlineStr">
        <is>
          <t>up</t>
        </is>
      </c>
      <c r="I23" t="inlineStr">
        <is>
          <t>up</t>
        </is>
      </c>
      <c r="J23" t="n">
        <v>83.7</v>
      </c>
      <c r="K23" t="inlineStr">
        <is>
          <t>bull</t>
        </is>
      </c>
      <c r="L23" t="inlineStr">
        <is>
          <t>+</t>
        </is>
      </c>
      <c r="M23" t="n">
        <v>32.8</v>
      </c>
      <c r="N23" t="n">
        <v>39.34</v>
      </c>
      <c r="O23" t="n">
        <v>29997.1</v>
      </c>
      <c r="P23" t="inlineStr">
        <is>
          <t>above</t>
        </is>
      </c>
      <c r="Q23" t="n">
        <v>29902.34</v>
      </c>
      <c r="R23" t="n">
        <v>1.08</v>
      </c>
      <c r="S23" t="n">
        <v>33183</v>
      </c>
      <c r="T23" t="n">
        <v>17</v>
      </c>
      <c r="U23" t="inlineStr">
        <is>
          <t>shallow</t>
        </is>
      </c>
      <c r="V23" t="inlineStr">
        <is>
          <t>Weak</t>
        </is>
      </c>
      <c r="W23" t="n">
        <v>1</v>
      </c>
      <c r="X23" t="inlineStr">
        <is>
          <t>Round</t>
        </is>
      </c>
      <c r="Y23" t="inlineStr">
        <is>
          <t>strong bullish close</t>
        </is>
      </c>
      <c r="Z23" t="n">
        <v>4.26</v>
      </c>
      <c r="AA23" t="inlineStr">
        <is>
          <t>Yes</t>
        </is>
      </c>
      <c r="AB23" t="inlineStr">
        <is>
          <t>Yes</t>
        </is>
      </c>
    </row>
    <row r="24">
      <c r="A24" t="inlineStr">
        <is>
          <t>2026-08-13</t>
        </is>
      </c>
      <c r="B24" t="inlineStr">
        <is>
          <t>11:24</t>
        </is>
      </c>
      <c r="C24" t="inlineStr">
        <is>
          <t>MGC</t>
        </is>
      </c>
      <c r="D24" t="inlineStr">
        <is>
          <t>Short</t>
        </is>
      </c>
      <c r="E24" t="n">
        <v>285</v>
      </c>
      <c r="F24" t="inlineStr">
        <is>
          <t>flat</t>
        </is>
      </c>
      <c r="G24" t="inlineStr">
        <is>
          <t>down</t>
        </is>
      </c>
      <c r="H24" t="inlineStr">
        <is>
          <t>down</t>
        </is>
      </c>
      <c r="I24" t="inlineStr">
        <is>
          <t>down</t>
        </is>
      </c>
      <c r="J24" t="n">
        <v>41.8</v>
      </c>
      <c r="K24" t="inlineStr">
        <is>
          <t>bear</t>
        </is>
      </c>
      <c r="L24" t="inlineStr">
        <is>
          <t>-</t>
        </is>
      </c>
      <c r="M24" t="n">
        <v>29.6</v>
      </c>
      <c r="N24" t="n">
        <v>7.33</v>
      </c>
      <c r="O24" t="n">
        <v>4431.96</v>
      </c>
      <c r="P24" t="inlineStr">
        <is>
          <t>below</t>
        </is>
      </c>
      <c r="Q24" t="n">
        <v>4430.89</v>
      </c>
      <c r="R24" t="n">
        <v>1.02</v>
      </c>
      <c r="S24" t="n">
        <v>1609</v>
      </c>
      <c r="T24" t="n">
        <v>36</v>
      </c>
      <c r="U24" t="inlineStr">
        <is>
          <t>shallow</t>
        </is>
      </c>
      <c r="V24" t="inlineStr">
        <is>
          <t>Weak</t>
        </is>
      </c>
      <c r="W24" t="n">
        <v>1</v>
      </c>
      <c r="X24" t="inlineStr">
        <is>
          <t>ORL/Round</t>
        </is>
      </c>
      <c r="Y24" t="inlineStr">
        <is>
          <t>bullish engulfing</t>
        </is>
      </c>
      <c r="Z24" t="n">
        <v>0.8</v>
      </c>
      <c r="AA24" t="inlineStr">
        <is>
          <t>Yes</t>
        </is>
      </c>
      <c r="AB24" t="inlineStr">
        <is>
          <t>No</t>
        </is>
      </c>
    </row>
    <row r="25">
      <c r="A25" t="inlineStr">
        <is>
          <t>2026-08-13</t>
        </is>
      </c>
      <c r="B25" t="inlineStr">
        <is>
          <t>22:50</t>
        </is>
      </c>
      <c r="C25" t="inlineStr">
        <is>
          <t>MGC</t>
        </is>
      </c>
      <c r="D25" t="inlineStr">
        <is>
          <t>Long</t>
        </is>
      </c>
      <c r="E25" t="n">
        <v>-66</v>
      </c>
      <c r="F25" t="inlineStr">
        <is>
          <t>down</t>
        </is>
      </c>
      <c r="G25" t="inlineStr">
        <is>
          <t>down</t>
        </is>
      </c>
      <c r="H25" t="inlineStr">
        <is>
          <t>down</t>
        </is>
      </c>
      <c r="I25" t="inlineStr">
        <is>
          <t>down</t>
        </is>
      </c>
      <c r="J25" t="n">
        <v>39.9</v>
      </c>
      <c r="K25" t="inlineStr">
        <is>
          <t>bear</t>
        </is>
      </c>
      <c r="L25" t="inlineStr">
        <is>
          <t>+</t>
        </is>
      </c>
      <c r="M25" t="n">
        <v>52.4</v>
      </c>
      <c r="N25" t="n">
        <v>6.07</v>
      </c>
      <c r="O25" t="n">
        <v>4413.23</v>
      </c>
      <c r="P25" t="inlineStr">
        <is>
          <t>below</t>
        </is>
      </c>
      <c r="Q25" t="n">
        <v>4431.23</v>
      </c>
      <c r="R25" t="n">
        <v>0.5600000000000001</v>
      </c>
      <c r="S25" t="n">
        <v>-5147</v>
      </c>
      <c r="T25" t="n">
        <v>50</v>
      </c>
      <c r="U25" t="inlineStr">
        <is>
          <t>golden</t>
        </is>
      </c>
      <c r="V25" t="inlineStr">
        <is>
          <t>Weak</t>
        </is>
      </c>
      <c r="W25" t="n">
        <v>1</v>
      </c>
      <c r="X25" t="inlineStr">
        <is>
          <t>Round</t>
        </is>
      </c>
      <c r="Y25" t="inlineStr">
        <is>
          <t>strong bearish close</t>
        </is>
      </c>
      <c r="Z25" t="n">
        <v>0.31</v>
      </c>
      <c r="AA25" t="inlineStr">
        <is>
          <t>No</t>
        </is>
      </c>
      <c r="AB25" t="inlineStr">
        <is>
          <t>No</t>
        </is>
      </c>
    </row>
    <row r="26">
      <c r="A26" t="inlineStr">
        <is>
          <t>2026-08-13</t>
        </is>
      </c>
      <c r="B26" t="inlineStr">
        <is>
          <t>22:59</t>
        </is>
      </c>
      <c r="C26" t="inlineStr">
        <is>
          <t>MGC</t>
        </is>
      </c>
      <c r="D26" t="inlineStr">
        <is>
          <t>Short</t>
        </is>
      </c>
      <c r="E26" t="n">
        <v>-195</v>
      </c>
      <c r="F26" t="inlineStr">
        <is>
          <t>down</t>
        </is>
      </c>
      <c r="G26" t="inlineStr">
        <is>
          <t>down</t>
        </is>
      </c>
      <c r="H26" t="inlineStr">
        <is>
          <t>down</t>
        </is>
      </c>
      <c r="I26" t="inlineStr">
        <is>
          <t>down</t>
        </is>
      </c>
      <c r="J26" t="n">
        <v>39.8</v>
      </c>
      <c r="K26" t="inlineStr">
        <is>
          <t>bear</t>
        </is>
      </c>
      <c r="L26" t="inlineStr">
        <is>
          <t>+</t>
        </is>
      </c>
      <c r="M26" t="n">
        <v>52.5</v>
      </c>
      <c r="N26" t="n">
        <v>5.9</v>
      </c>
      <c r="O26" t="n">
        <v>4413.1</v>
      </c>
      <c r="P26" t="inlineStr">
        <is>
          <t>below</t>
        </is>
      </c>
      <c r="Q26" t="n">
        <v>4431.23</v>
      </c>
      <c r="R26" t="n">
        <v>1</v>
      </c>
      <c r="S26" t="n">
        <v>-4987</v>
      </c>
      <c r="T26" t="n">
        <v>9</v>
      </c>
      <c r="U26" t="inlineStr">
        <is>
          <t>extended (no pullback)</t>
        </is>
      </c>
      <c r="V26" t="inlineStr">
        <is>
          <t>Weak</t>
        </is>
      </c>
      <c r="W26" t="n">
        <v>1</v>
      </c>
      <c r="X26" t="inlineStr">
        <is>
          <t>Round</t>
        </is>
      </c>
      <c r="Y26" t="inlineStr">
        <is>
          <t>bullish pin/hammer</t>
        </is>
      </c>
      <c r="Z26" t="n">
        <v>0.48</v>
      </c>
      <c r="AA26" t="inlineStr">
        <is>
          <t>Yes</t>
        </is>
      </c>
      <c r="AB26" t="inlineStr">
        <is>
          <t>Yes</t>
        </is>
      </c>
    </row>
    <row r="27">
      <c r="A27" t="inlineStr">
        <is>
          <t>2026-08-14</t>
        </is>
      </c>
      <c r="B27" t="inlineStr">
        <is>
          <t>09:47</t>
        </is>
      </c>
      <c r="C27" t="inlineStr">
        <is>
          <t>MNQ</t>
        </is>
      </c>
      <c r="D27" t="inlineStr">
        <is>
          <t>Long</t>
        </is>
      </c>
      <c r="E27" t="n">
        <v>136.5</v>
      </c>
      <c r="F27" t="inlineStr">
        <is>
          <t>up</t>
        </is>
      </c>
      <c r="G27" t="inlineStr">
        <is>
          <t>up</t>
        </is>
      </c>
      <c r="H27" t="inlineStr">
        <is>
          <t>up</t>
        </is>
      </c>
      <c r="I27" t="inlineStr">
        <is>
          <t>down</t>
        </is>
      </c>
      <c r="J27" t="n">
        <v>46.8</v>
      </c>
      <c r="K27" t="inlineStr">
        <is>
          <t>bear</t>
        </is>
      </c>
      <c r="L27" t="inlineStr">
        <is>
          <t>-</t>
        </is>
      </c>
      <c r="M27" t="n">
        <v>18</v>
      </c>
      <c r="N27" t="n">
        <v>27.53</v>
      </c>
      <c r="O27" t="n">
        <v>30230.3</v>
      </c>
      <c r="P27" t="inlineStr">
        <is>
          <t>above</t>
        </is>
      </c>
      <c r="Q27" t="n">
        <v>30237.58</v>
      </c>
      <c r="R27" t="n">
        <v>0.98</v>
      </c>
      <c r="S27" t="n">
        <v>958</v>
      </c>
      <c r="T27" t="n">
        <v>43</v>
      </c>
      <c r="U27" t="inlineStr">
        <is>
          <t>golden</t>
        </is>
      </c>
      <c r="V27" t="inlineStr">
        <is>
          <t>Weak</t>
        </is>
      </c>
      <c r="W27" t="n">
        <v>1</v>
      </c>
      <c r="X27" t="inlineStr">
        <is>
          <t>No</t>
        </is>
      </c>
      <c r="Y27" t="inlineStr">
        <is>
          <t>strong bearish close</t>
        </is>
      </c>
      <c r="Z27" t="n">
        <v>4.2</v>
      </c>
      <c r="AA27" t="inlineStr">
        <is>
          <t>No</t>
        </is>
      </c>
      <c r="AB27" t="inlineStr">
        <is>
          <t>Yes</t>
        </is>
      </c>
    </row>
    <row r="28">
      <c r="A28" t="inlineStr">
        <is>
          <t>2026-08-14</t>
        </is>
      </c>
      <c r="B28" t="inlineStr">
        <is>
          <t>09:57</t>
        </is>
      </c>
      <c r="C28" t="inlineStr">
        <is>
          <t>MNQ</t>
        </is>
      </c>
      <c r="D28" t="inlineStr">
        <is>
          <t>Long</t>
        </is>
      </c>
      <c r="E28" t="n">
        <v>27</v>
      </c>
      <c r="F28" t="inlineStr">
        <is>
          <t>up</t>
        </is>
      </c>
      <c r="G28" t="inlineStr">
        <is>
          <t>up</t>
        </is>
      </c>
      <c r="H28" t="inlineStr">
        <is>
          <t>up</t>
        </is>
      </c>
      <c r="I28" t="inlineStr">
        <is>
          <t>down</t>
        </is>
      </c>
      <c r="J28" t="n">
        <v>44</v>
      </c>
      <c r="K28" t="inlineStr">
        <is>
          <t>bear</t>
        </is>
      </c>
      <c r="L28" t="inlineStr">
        <is>
          <t>-</t>
        </is>
      </c>
      <c r="M28" t="n">
        <v>17</v>
      </c>
      <c r="N28" t="n">
        <v>29.86</v>
      </c>
      <c r="O28" t="n">
        <v>30231.83</v>
      </c>
      <c r="P28" t="inlineStr">
        <is>
          <t>below</t>
        </is>
      </c>
      <c r="Q28" t="n">
        <v>30229.28</v>
      </c>
      <c r="R28" t="n">
        <v>0.6899999999999999</v>
      </c>
      <c r="S28" t="n">
        <v>-683</v>
      </c>
      <c r="T28" t="n">
        <v>54</v>
      </c>
      <c r="U28" t="inlineStr">
        <is>
          <t>golden</t>
        </is>
      </c>
      <c r="V28" t="inlineStr">
        <is>
          <t>Weak</t>
        </is>
      </c>
      <c r="W28" t="n">
        <v>1</v>
      </c>
      <c r="X28" t="inlineStr">
        <is>
          <t>No</t>
        </is>
      </c>
      <c r="Z28" t="n">
        <v>1.7</v>
      </c>
      <c r="AA28" t="inlineStr">
        <is>
          <t>No</t>
        </is>
      </c>
      <c r="AB28" t="inlineStr">
        <is>
          <t>Yes</t>
        </is>
      </c>
    </row>
    <row r="29">
      <c r="A29" t="inlineStr">
        <is>
          <t>2026-08-14</t>
        </is>
      </c>
      <c r="B29" t="inlineStr">
        <is>
          <t>11:58</t>
        </is>
      </c>
      <c r="C29" t="inlineStr">
        <is>
          <t>MNQ</t>
        </is>
      </c>
      <c r="D29" t="inlineStr">
        <is>
          <t>Short</t>
        </is>
      </c>
      <c r="E29" t="n">
        <v>-162</v>
      </c>
      <c r="F29" t="inlineStr">
        <is>
          <t>up</t>
        </is>
      </c>
      <c r="G29" t="inlineStr">
        <is>
          <t>down</t>
        </is>
      </c>
      <c r="H29" t="inlineStr">
        <is>
          <t>down</t>
        </is>
      </c>
      <c r="I29" t="inlineStr">
        <is>
          <t>down</t>
        </is>
      </c>
      <c r="J29" t="n">
        <v>36.9</v>
      </c>
      <c r="K29" t="inlineStr">
        <is>
          <t>bear</t>
        </is>
      </c>
      <c r="L29" t="inlineStr">
        <is>
          <t>-</t>
        </is>
      </c>
      <c r="M29" t="n">
        <v>42.4</v>
      </c>
      <c r="N29" t="n">
        <v>32.23</v>
      </c>
      <c r="O29" t="n">
        <v>30166.81</v>
      </c>
      <c r="P29" t="inlineStr">
        <is>
          <t>below</t>
        </is>
      </c>
      <c r="Q29" t="n">
        <v>30239.55</v>
      </c>
      <c r="R29" t="n">
        <v>1.02</v>
      </c>
      <c r="S29" t="n">
        <v>-24672</v>
      </c>
      <c r="T29" t="n">
        <v>17</v>
      </c>
      <c r="U29" t="inlineStr">
        <is>
          <t>shallow</t>
        </is>
      </c>
      <c r="V29" t="inlineStr">
        <is>
          <t>No setup</t>
        </is>
      </c>
      <c r="W29" t="n">
        <v>0</v>
      </c>
      <c r="X29" t="inlineStr">
        <is>
          <t>No</t>
        </is>
      </c>
      <c r="Z29" t="n">
        <v>0.68</v>
      </c>
      <c r="AA29" t="inlineStr">
        <is>
          <t>Yes</t>
        </is>
      </c>
      <c r="AB29" t="inlineStr">
        <is>
          <t>No</t>
        </is>
      </c>
    </row>
    <row r="30">
      <c r="A30" t="inlineStr">
        <is>
          <t>2026-08-14</t>
        </is>
      </c>
      <c r="B30" t="inlineStr">
        <is>
          <t>12:41</t>
        </is>
      </c>
      <c r="C30" t="inlineStr">
        <is>
          <t>MNQ</t>
        </is>
      </c>
      <c r="D30" t="inlineStr">
        <is>
          <t>Short</t>
        </is>
      </c>
      <c r="E30" t="n">
        <v>27</v>
      </c>
      <c r="F30" t="inlineStr">
        <is>
          <t>up</t>
        </is>
      </c>
      <c r="G30" t="inlineStr">
        <is>
          <t>down</t>
        </is>
      </c>
      <c r="H30" t="inlineStr">
        <is>
          <t>down</t>
        </is>
      </c>
      <c r="I30" t="inlineStr">
        <is>
          <t>down</t>
        </is>
      </c>
      <c r="J30" t="n">
        <v>41.4</v>
      </c>
      <c r="K30" t="inlineStr">
        <is>
          <t>bear</t>
        </is>
      </c>
      <c r="L30" t="inlineStr">
        <is>
          <t>+</t>
        </is>
      </c>
      <c r="M30" t="n">
        <v>35</v>
      </c>
      <c r="N30" t="n">
        <v>27.31</v>
      </c>
      <c r="O30" t="n">
        <v>30155.19</v>
      </c>
      <c r="P30" t="inlineStr">
        <is>
          <t>below</t>
        </is>
      </c>
      <c r="Q30" t="n">
        <v>30239.55</v>
      </c>
      <c r="R30" t="n">
        <v>0.74</v>
      </c>
      <c r="S30" t="n">
        <v>-26282</v>
      </c>
      <c r="T30" t="n">
        <v>16</v>
      </c>
      <c r="U30" t="inlineStr">
        <is>
          <t>shallow</t>
        </is>
      </c>
      <c r="V30" t="inlineStr">
        <is>
          <t>No setup</t>
        </is>
      </c>
      <c r="W30" t="n">
        <v>0</v>
      </c>
      <c r="X30" t="inlineStr">
        <is>
          <t>No</t>
        </is>
      </c>
      <c r="Y30" t="inlineStr">
        <is>
          <t>strong bearish close</t>
        </is>
      </c>
      <c r="Z30" t="n">
        <v>0.55</v>
      </c>
      <c r="AA30" t="inlineStr">
        <is>
          <t>Yes</t>
        </is>
      </c>
      <c r="AB30" t="inlineStr">
        <is>
          <t>No</t>
        </is>
      </c>
    </row>
    <row r="31">
      <c r="A31" t="inlineStr">
        <is>
          <t>2026-08-14</t>
        </is>
      </c>
      <c r="B31" t="inlineStr">
        <is>
          <t>12:46</t>
        </is>
      </c>
      <c r="C31" t="inlineStr">
        <is>
          <t>MNQ</t>
        </is>
      </c>
      <c r="D31" t="inlineStr">
        <is>
          <t>Long</t>
        </is>
      </c>
      <c r="E31" t="n">
        <v>42.5</v>
      </c>
      <c r="F31" t="inlineStr">
        <is>
          <t>up</t>
        </is>
      </c>
      <c r="G31" t="inlineStr">
        <is>
          <t>down</t>
        </is>
      </c>
      <c r="H31" t="inlineStr">
        <is>
          <t>down</t>
        </is>
      </c>
      <c r="I31" t="inlineStr">
        <is>
          <t>down</t>
        </is>
      </c>
      <c r="J31" t="n">
        <v>43.5</v>
      </c>
      <c r="K31" t="inlineStr">
        <is>
          <t>bear</t>
        </is>
      </c>
      <c r="L31" t="inlineStr">
        <is>
          <t>+</t>
        </is>
      </c>
      <c r="M31" t="n">
        <v>34.7</v>
      </c>
      <c r="N31" t="n">
        <v>26.45</v>
      </c>
      <c r="O31" t="n">
        <v>30154.32</v>
      </c>
      <c r="P31" t="inlineStr">
        <is>
          <t>below</t>
        </is>
      </c>
      <c r="Q31" t="n">
        <v>30239.55</v>
      </c>
      <c r="R31" t="n">
        <v>0.74</v>
      </c>
      <c r="S31" t="n">
        <v>-24705</v>
      </c>
      <c r="T31" t="n">
        <v>51</v>
      </c>
      <c r="U31" t="inlineStr">
        <is>
          <t>golden</t>
        </is>
      </c>
      <c r="V31" t="inlineStr">
        <is>
          <t>Good</t>
        </is>
      </c>
      <c r="W31" t="n">
        <v>2</v>
      </c>
      <c r="X31" t="inlineStr">
        <is>
          <t>No</t>
        </is>
      </c>
      <c r="Y31" t="inlineStr">
        <is>
          <t>strong bullish close</t>
        </is>
      </c>
      <c r="Z31" t="n">
        <v>0.57</v>
      </c>
      <c r="AA31" t="inlineStr">
        <is>
          <t>No</t>
        </is>
      </c>
      <c r="AB31" t="inlineStr">
        <is>
          <t>Yes</t>
        </is>
      </c>
    </row>
    <row r="32">
      <c r="A32" t="inlineStr">
        <is>
          <t>2026-08-14</t>
        </is>
      </c>
      <c r="B32" t="inlineStr">
        <is>
          <t>12:50</t>
        </is>
      </c>
      <c r="C32" t="inlineStr">
        <is>
          <t>MNQ</t>
        </is>
      </c>
      <c r="D32" t="inlineStr">
        <is>
          <t>Long</t>
        </is>
      </c>
      <c r="E32" t="n">
        <v>35</v>
      </c>
      <c r="F32" t="inlineStr">
        <is>
          <t>up</t>
        </is>
      </c>
      <c r="G32" t="inlineStr">
        <is>
          <t>down</t>
        </is>
      </c>
      <c r="H32" t="inlineStr">
        <is>
          <t>down</t>
        </is>
      </c>
      <c r="I32" t="inlineStr">
        <is>
          <t>down</t>
        </is>
      </c>
      <c r="J32" t="n">
        <v>40.7</v>
      </c>
      <c r="K32" t="inlineStr">
        <is>
          <t>bear</t>
        </is>
      </c>
      <c r="L32" t="inlineStr">
        <is>
          <t>+</t>
        </is>
      </c>
      <c r="M32" t="n">
        <v>34.6</v>
      </c>
      <c r="N32" t="n">
        <v>25.9</v>
      </c>
      <c r="O32" t="n">
        <v>30153.37</v>
      </c>
      <c r="P32" t="inlineStr">
        <is>
          <t>below</t>
        </is>
      </c>
      <c r="Q32" t="n">
        <v>30239.55</v>
      </c>
      <c r="R32" t="n">
        <v>0.77</v>
      </c>
      <c r="S32" t="n">
        <v>-25488</v>
      </c>
      <c r="T32" t="n">
        <v>55</v>
      </c>
      <c r="U32" t="inlineStr">
        <is>
          <t>golden</t>
        </is>
      </c>
      <c r="V32" t="inlineStr">
        <is>
          <t>Good</t>
        </is>
      </c>
      <c r="W32" t="n">
        <v>2</v>
      </c>
      <c r="X32" t="inlineStr">
        <is>
          <t>No</t>
        </is>
      </c>
      <c r="Z32" t="n">
        <v>0.61</v>
      </c>
      <c r="AA32" t="inlineStr">
        <is>
          <t>No</t>
        </is>
      </c>
      <c r="AB32" t="inlineStr">
        <is>
          <t>Yes</t>
        </is>
      </c>
    </row>
    <row r="33">
      <c r="A33" t="inlineStr">
        <is>
          <t>2026-08-17</t>
        </is>
      </c>
      <c r="B33" t="inlineStr">
        <is>
          <t>09:55</t>
        </is>
      </c>
      <c r="C33" t="inlineStr">
        <is>
          <t>MNQ</t>
        </is>
      </c>
      <c r="D33" t="inlineStr">
        <is>
          <t>Long</t>
        </is>
      </c>
      <c r="E33" t="n">
        <v>-124.5</v>
      </c>
      <c r="F33" t="inlineStr">
        <is>
          <t>up</t>
        </is>
      </c>
      <c r="G33" t="inlineStr">
        <is>
          <t>up</t>
        </is>
      </c>
      <c r="H33" t="inlineStr">
        <is>
          <t>down</t>
        </is>
      </c>
      <c r="I33" t="inlineStr">
        <is>
          <t>down</t>
        </is>
      </c>
      <c r="J33" t="n">
        <v>50.8</v>
      </c>
      <c r="K33" t="inlineStr">
        <is>
          <t>bear</t>
        </is>
      </c>
      <c r="L33" t="inlineStr">
        <is>
          <t>+</t>
        </is>
      </c>
      <c r="M33" t="n">
        <v>25.6</v>
      </c>
      <c r="N33" t="n">
        <v>32.49</v>
      </c>
      <c r="O33" t="n">
        <v>30212.46</v>
      </c>
      <c r="P33" t="inlineStr">
        <is>
          <t>above</t>
        </is>
      </c>
      <c r="Q33" t="n">
        <v>30201.93</v>
      </c>
      <c r="R33" t="n">
        <v>0.67</v>
      </c>
      <c r="S33" t="n">
        <v>-9581</v>
      </c>
      <c r="T33" t="n">
        <v>15</v>
      </c>
      <c r="U33" t="inlineStr">
        <is>
          <t>shallow</t>
        </is>
      </c>
      <c r="V33" t="inlineStr">
        <is>
          <t>A+</t>
        </is>
      </c>
      <c r="W33" t="n">
        <v>3</v>
      </c>
      <c r="X33" t="inlineStr">
        <is>
          <t>Round</t>
        </is>
      </c>
      <c r="Z33" t="n">
        <v>1.59</v>
      </c>
      <c r="AA33" t="inlineStr">
        <is>
          <t>No</t>
        </is>
      </c>
      <c r="AB33" t="inlineStr">
        <is>
          <t>Yes</t>
        </is>
      </c>
    </row>
    <row r="34">
      <c r="A34" t="inlineStr">
        <is>
          <t>2026-08-17</t>
        </is>
      </c>
      <c r="B34" t="inlineStr">
        <is>
          <t>10:09</t>
        </is>
      </c>
      <c r="C34" t="inlineStr">
        <is>
          <t>MGC</t>
        </is>
      </c>
      <c r="D34" t="inlineStr">
        <is>
          <t>Long</t>
        </is>
      </c>
      <c r="E34" t="n">
        <v>240</v>
      </c>
      <c r="F34" t="inlineStr">
        <is>
          <t>up</t>
        </is>
      </c>
      <c r="G34" t="inlineStr">
        <is>
          <t>up</t>
        </is>
      </c>
      <c r="H34" t="inlineStr">
        <is>
          <t>up</t>
        </is>
      </c>
      <c r="I34" t="inlineStr">
        <is>
          <t>up</t>
        </is>
      </c>
      <c r="J34" t="n">
        <v>65.09999999999999</v>
      </c>
      <c r="K34" t="inlineStr">
        <is>
          <t>bull</t>
        </is>
      </c>
      <c r="L34" t="inlineStr">
        <is>
          <t>+</t>
        </is>
      </c>
      <c r="M34" t="n">
        <v>27.7</v>
      </c>
      <c r="N34" t="n">
        <v>6.23</v>
      </c>
      <c r="O34" t="n">
        <v>4456.81</v>
      </c>
      <c r="P34" t="inlineStr">
        <is>
          <t>above</t>
        </is>
      </c>
      <c r="Q34" t="n">
        <v>4457.35</v>
      </c>
      <c r="R34" t="n">
        <v>0.64</v>
      </c>
      <c r="S34" t="n">
        <v>604</v>
      </c>
      <c r="T34" t="n">
        <v>29</v>
      </c>
      <c r="U34" t="inlineStr">
        <is>
          <t>shallow</t>
        </is>
      </c>
      <c r="V34" t="inlineStr">
        <is>
          <t>Weak</t>
        </is>
      </c>
      <c r="W34" t="n">
        <v>1</v>
      </c>
      <c r="X34" t="inlineStr">
        <is>
          <t>Round</t>
        </is>
      </c>
      <c r="Y34" t="inlineStr">
        <is>
          <t>strong bearish close</t>
        </is>
      </c>
      <c r="Z34" t="n">
        <v>0.64</v>
      </c>
      <c r="AA34" t="inlineStr">
        <is>
          <t>Yes</t>
        </is>
      </c>
      <c r="AB34" t="inlineStr">
        <is>
          <t>Yes</t>
        </is>
      </c>
    </row>
    <row r="35">
      <c r="A35" t="inlineStr">
        <is>
          <t>2026-08-17</t>
        </is>
      </c>
      <c r="B35" t="inlineStr">
        <is>
          <t>11:51</t>
        </is>
      </c>
      <c r="C35" t="inlineStr">
        <is>
          <t>MNQ</t>
        </is>
      </c>
      <c r="D35" t="inlineStr">
        <is>
          <t>Short</t>
        </is>
      </c>
      <c r="E35" t="n">
        <v>97.5</v>
      </c>
      <c r="F35" t="inlineStr">
        <is>
          <t>up</t>
        </is>
      </c>
      <c r="G35" t="inlineStr">
        <is>
          <t>up</t>
        </is>
      </c>
      <c r="H35" t="inlineStr">
        <is>
          <t>down</t>
        </is>
      </c>
      <c r="I35" t="inlineStr">
        <is>
          <t>up</t>
        </is>
      </c>
      <c r="J35" t="n">
        <v>52.5</v>
      </c>
      <c r="K35" t="inlineStr">
        <is>
          <t>bull</t>
        </is>
      </c>
      <c r="L35" t="inlineStr">
        <is>
          <t>-</t>
        </is>
      </c>
      <c r="M35" t="n">
        <v>17.1</v>
      </c>
      <c r="N35" t="n">
        <v>29.13</v>
      </c>
      <c r="O35" t="n">
        <v>30219.99</v>
      </c>
      <c r="P35" t="inlineStr">
        <is>
          <t>above</t>
        </is>
      </c>
      <c r="Q35" t="n">
        <v>30203.19</v>
      </c>
      <c r="R35" t="n">
        <v>0.9399999999999999</v>
      </c>
      <c r="S35" t="n">
        <v>-3153</v>
      </c>
      <c r="T35" t="n">
        <v>49</v>
      </c>
      <c r="U35" t="inlineStr">
        <is>
          <t>golden</t>
        </is>
      </c>
      <c r="V35" t="inlineStr">
        <is>
          <t>Good</t>
        </is>
      </c>
      <c r="W35" t="n">
        <v>2</v>
      </c>
      <c r="X35" t="inlineStr">
        <is>
          <t>Round</t>
        </is>
      </c>
      <c r="Y35" t="inlineStr">
        <is>
          <t>bullish engulfing</t>
        </is>
      </c>
      <c r="Z35" t="n">
        <v>0.86</v>
      </c>
      <c r="AA35" t="inlineStr">
        <is>
          <t>No</t>
        </is>
      </c>
      <c r="AB35" t="inlineStr">
        <is>
          <t>No</t>
        </is>
      </c>
    </row>
    <row r="36">
      <c r="A36" t="inlineStr">
        <is>
          <t>2026-08-18</t>
        </is>
      </c>
      <c r="B36" t="inlineStr">
        <is>
          <t>10:00</t>
        </is>
      </c>
      <c r="C36" t="inlineStr">
        <is>
          <t>MGC</t>
        </is>
      </c>
      <c r="D36" t="inlineStr">
        <is>
          <t>Short</t>
        </is>
      </c>
      <c r="E36" t="n">
        <v>-159</v>
      </c>
      <c r="F36" t="inlineStr">
        <is>
          <t>flat</t>
        </is>
      </c>
      <c r="G36" t="inlineStr">
        <is>
          <t>down</t>
        </is>
      </c>
      <c r="H36" t="inlineStr">
        <is>
          <t>down</t>
        </is>
      </c>
      <c r="I36" t="inlineStr">
        <is>
          <t>up</t>
        </is>
      </c>
      <c r="J36" t="n">
        <v>59.5</v>
      </c>
      <c r="K36" t="inlineStr">
        <is>
          <t>bull</t>
        </is>
      </c>
      <c r="L36" t="inlineStr">
        <is>
          <t>+</t>
        </is>
      </c>
      <c r="M36" t="n">
        <v>19.5</v>
      </c>
      <c r="N36" t="n">
        <v>7.37</v>
      </c>
      <c r="O36" t="n">
        <v>4452.11</v>
      </c>
      <c r="P36" t="inlineStr">
        <is>
          <t>above</t>
        </is>
      </c>
      <c r="Q36" t="n">
        <v>4442.54</v>
      </c>
      <c r="R36" t="n">
        <v>1.51</v>
      </c>
      <c r="S36" t="n">
        <v>5102</v>
      </c>
      <c r="T36" t="n">
        <v>53</v>
      </c>
      <c r="U36" t="inlineStr">
        <is>
          <t>golden</t>
        </is>
      </c>
      <c r="V36" t="inlineStr">
        <is>
          <t>Weak</t>
        </is>
      </c>
      <c r="W36" t="n">
        <v>1</v>
      </c>
      <c r="X36" t="inlineStr">
        <is>
          <t>No</t>
        </is>
      </c>
      <c r="Y36" t="inlineStr">
        <is>
          <t>strong bullish close</t>
        </is>
      </c>
      <c r="Z36" t="n">
        <v>2.6</v>
      </c>
      <c r="AA36" t="inlineStr">
        <is>
          <t>No</t>
        </is>
      </c>
      <c r="AB36" t="inlineStr">
        <is>
          <t>No</t>
        </is>
      </c>
    </row>
    <row r="37">
      <c r="A37" t="inlineStr">
        <is>
          <t>2026-08-18</t>
        </is>
      </c>
      <c r="B37" t="inlineStr">
        <is>
          <t>10:08</t>
        </is>
      </c>
      <c r="C37" t="inlineStr">
        <is>
          <t>MGC</t>
        </is>
      </c>
      <c r="D37" t="inlineStr">
        <is>
          <t>Long</t>
        </is>
      </c>
      <c r="E37" t="n">
        <v>-180</v>
      </c>
      <c r="F37" t="inlineStr">
        <is>
          <t>flat</t>
        </is>
      </c>
      <c r="G37" t="inlineStr">
        <is>
          <t>down</t>
        </is>
      </c>
      <c r="H37" t="inlineStr">
        <is>
          <t>down</t>
        </is>
      </c>
      <c r="I37" t="inlineStr">
        <is>
          <t>up</t>
        </is>
      </c>
      <c r="J37" t="n">
        <v>53.1</v>
      </c>
      <c r="K37" t="inlineStr">
        <is>
          <t>bull</t>
        </is>
      </c>
      <c r="L37" t="inlineStr">
        <is>
          <t>+</t>
        </is>
      </c>
      <c r="M37" t="n">
        <v>18.5</v>
      </c>
      <c r="N37" t="n">
        <v>7.33</v>
      </c>
      <c r="O37" t="n">
        <v>4452.43</v>
      </c>
      <c r="P37" t="inlineStr">
        <is>
          <t>above</t>
        </is>
      </c>
      <c r="Q37" t="n">
        <v>4442.54</v>
      </c>
      <c r="R37" t="n">
        <v>0.87</v>
      </c>
      <c r="S37" t="n">
        <v>4347</v>
      </c>
      <c r="T37" t="n">
        <v>27</v>
      </c>
      <c r="U37" t="inlineStr">
        <is>
          <t>shallow</t>
        </is>
      </c>
      <c r="V37" t="inlineStr">
        <is>
          <t>Weak</t>
        </is>
      </c>
      <c r="W37" t="n">
        <v>1</v>
      </c>
      <c r="X37" t="inlineStr">
        <is>
          <t>No</t>
        </is>
      </c>
      <c r="Y37" t="inlineStr">
        <is>
          <t>strong bearish close</t>
        </is>
      </c>
      <c r="Z37" t="n">
        <v>0.75</v>
      </c>
      <c r="AA37" t="inlineStr">
        <is>
          <t>No</t>
        </is>
      </c>
      <c r="AB37" t="inlineStr">
        <is>
          <t>No</t>
        </is>
      </c>
    </row>
    <row r="38">
      <c r="A38" t="inlineStr">
        <is>
          <t>2026-08-18</t>
        </is>
      </c>
      <c r="B38" t="inlineStr">
        <is>
          <t>10:16</t>
        </is>
      </c>
      <c r="C38" t="inlineStr">
        <is>
          <t>MNQ</t>
        </is>
      </c>
      <c r="D38" t="inlineStr">
        <is>
          <t>Short</t>
        </is>
      </c>
      <c r="E38" t="n">
        <v>-80</v>
      </c>
      <c r="F38" t="inlineStr">
        <is>
          <t>down</t>
        </is>
      </c>
      <c r="G38" t="inlineStr">
        <is>
          <t>down</t>
        </is>
      </c>
      <c r="H38" t="inlineStr">
        <is>
          <t>down</t>
        </is>
      </c>
      <c r="I38" t="inlineStr">
        <is>
          <t>down</t>
        </is>
      </c>
      <c r="J38" t="n">
        <v>38.4</v>
      </c>
      <c r="K38" t="inlineStr">
        <is>
          <t>bear</t>
        </is>
      </c>
      <c r="L38" t="inlineStr">
        <is>
          <t>-</t>
        </is>
      </c>
      <c r="M38" t="n">
        <v>11.7</v>
      </c>
      <c r="N38" t="n">
        <v>45.4</v>
      </c>
      <c r="O38" t="n">
        <v>29665.85</v>
      </c>
      <c r="P38" t="inlineStr">
        <is>
          <t>below</t>
        </is>
      </c>
      <c r="Q38" t="n">
        <v>29691.77</v>
      </c>
      <c r="R38" t="n">
        <v>1.23</v>
      </c>
      <c r="S38" t="n">
        <v>-16933</v>
      </c>
      <c r="T38" t="n">
        <v>21</v>
      </c>
      <c r="U38" t="inlineStr">
        <is>
          <t>shallow</t>
        </is>
      </c>
      <c r="V38" t="inlineStr">
        <is>
          <t>No setup</t>
        </is>
      </c>
      <c r="W38" t="n">
        <v>0</v>
      </c>
      <c r="X38" t="inlineStr">
        <is>
          <t>ORL/Round</t>
        </is>
      </c>
      <c r="Y38" t="inlineStr">
        <is>
          <t>bullish engulfing</t>
        </is>
      </c>
      <c r="Z38" t="n">
        <v>1.45</v>
      </c>
      <c r="AA38" t="inlineStr">
        <is>
          <t>Yes</t>
        </is>
      </c>
      <c r="AB38" t="inlineStr">
        <is>
          <t>Yes</t>
        </is>
      </c>
    </row>
    <row r="39">
      <c r="A39" t="inlineStr">
        <is>
          <t>2026-08-18</t>
        </is>
      </c>
      <c r="B39" t="inlineStr">
        <is>
          <t>10:21</t>
        </is>
      </c>
      <c r="C39" t="inlineStr">
        <is>
          <t>MNQ</t>
        </is>
      </c>
      <c r="D39" t="inlineStr">
        <is>
          <t>Short</t>
        </is>
      </c>
      <c r="E39" t="n">
        <v>-295.5</v>
      </c>
      <c r="F39" t="inlineStr">
        <is>
          <t>down</t>
        </is>
      </c>
      <c r="G39" t="inlineStr">
        <is>
          <t>down</t>
        </is>
      </c>
      <c r="H39" t="inlineStr">
        <is>
          <t>down</t>
        </is>
      </c>
      <c r="I39" t="inlineStr">
        <is>
          <t>down</t>
        </is>
      </c>
      <c r="J39" t="n">
        <v>43.2</v>
      </c>
      <c r="K39" t="inlineStr">
        <is>
          <t>bear</t>
        </is>
      </c>
      <c r="L39" t="inlineStr">
        <is>
          <t>-</t>
        </is>
      </c>
      <c r="M39" t="n">
        <v>11.2</v>
      </c>
      <c r="N39" t="n">
        <v>47.03</v>
      </c>
      <c r="O39" t="n">
        <v>29663.29</v>
      </c>
      <c r="P39" t="inlineStr">
        <is>
          <t>below</t>
        </is>
      </c>
      <c r="Q39" t="n">
        <v>29691.77</v>
      </c>
      <c r="R39" t="n">
        <v>1.36</v>
      </c>
      <c r="S39" t="n">
        <v>-13177</v>
      </c>
      <c r="T39" t="n">
        <v>18</v>
      </c>
      <c r="U39" t="inlineStr">
        <is>
          <t>shallow</t>
        </is>
      </c>
      <c r="V39" t="inlineStr">
        <is>
          <t>No setup</t>
        </is>
      </c>
      <c r="W39" t="n">
        <v>0</v>
      </c>
      <c r="X39" t="inlineStr">
        <is>
          <t>ORL/Round</t>
        </is>
      </c>
      <c r="Y39" t="inlineStr">
        <is>
          <t>strong bullish close</t>
        </is>
      </c>
      <c r="Z39" t="n">
        <v>1.34</v>
      </c>
      <c r="AA39" t="inlineStr">
        <is>
          <t>Yes</t>
        </is>
      </c>
      <c r="AB39" t="inlineStr">
        <is>
          <t>Yes</t>
        </is>
      </c>
    </row>
    <row r="40">
      <c r="A40" t="inlineStr">
        <is>
          <t>2026-08-18</t>
        </is>
      </c>
      <c r="B40" t="inlineStr">
        <is>
          <t>10:48</t>
        </is>
      </c>
      <c r="C40" t="inlineStr">
        <is>
          <t>MGC</t>
        </is>
      </c>
      <c r="D40" t="inlineStr">
        <is>
          <t>Short</t>
        </is>
      </c>
      <c r="E40" t="n">
        <v>194</v>
      </c>
      <c r="F40" t="inlineStr">
        <is>
          <t>flat</t>
        </is>
      </c>
      <c r="G40" t="inlineStr">
        <is>
          <t>down</t>
        </is>
      </c>
      <c r="H40" t="inlineStr">
        <is>
          <t>down</t>
        </is>
      </c>
      <c r="I40" t="inlineStr">
        <is>
          <t>down</t>
        </is>
      </c>
      <c r="J40" t="n">
        <v>45</v>
      </c>
      <c r="K40" t="inlineStr">
        <is>
          <t>bear</t>
        </is>
      </c>
      <c r="L40" t="inlineStr">
        <is>
          <t>-</t>
        </is>
      </c>
      <c r="M40" t="n">
        <v>17.3</v>
      </c>
      <c r="N40" t="n">
        <v>8</v>
      </c>
      <c r="O40" t="n">
        <v>4449.98</v>
      </c>
      <c r="P40" t="inlineStr">
        <is>
          <t>below</t>
        </is>
      </c>
      <c r="Q40" t="n">
        <v>4442.54</v>
      </c>
      <c r="R40" t="n">
        <v>0.97</v>
      </c>
      <c r="S40" t="n">
        <v>2190</v>
      </c>
      <c r="T40" t="n">
        <v>35</v>
      </c>
      <c r="U40" t="inlineStr">
        <is>
          <t>shallow</t>
        </is>
      </c>
      <c r="V40" t="inlineStr">
        <is>
          <t>Good</t>
        </is>
      </c>
      <c r="W40" t="n">
        <v>2</v>
      </c>
      <c r="X40" t="inlineStr">
        <is>
          <t>ONL</t>
        </is>
      </c>
      <c r="Y40" t="inlineStr">
        <is>
          <t>bullish engulfing</t>
        </is>
      </c>
      <c r="Z40" t="n">
        <v>0.64</v>
      </c>
      <c r="AA40" t="inlineStr">
        <is>
          <t>Yes</t>
        </is>
      </c>
      <c r="AB40" t="inlineStr">
        <is>
          <t>No</t>
        </is>
      </c>
    </row>
    <row r="41">
      <c r="A41" t="inlineStr">
        <is>
          <t>2026-08-19</t>
        </is>
      </c>
      <c r="B41" t="inlineStr">
        <is>
          <t>09:43</t>
        </is>
      </c>
      <c r="C41" t="inlineStr">
        <is>
          <t>MNQ</t>
        </is>
      </c>
      <c r="D41" t="inlineStr">
        <is>
          <t>Short</t>
        </is>
      </c>
      <c r="E41" t="n">
        <v>427.5</v>
      </c>
      <c r="F41" t="inlineStr">
        <is>
          <t>down</t>
        </is>
      </c>
      <c r="G41" t="inlineStr">
        <is>
          <t>up</t>
        </is>
      </c>
      <c r="H41" t="inlineStr">
        <is>
          <t>up</t>
        </is>
      </c>
      <c r="I41" t="inlineStr">
        <is>
          <t>down</t>
        </is>
      </c>
      <c r="J41" t="n">
        <v>45.8</v>
      </c>
      <c r="K41" t="inlineStr">
        <is>
          <t>bull</t>
        </is>
      </c>
      <c r="L41" t="inlineStr">
        <is>
          <t>-</t>
        </is>
      </c>
      <c r="M41" t="n">
        <v>35.4</v>
      </c>
      <c r="N41" t="n">
        <v>44.57</v>
      </c>
      <c r="O41" t="n">
        <v>29645.51</v>
      </c>
      <c r="P41" t="inlineStr">
        <is>
          <t>below</t>
        </is>
      </c>
      <c r="Q41" t="n">
        <v>29694.91</v>
      </c>
      <c r="R41" t="n">
        <v>1.38</v>
      </c>
      <c r="S41" t="n">
        <v>-16404</v>
      </c>
      <c r="T41" t="n">
        <v>28</v>
      </c>
      <c r="U41" t="inlineStr">
        <is>
          <t>shallow</t>
        </is>
      </c>
      <c r="V41" t="inlineStr">
        <is>
          <t>Good</t>
        </is>
      </c>
      <c r="W41" t="n">
        <v>2</v>
      </c>
      <c r="X41" t="inlineStr">
        <is>
          <t>Round</t>
        </is>
      </c>
      <c r="Y41" t="inlineStr">
        <is>
          <t>strong bullish close</t>
        </is>
      </c>
      <c r="Z41" t="n">
        <v>3.73</v>
      </c>
      <c r="AA41" t="inlineStr">
        <is>
          <t>No</t>
        </is>
      </c>
      <c r="AB41" t="inlineStr">
        <is>
          <t>Yes</t>
        </is>
      </c>
    </row>
    <row r="42">
      <c r="A42" t="inlineStr">
        <is>
          <t>2026-08-19</t>
        </is>
      </c>
      <c r="B42" t="inlineStr">
        <is>
          <t>12:33</t>
        </is>
      </c>
      <c r="C42" t="inlineStr">
        <is>
          <t>MNQ</t>
        </is>
      </c>
      <c r="D42" t="inlineStr">
        <is>
          <t>Short</t>
        </is>
      </c>
      <c r="E42" t="n">
        <v>46.5</v>
      </c>
      <c r="F42" t="inlineStr">
        <is>
          <t>down</t>
        </is>
      </c>
      <c r="G42" t="inlineStr">
        <is>
          <t>up</t>
        </is>
      </c>
      <c r="H42" t="inlineStr">
        <is>
          <t>down</t>
        </is>
      </c>
      <c r="I42" t="inlineStr">
        <is>
          <t>up</t>
        </is>
      </c>
      <c r="J42" t="n">
        <v>51.8</v>
      </c>
      <c r="K42" t="inlineStr">
        <is>
          <t>bull</t>
        </is>
      </c>
      <c r="L42" t="inlineStr">
        <is>
          <t>+</t>
        </is>
      </c>
      <c r="M42" t="n">
        <v>14</v>
      </c>
      <c r="N42" t="n">
        <v>39.1</v>
      </c>
      <c r="O42" t="n">
        <v>29547.55</v>
      </c>
      <c r="P42" t="inlineStr">
        <is>
          <t>above</t>
        </is>
      </c>
      <c r="Q42" t="n">
        <v>29591.36</v>
      </c>
      <c r="R42" t="n">
        <v>0.74</v>
      </c>
      <c r="S42" t="n">
        <v>-18359</v>
      </c>
      <c r="T42" t="n">
        <v>63</v>
      </c>
      <c r="U42" t="inlineStr">
        <is>
          <t>deep</t>
        </is>
      </c>
      <c r="V42" t="inlineStr">
        <is>
          <t>Weak</t>
        </is>
      </c>
      <c r="W42" t="n">
        <v>1</v>
      </c>
      <c r="X42" t="inlineStr">
        <is>
          <t>Round</t>
        </is>
      </c>
      <c r="Y42" t="inlineStr">
        <is>
          <t>strong bullish close</t>
        </is>
      </c>
      <c r="Z42" t="n">
        <v>0.6899999999999999</v>
      </c>
      <c r="AA42" t="inlineStr">
        <is>
          <t>No</t>
        </is>
      </c>
      <c r="AB42" t="inlineStr">
        <is>
          <t>Yes</t>
        </is>
      </c>
    </row>
    <row r="43">
      <c r="A43" t="inlineStr">
        <is>
          <t>2026-08-19</t>
        </is>
      </c>
      <c r="B43" t="inlineStr">
        <is>
          <t>14:34</t>
        </is>
      </c>
      <c r="C43" t="inlineStr">
        <is>
          <t>MGC</t>
        </is>
      </c>
      <c r="D43" t="inlineStr">
        <is>
          <t>Short</t>
        </is>
      </c>
      <c r="E43" t="n">
        <v>-207</v>
      </c>
      <c r="F43" t="inlineStr">
        <is>
          <t>up</t>
        </is>
      </c>
      <c r="G43" t="inlineStr">
        <is>
          <t>up</t>
        </is>
      </c>
      <c r="H43" t="inlineStr">
        <is>
          <t>up</t>
        </is>
      </c>
      <c r="I43" t="inlineStr">
        <is>
          <t>down</t>
        </is>
      </c>
      <c r="J43" t="n">
        <v>42.1</v>
      </c>
      <c r="K43" t="inlineStr">
        <is>
          <t>bear</t>
        </is>
      </c>
      <c r="L43" t="inlineStr">
        <is>
          <t>-</t>
        </is>
      </c>
      <c r="M43" t="n">
        <v>16.9</v>
      </c>
      <c r="N43" t="n">
        <v>5.76</v>
      </c>
      <c r="O43" t="n">
        <v>4537.69</v>
      </c>
      <c r="P43" t="inlineStr">
        <is>
          <t>above</t>
        </is>
      </c>
      <c r="Q43" t="n">
        <v>4542.69</v>
      </c>
      <c r="R43" t="n">
        <v>10.86</v>
      </c>
      <c r="S43" t="n">
        <v>7653</v>
      </c>
      <c r="T43" t="n">
        <v>34</v>
      </c>
      <c r="U43" t="inlineStr">
        <is>
          <t>shallow</t>
        </is>
      </c>
      <c r="V43" t="inlineStr">
        <is>
          <t>Weak</t>
        </is>
      </c>
      <c r="W43" t="n">
        <v>1</v>
      </c>
      <c r="X43" t="inlineStr">
        <is>
          <t>Round</t>
        </is>
      </c>
      <c r="Y43" t="inlineStr">
        <is>
          <t>strong bullish close</t>
        </is>
      </c>
      <c r="Z43" t="n">
        <v>3.11</v>
      </c>
      <c r="AA43" t="inlineStr">
        <is>
          <t>No</t>
        </is>
      </c>
      <c r="AB43" t="inlineStr">
        <is>
          <t>No</t>
        </is>
      </c>
    </row>
    <row r="44">
      <c r="A44" t="inlineStr">
        <is>
          <t>2026-08-19</t>
        </is>
      </c>
      <c r="B44" t="inlineStr">
        <is>
          <t>15:00</t>
        </is>
      </c>
      <c r="C44" t="inlineStr">
        <is>
          <t>MNQ</t>
        </is>
      </c>
      <c r="D44" t="inlineStr">
        <is>
          <t>Short</t>
        </is>
      </c>
      <c r="E44" t="n">
        <v>-120</v>
      </c>
      <c r="F44" t="inlineStr">
        <is>
          <t>down</t>
        </is>
      </c>
      <c r="G44" t="inlineStr">
        <is>
          <t>up</t>
        </is>
      </c>
      <c r="H44" t="inlineStr">
        <is>
          <t>down</t>
        </is>
      </c>
      <c r="I44" t="inlineStr">
        <is>
          <t>down</t>
        </is>
      </c>
      <c r="J44" t="n">
        <v>47.9</v>
      </c>
      <c r="K44" t="inlineStr">
        <is>
          <t>bear</t>
        </is>
      </c>
      <c r="L44" t="inlineStr">
        <is>
          <t>+</t>
        </is>
      </c>
      <c r="M44" t="n">
        <v>14.6</v>
      </c>
      <c r="N44" t="n">
        <v>29.18</v>
      </c>
      <c r="O44" t="n">
        <v>29547.32</v>
      </c>
      <c r="P44" t="inlineStr">
        <is>
          <t>below</t>
        </is>
      </c>
      <c r="Q44" t="n">
        <v>29545.49</v>
      </c>
      <c r="R44" t="n">
        <v>0.93</v>
      </c>
      <c r="S44" t="n">
        <v>-30447</v>
      </c>
      <c r="T44" t="n">
        <v>30</v>
      </c>
      <c r="U44" t="inlineStr">
        <is>
          <t>shallow</t>
        </is>
      </c>
      <c r="V44" t="inlineStr">
        <is>
          <t>Weak</t>
        </is>
      </c>
      <c r="W44" t="n">
        <v>1</v>
      </c>
      <c r="X44" t="inlineStr">
        <is>
          <t>Round</t>
        </is>
      </c>
      <c r="Z44" t="n">
        <v>0.93</v>
      </c>
      <c r="AA44" t="inlineStr">
        <is>
          <t>No</t>
        </is>
      </c>
      <c r="AB44" t="inlineStr">
        <is>
          <t>Yes</t>
        </is>
      </c>
    </row>
    <row r="45">
      <c r="A45" t="inlineStr">
        <is>
          <t>2026-08-20</t>
        </is>
      </c>
      <c r="B45" t="inlineStr">
        <is>
          <t>09:51</t>
        </is>
      </c>
      <c r="C45" t="inlineStr">
        <is>
          <t>MGC</t>
        </is>
      </c>
      <c r="D45" t="inlineStr">
        <is>
          <t>Long</t>
        </is>
      </c>
      <c r="E45" t="n">
        <v>656</v>
      </c>
      <c r="F45" t="inlineStr">
        <is>
          <t>up</t>
        </is>
      </c>
      <c r="G45" t="inlineStr">
        <is>
          <t>up</t>
        </is>
      </c>
      <c r="H45" t="inlineStr">
        <is>
          <t>up</t>
        </is>
      </c>
      <c r="I45" t="inlineStr">
        <is>
          <t>up</t>
        </is>
      </c>
      <c r="J45" t="n">
        <v>59.9</v>
      </c>
      <c r="K45" t="inlineStr">
        <is>
          <t>bull</t>
        </is>
      </c>
      <c r="L45" t="inlineStr">
        <is>
          <t>+</t>
        </is>
      </c>
      <c r="M45" t="n">
        <v>23.6</v>
      </c>
      <c r="N45" t="n">
        <v>7.27</v>
      </c>
      <c r="O45" t="n">
        <v>4535.7</v>
      </c>
      <c r="P45" t="inlineStr">
        <is>
          <t>above</t>
        </is>
      </c>
      <c r="Q45" t="n">
        <v>4535.01</v>
      </c>
      <c r="R45" t="n">
        <v>0.89</v>
      </c>
      <c r="S45" t="n">
        <v>3813</v>
      </c>
      <c r="T45" t="n">
        <v>15</v>
      </c>
      <c r="U45" t="inlineStr">
        <is>
          <t>extended (no pullback)</t>
        </is>
      </c>
      <c r="V45" t="inlineStr">
        <is>
          <t>Good</t>
        </is>
      </c>
      <c r="W45" t="n">
        <v>2</v>
      </c>
      <c r="X45" t="inlineStr">
        <is>
          <t>Round</t>
        </is>
      </c>
      <c r="Y45" t="inlineStr">
        <is>
          <t>strong bullish close</t>
        </is>
      </c>
      <c r="Z45" t="n">
        <v>0.89</v>
      </c>
      <c r="AA45" t="inlineStr">
        <is>
          <t>Yes</t>
        </is>
      </c>
      <c r="AB45" t="inlineStr">
        <is>
          <t>Yes</t>
        </is>
      </c>
    </row>
    <row r="46">
      <c r="A46" t="inlineStr">
        <is>
          <t>2026-08-20</t>
        </is>
      </c>
      <c r="B46" t="inlineStr">
        <is>
          <t>10:05</t>
        </is>
      </c>
      <c r="C46" t="inlineStr">
        <is>
          <t>MNQ</t>
        </is>
      </c>
      <c r="D46" t="inlineStr">
        <is>
          <t>Long</t>
        </is>
      </c>
      <c r="E46" t="n">
        <v>-25</v>
      </c>
      <c r="F46" t="inlineStr">
        <is>
          <t>down</t>
        </is>
      </c>
      <c r="G46" t="inlineStr">
        <is>
          <t>down</t>
        </is>
      </c>
      <c r="H46" t="inlineStr">
        <is>
          <t>up</t>
        </is>
      </c>
      <c r="I46" t="inlineStr">
        <is>
          <t>up</t>
        </is>
      </c>
      <c r="J46" t="n">
        <v>53.1</v>
      </c>
      <c r="K46" t="inlineStr">
        <is>
          <t>bull</t>
        </is>
      </c>
      <c r="L46" t="inlineStr">
        <is>
          <t>+</t>
        </is>
      </c>
      <c r="M46" t="n">
        <v>23.5</v>
      </c>
      <c r="N46" t="n">
        <v>54.46</v>
      </c>
      <c r="O46" t="n">
        <v>29386.98</v>
      </c>
      <c r="P46" t="inlineStr">
        <is>
          <t>below</t>
        </is>
      </c>
      <c r="Q46" t="n">
        <v>29355.18</v>
      </c>
      <c r="R46" t="n">
        <v>1.06</v>
      </c>
      <c r="S46" t="n">
        <v>16581</v>
      </c>
      <c r="T46" t="n">
        <v>61</v>
      </c>
      <c r="U46" t="inlineStr">
        <is>
          <t>golden</t>
        </is>
      </c>
      <c r="V46" t="inlineStr">
        <is>
          <t>Weak</t>
        </is>
      </c>
      <c r="W46" t="n">
        <v>1</v>
      </c>
      <c r="X46" t="inlineStr">
        <is>
          <t>ORL/Round</t>
        </is>
      </c>
      <c r="Y46" t="inlineStr">
        <is>
          <t>bullish engulfing</t>
        </is>
      </c>
      <c r="Z46" t="n">
        <v>1.51</v>
      </c>
      <c r="AA46" t="inlineStr">
        <is>
          <t>No</t>
        </is>
      </c>
      <c r="AB46" t="inlineStr">
        <is>
          <t>No</t>
        </is>
      </c>
    </row>
    <row r="47">
      <c r="A47" t="inlineStr">
        <is>
          <t>2026-08-21</t>
        </is>
      </c>
      <c r="B47" t="inlineStr">
        <is>
          <t>09:52</t>
        </is>
      </c>
      <c r="C47" t="inlineStr">
        <is>
          <t>MGC</t>
        </is>
      </c>
      <c r="D47" t="inlineStr">
        <is>
          <t>Long</t>
        </is>
      </c>
      <c r="E47" t="n">
        <v>542</v>
      </c>
      <c r="F47" t="inlineStr">
        <is>
          <t>up</t>
        </is>
      </c>
      <c r="G47" t="inlineStr">
        <is>
          <t>up</t>
        </is>
      </c>
      <c r="H47" t="inlineStr">
        <is>
          <t>up</t>
        </is>
      </c>
      <c r="I47" t="inlineStr">
        <is>
          <t>down</t>
        </is>
      </c>
      <c r="J47" t="n">
        <v>47.2</v>
      </c>
      <c r="K47" t="inlineStr">
        <is>
          <t>bear</t>
        </is>
      </c>
      <c r="L47" t="inlineStr">
        <is>
          <t>+</t>
        </is>
      </c>
      <c r="M47" t="n">
        <v>22.9</v>
      </c>
      <c r="N47" t="n">
        <v>8.48</v>
      </c>
      <c r="O47" t="n">
        <v>4641.06</v>
      </c>
      <c r="P47" t="inlineStr">
        <is>
          <t>below</t>
        </is>
      </c>
      <c r="Q47" t="n">
        <v>4638.84</v>
      </c>
      <c r="R47" t="n">
        <v>1.4</v>
      </c>
      <c r="S47" t="n">
        <v>327</v>
      </c>
      <c r="T47" t="n">
        <v>39</v>
      </c>
      <c r="U47" t="inlineStr">
        <is>
          <t>golden</t>
        </is>
      </c>
      <c r="V47" t="inlineStr">
        <is>
          <t>Good</t>
        </is>
      </c>
      <c r="W47" t="n">
        <v>2</v>
      </c>
      <c r="X47" t="inlineStr">
        <is>
          <t>Round</t>
        </is>
      </c>
      <c r="Z47" t="n">
        <v>1.35</v>
      </c>
      <c r="AA47" t="inlineStr">
        <is>
          <t>No</t>
        </is>
      </c>
      <c r="AB47" t="inlineStr">
        <is>
          <t>Yes</t>
        </is>
      </c>
    </row>
    <row r="48">
      <c r="A48" t="inlineStr">
        <is>
          <t>2026-08-23</t>
        </is>
      </c>
      <c r="B48" t="inlineStr">
        <is>
          <t>19:35</t>
        </is>
      </c>
      <c r="C48" t="inlineStr">
        <is>
          <t>MGC</t>
        </is>
      </c>
      <c r="D48" t="inlineStr">
        <is>
          <t>Long</t>
        </is>
      </c>
      <c r="E48" t="n">
        <v>-62</v>
      </c>
      <c r="F48" t="inlineStr">
        <is>
          <t>up</t>
        </is>
      </c>
      <c r="G48" t="inlineStr">
        <is>
          <t>up</t>
        </is>
      </c>
      <c r="H48" t="inlineStr">
        <is>
          <t>up</t>
        </is>
      </c>
      <c r="I48" t="inlineStr">
        <is>
          <t>up</t>
        </is>
      </c>
      <c r="J48" t="n">
        <v>51.2</v>
      </c>
      <c r="K48" t="inlineStr">
        <is>
          <t>bull</t>
        </is>
      </c>
      <c r="L48" t="inlineStr">
        <is>
          <t>+</t>
        </is>
      </c>
      <c r="M48" t="n">
        <v>17.6</v>
      </c>
      <c r="N48" t="n">
        <v>4.28</v>
      </c>
      <c r="O48" t="n">
        <v>4670.17</v>
      </c>
      <c r="P48" t="inlineStr">
        <is>
          <t>below</t>
        </is>
      </c>
      <c r="Q48" t="n">
        <v>4673.3</v>
      </c>
      <c r="R48" t="n">
        <v>2.21</v>
      </c>
      <c r="S48" t="n">
        <v>-33</v>
      </c>
      <c r="T48" t="n">
        <v>203</v>
      </c>
      <c r="U48" t="inlineStr">
        <is>
          <t>broke the leg (reversal risk)</t>
        </is>
      </c>
      <c r="V48" t="inlineStr">
        <is>
          <t>Weak</t>
        </is>
      </c>
      <c r="W48" t="n">
        <v>1</v>
      </c>
      <c r="X48" t="inlineStr">
        <is>
          <t>Round</t>
        </is>
      </c>
      <c r="Y48" t="inlineStr">
        <is>
          <t>strong bearish close</t>
        </is>
      </c>
      <c r="Z48" t="n">
        <v>1.48</v>
      </c>
      <c r="AA48" t="inlineStr">
        <is>
          <t>Yes</t>
        </is>
      </c>
      <c r="AB48" t="inlineStr">
        <is>
          <t>Yes</t>
        </is>
      </c>
    </row>
    <row r="49">
      <c r="A49" t="inlineStr">
        <is>
          <t>2026-08-23</t>
        </is>
      </c>
      <c r="B49" t="inlineStr">
        <is>
          <t>19:46</t>
        </is>
      </c>
      <c r="C49" t="inlineStr">
        <is>
          <t>MGC</t>
        </is>
      </c>
      <c r="D49" t="inlineStr">
        <is>
          <t>Long</t>
        </is>
      </c>
      <c r="E49" t="n">
        <v>120</v>
      </c>
      <c r="F49" t="inlineStr">
        <is>
          <t>up</t>
        </is>
      </c>
      <c r="G49" t="inlineStr">
        <is>
          <t>up</t>
        </is>
      </c>
      <c r="H49" t="inlineStr">
        <is>
          <t>up</t>
        </is>
      </c>
      <c r="I49" t="inlineStr">
        <is>
          <t>up</t>
        </is>
      </c>
      <c r="J49" t="n">
        <v>53</v>
      </c>
      <c r="K49" t="inlineStr">
        <is>
          <t>bear</t>
        </is>
      </c>
      <c r="L49" t="inlineStr">
        <is>
          <t>+</t>
        </is>
      </c>
      <c r="M49" t="n">
        <v>15.3</v>
      </c>
      <c r="N49" t="n">
        <v>4.64</v>
      </c>
      <c r="O49" t="n">
        <v>4669.92</v>
      </c>
      <c r="P49" t="inlineStr">
        <is>
          <t>below</t>
        </is>
      </c>
      <c r="Q49" t="n">
        <v>4673.3</v>
      </c>
      <c r="R49" t="n">
        <v>1.73</v>
      </c>
      <c r="S49" t="n">
        <v>-64</v>
      </c>
      <c r="T49" t="n">
        <v>253</v>
      </c>
      <c r="U49" t="inlineStr">
        <is>
          <t>broke the leg (reversal risk)</t>
        </is>
      </c>
      <c r="V49" t="inlineStr">
        <is>
          <t>No setup</t>
        </is>
      </c>
      <c r="W49" t="n">
        <v>0</v>
      </c>
      <c r="X49" t="inlineStr">
        <is>
          <t>Round</t>
        </is>
      </c>
      <c r="Y49" t="inlineStr">
        <is>
          <t>strong bullish close</t>
        </is>
      </c>
      <c r="Z49" t="n">
        <v>1.34</v>
      </c>
      <c r="AA49" t="inlineStr">
        <is>
          <t>Yes</t>
        </is>
      </c>
      <c r="AB49" t="inlineStr">
        <is>
          <t>Yes</t>
        </is>
      </c>
    </row>
    <row r="50">
      <c r="A50" t="inlineStr">
        <is>
          <t>2026-08-23</t>
        </is>
      </c>
      <c r="B50" t="inlineStr">
        <is>
          <t>20:23</t>
        </is>
      </c>
      <c r="C50" t="inlineStr">
        <is>
          <t>MGC</t>
        </is>
      </c>
      <c r="D50" t="inlineStr">
        <is>
          <t>Long</t>
        </is>
      </c>
      <c r="E50" t="n">
        <v>-61</v>
      </c>
      <c r="F50" t="inlineStr">
        <is>
          <t>up</t>
        </is>
      </c>
      <c r="G50" t="inlineStr">
        <is>
          <t>up</t>
        </is>
      </c>
      <c r="H50" t="inlineStr">
        <is>
          <t>up</t>
        </is>
      </c>
      <c r="I50" t="inlineStr">
        <is>
          <t>down</t>
        </is>
      </c>
      <c r="J50" t="n">
        <v>45.3</v>
      </c>
      <c r="K50" t="inlineStr">
        <is>
          <t>bull</t>
        </is>
      </c>
      <c r="L50" t="inlineStr">
        <is>
          <t>+</t>
        </is>
      </c>
      <c r="M50" t="n">
        <v>21.8</v>
      </c>
      <c r="N50" t="n">
        <v>6.88</v>
      </c>
      <c r="O50" t="n">
        <v>4678.58</v>
      </c>
      <c r="P50" t="inlineStr">
        <is>
          <t>below</t>
        </is>
      </c>
      <c r="Q50" t="n">
        <v>4690.8</v>
      </c>
      <c r="R50" t="n">
        <v>3.05</v>
      </c>
      <c r="S50" t="n">
        <v>-120</v>
      </c>
      <c r="T50" t="n">
        <v>150</v>
      </c>
      <c r="U50" t="inlineStr">
        <is>
          <t>broke the leg (reversal risk)</t>
        </is>
      </c>
      <c r="V50" t="inlineStr">
        <is>
          <t>Weak</t>
        </is>
      </c>
      <c r="W50" t="n">
        <v>1</v>
      </c>
      <c r="X50" t="inlineStr">
        <is>
          <t>Round</t>
        </is>
      </c>
      <c r="Y50" t="inlineStr">
        <is>
          <t>strong bearish close</t>
        </is>
      </c>
      <c r="Z50" t="n">
        <v>2.77</v>
      </c>
      <c r="AA50" t="inlineStr">
        <is>
          <t>No</t>
        </is>
      </c>
      <c r="AB50" t="inlineStr">
        <is>
          <t>Yes</t>
        </is>
      </c>
    </row>
    <row r="51">
      <c r="A51" t="inlineStr">
        <is>
          <t>2026-08-23</t>
        </is>
      </c>
      <c r="B51" t="inlineStr">
        <is>
          <t>20:28</t>
        </is>
      </c>
      <c r="C51" t="inlineStr">
        <is>
          <t>MGC</t>
        </is>
      </c>
      <c r="D51" t="inlineStr">
        <is>
          <t>Long</t>
        </is>
      </c>
      <c r="E51" t="n">
        <v>229</v>
      </c>
      <c r="F51" t="inlineStr">
        <is>
          <t>up</t>
        </is>
      </c>
      <c r="G51" t="inlineStr">
        <is>
          <t>up</t>
        </is>
      </c>
      <c r="H51" t="inlineStr">
        <is>
          <t>up</t>
        </is>
      </c>
      <c r="I51" t="inlineStr">
        <is>
          <t>down</t>
        </is>
      </c>
      <c r="J51" t="n">
        <v>39.7</v>
      </c>
      <c r="K51" t="inlineStr">
        <is>
          <t>bull</t>
        </is>
      </c>
      <c r="L51" t="inlineStr">
        <is>
          <t>-</t>
        </is>
      </c>
      <c r="M51" t="n">
        <v>22.2</v>
      </c>
      <c r="N51" t="n">
        <v>7.7</v>
      </c>
      <c r="O51" t="n">
        <v>4676.5</v>
      </c>
      <c r="P51" t="inlineStr">
        <is>
          <t>below</t>
        </is>
      </c>
      <c r="Q51" t="n">
        <v>4660.57</v>
      </c>
      <c r="R51" t="n">
        <v>3.53</v>
      </c>
      <c r="S51" t="n">
        <v>-11</v>
      </c>
      <c r="V51" t="inlineStr">
        <is>
          <t>Weak</t>
        </is>
      </c>
      <c r="W51" t="n">
        <v>1</v>
      </c>
      <c r="X51" t="inlineStr">
        <is>
          <t>Round</t>
        </is>
      </c>
      <c r="Z51" t="n">
        <v>3.79</v>
      </c>
      <c r="AA51" t="inlineStr">
        <is>
          <t>No</t>
        </is>
      </c>
      <c r="AB51" t="inlineStr">
        <is>
          <t>Yes</t>
        </is>
      </c>
    </row>
    <row r="52">
      <c r="A52" t="inlineStr">
        <is>
          <t>2026-08-23</t>
        </is>
      </c>
      <c r="B52" t="inlineStr">
        <is>
          <t>22:57</t>
        </is>
      </c>
      <c r="C52" t="inlineStr">
        <is>
          <t>MGC</t>
        </is>
      </c>
      <c r="D52" t="inlineStr">
        <is>
          <t>Long</t>
        </is>
      </c>
      <c r="E52" t="n">
        <v>-63</v>
      </c>
      <c r="F52" t="inlineStr">
        <is>
          <t>up</t>
        </is>
      </c>
      <c r="G52" t="inlineStr">
        <is>
          <t>up</t>
        </is>
      </c>
      <c r="H52" t="inlineStr">
        <is>
          <t>up</t>
        </is>
      </c>
      <c r="I52" t="inlineStr">
        <is>
          <t>down</t>
        </is>
      </c>
      <c r="J52" t="n">
        <v>57.9</v>
      </c>
      <c r="K52" t="inlineStr">
        <is>
          <t>bull</t>
        </is>
      </c>
      <c r="L52" t="inlineStr">
        <is>
          <t>-</t>
        </is>
      </c>
      <c r="M52" t="n">
        <v>20.5</v>
      </c>
      <c r="N52" t="n">
        <v>8.43</v>
      </c>
      <c r="O52" t="n">
        <v>4683.05</v>
      </c>
      <c r="P52" t="inlineStr">
        <is>
          <t>below</t>
        </is>
      </c>
      <c r="Q52" t="n">
        <v>4689.77</v>
      </c>
      <c r="R52" t="n">
        <v>1.84</v>
      </c>
      <c r="S52" t="n">
        <v>1598</v>
      </c>
      <c r="T52" t="n">
        <v>81</v>
      </c>
      <c r="U52" t="inlineStr">
        <is>
          <t>broke the leg (reversal risk)</t>
        </is>
      </c>
      <c r="V52" t="inlineStr">
        <is>
          <t>Weak</t>
        </is>
      </c>
      <c r="W52" t="n">
        <v>1</v>
      </c>
      <c r="X52" t="inlineStr">
        <is>
          <t>Round</t>
        </is>
      </c>
      <c r="Y52" t="inlineStr">
        <is>
          <t>strong bullish close</t>
        </is>
      </c>
      <c r="Z52" t="n">
        <v>0.77</v>
      </c>
      <c r="AA52" t="inlineStr">
        <is>
          <t>No</t>
        </is>
      </c>
      <c r="AB52" t="inlineStr">
        <is>
          <t>Yes</t>
        </is>
      </c>
    </row>
    <row r="53">
      <c r="A53" t="inlineStr">
        <is>
          <t>2026-08-24</t>
        </is>
      </c>
      <c r="B53" t="inlineStr">
        <is>
          <t>00:18</t>
        </is>
      </c>
      <c r="C53" t="inlineStr">
        <is>
          <t>MGC</t>
        </is>
      </c>
      <c r="D53" t="inlineStr">
        <is>
          <t>Long</t>
        </is>
      </c>
      <c r="E53" t="n">
        <v>16</v>
      </c>
      <c r="F53" t="inlineStr">
        <is>
          <t>up</t>
        </is>
      </c>
      <c r="G53" t="inlineStr">
        <is>
          <t>up</t>
        </is>
      </c>
      <c r="H53" t="inlineStr">
        <is>
          <t>up</t>
        </is>
      </c>
      <c r="I53" t="inlineStr">
        <is>
          <t>down</t>
        </is>
      </c>
      <c r="J53" t="n">
        <v>50.7</v>
      </c>
      <c r="K53" t="inlineStr">
        <is>
          <t>bull</t>
        </is>
      </c>
      <c r="L53" t="inlineStr">
        <is>
          <t>-</t>
        </is>
      </c>
      <c r="M53" t="n">
        <v>12.9</v>
      </c>
      <c r="N53" t="n">
        <v>6.23</v>
      </c>
      <c r="O53" t="n">
        <v>4684.84</v>
      </c>
      <c r="P53" t="inlineStr">
        <is>
          <t>above</t>
        </is>
      </c>
      <c r="Q53" t="n">
        <v>4689.77</v>
      </c>
      <c r="R53" t="n">
        <v>0.91</v>
      </c>
      <c r="S53" t="n">
        <v>1115</v>
      </c>
      <c r="T53" t="n">
        <v>30</v>
      </c>
      <c r="U53" t="inlineStr">
        <is>
          <t>shallow</t>
        </is>
      </c>
      <c r="V53" t="inlineStr">
        <is>
          <t>Weak</t>
        </is>
      </c>
      <c r="W53" t="n">
        <v>1</v>
      </c>
      <c r="X53" t="inlineStr">
        <is>
          <t>No</t>
        </is>
      </c>
      <c r="Y53" t="inlineStr">
        <is>
          <t>strong bullish close</t>
        </is>
      </c>
      <c r="Z53" t="n">
        <v>0.52</v>
      </c>
      <c r="AA53" t="inlineStr">
        <is>
          <t>No</t>
        </is>
      </c>
      <c r="AB53" t="inlineStr">
        <is>
          <t>Yes</t>
        </is>
      </c>
    </row>
    <row r="54">
      <c r="A54" t="inlineStr">
        <is>
          <t>2026-08-24</t>
        </is>
      </c>
      <c r="B54" t="inlineStr">
        <is>
          <t>09:39</t>
        </is>
      </c>
      <c r="C54" t="inlineStr">
        <is>
          <t>MGC</t>
        </is>
      </c>
      <c r="D54" t="inlineStr">
        <is>
          <t>Long</t>
        </is>
      </c>
      <c r="E54" t="n">
        <v>-120</v>
      </c>
      <c r="F54" t="inlineStr">
        <is>
          <t>up</t>
        </is>
      </c>
      <c r="G54" t="inlineStr">
        <is>
          <t>up</t>
        </is>
      </c>
      <c r="H54" t="inlineStr">
        <is>
          <t>up</t>
        </is>
      </c>
      <c r="I54" t="inlineStr">
        <is>
          <t>up</t>
        </is>
      </c>
      <c r="J54" t="n">
        <v>53.1</v>
      </c>
      <c r="K54" t="inlineStr">
        <is>
          <t>bull</t>
        </is>
      </c>
      <c r="L54" t="inlineStr">
        <is>
          <t>+</t>
        </is>
      </c>
      <c r="M54" t="n">
        <v>23.4</v>
      </c>
      <c r="N54" t="n">
        <v>8.32</v>
      </c>
      <c r="T54" t="n">
        <v>27</v>
      </c>
      <c r="U54" t="inlineStr">
        <is>
          <t>shallow</t>
        </is>
      </c>
      <c r="V54" t="inlineStr">
        <is>
          <t>Good</t>
        </is>
      </c>
      <c r="W54" t="n">
        <v>2</v>
      </c>
      <c r="X54" t="inlineStr">
        <is>
          <t>No</t>
        </is>
      </c>
      <c r="Y54" t="inlineStr">
        <is>
          <t>strong bearish close</t>
        </is>
      </c>
      <c r="Z54" t="n">
        <v>2.06</v>
      </c>
      <c r="AA54" t="inlineStr">
        <is>
          <t>Yes</t>
        </is>
      </c>
      <c r="AB54" t="inlineStr">
        <is>
          <t>Yes</t>
        </is>
      </c>
    </row>
    <row r="55">
      <c r="A55" t="inlineStr">
        <is>
          <t>2026-08-24</t>
        </is>
      </c>
      <c r="B55" t="inlineStr">
        <is>
          <t>10:58</t>
        </is>
      </c>
      <c r="C55" t="inlineStr">
        <is>
          <t>MNQ</t>
        </is>
      </c>
      <c r="D55" t="inlineStr">
        <is>
          <t>Long</t>
        </is>
      </c>
      <c r="E55" t="n">
        <v>-106.5</v>
      </c>
      <c r="F55" t="inlineStr">
        <is>
          <t>down</t>
        </is>
      </c>
      <c r="G55" t="inlineStr">
        <is>
          <t>down</t>
        </is>
      </c>
      <c r="H55" t="inlineStr">
        <is>
          <t>down</t>
        </is>
      </c>
      <c r="I55" t="inlineStr">
        <is>
          <t>down</t>
        </is>
      </c>
      <c r="J55" t="n">
        <v>48.6</v>
      </c>
      <c r="K55" t="inlineStr">
        <is>
          <t>bear</t>
        </is>
      </c>
      <c r="L55" t="inlineStr">
        <is>
          <t>+</t>
        </is>
      </c>
      <c r="M55" t="n">
        <v>24.6</v>
      </c>
      <c r="N55" t="n">
        <v>44.21</v>
      </c>
      <c r="O55" t="n">
        <v>29047.95</v>
      </c>
      <c r="P55" t="inlineStr">
        <is>
          <t>above</t>
        </is>
      </c>
      <c r="Q55" t="n">
        <v>29002.3</v>
      </c>
      <c r="R55" t="n">
        <v>0.83</v>
      </c>
      <c r="S55" t="n">
        <v>-22834</v>
      </c>
      <c r="T55" t="n">
        <v>18</v>
      </c>
      <c r="U55" t="inlineStr">
        <is>
          <t>shallow</t>
        </is>
      </c>
      <c r="V55" t="inlineStr">
        <is>
          <t>Weak</t>
        </is>
      </c>
      <c r="W55" t="n">
        <v>1</v>
      </c>
      <c r="X55" t="inlineStr">
        <is>
          <t>Round</t>
        </is>
      </c>
      <c r="Y55" t="inlineStr">
        <is>
          <t>strong bearish close</t>
        </is>
      </c>
      <c r="Z55" t="n">
        <v>0.59</v>
      </c>
      <c r="AA55" t="inlineStr">
        <is>
          <t>No</t>
        </is>
      </c>
      <c r="AB55" t="inlineStr">
        <is>
          <t>No</t>
        </is>
      </c>
    </row>
    <row r="56">
      <c r="A56" t="inlineStr">
        <is>
          <t>2026-08-24</t>
        </is>
      </c>
      <c r="B56" t="inlineStr">
        <is>
          <t>11:13</t>
        </is>
      </c>
      <c r="C56" t="inlineStr">
        <is>
          <t>MNQ</t>
        </is>
      </c>
      <c r="D56" t="inlineStr">
        <is>
          <t>Short</t>
        </is>
      </c>
      <c r="E56" t="n">
        <v>-240</v>
      </c>
      <c r="F56" t="inlineStr">
        <is>
          <t>down</t>
        </is>
      </c>
      <c r="G56" t="inlineStr">
        <is>
          <t>down</t>
        </is>
      </c>
      <c r="H56" t="inlineStr">
        <is>
          <t>down</t>
        </is>
      </c>
      <c r="I56" t="inlineStr">
        <is>
          <t>down</t>
        </is>
      </c>
      <c r="J56" t="n">
        <v>43</v>
      </c>
      <c r="K56" t="inlineStr">
        <is>
          <t>bear</t>
        </is>
      </c>
      <c r="L56" t="inlineStr">
        <is>
          <t>+</t>
        </is>
      </c>
      <c r="M56" t="n">
        <v>22.1</v>
      </c>
      <c r="N56" t="n">
        <v>42.16</v>
      </c>
      <c r="O56" t="n">
        <v>29049.15</v>
      </c>
      <c r="P56" t="inlineStr">
        <is>
          <t>above</t>
        </is>
      </c>
      <c r="Q56" t="n">
        <v>29002.3</v>
      </c>
      <c r="R56" t="n">
        <v>0.82</v>
      </c>
      <c r="S56" t="n">
        <v>-28614</v>
      </c>
      <c r="T56" t="n">
        <v>36</v>
      </c>
      <c r="U56" t="inlineStr">
        <is>
          <t>shallow</t>
        </is>
      </c>
      <c r="V56" t="inlineStr">
        <is>
          <t>Good</t>
        </is>
      </c>
      <c r="W56" t="n">
        <v>2</v>
      </c>
      <c r="X56" t="inlineStr">
        <is>
          <t>Round</t>
        </is>
      </c>
      <c r="Y56" t="inlineStr">
        <is>
          <t>strong bearish close</t>
        </is>
      </c>
      <c r="Z56" t="n">
        <v>0.46</v>
      </c>
      <c r="AA56" t="inlineStr">
        <is>
          <t>Yes</t>
        </is>
      </c>
      <c r="AB56" t="inlineStr">
        <is>
          <t>Yes</t>
        </is>
      </c>
    </row>
    <row r="57">
      <c r="A57" t="inlineStr">
        <is>
          <t>2026-08-25</t>
        </is>
      </c>
      <c r="B57" t="inlineStr">
        <is>
          <t>09:50</t>
        </is>
      </c>
      <c r="C57" t="inlineStr">
        <is>
          <t>MGC</t>
        </is>
      </c>
      <c r="D57" t="inlineStr">
        <is>
          <t>Short</t>
        </is>
      </c>
      <c r="E57" t="n">
        <v>-225</v>
      </c>
      <c r="F57" t="inlineStr">
        <is>
          <t>flat</t>
        </is>
      </c>
      <c r="G57" t="inlineStr">
        <is>
          <t>down</t>
        </is>
      </c>
      <c r="H57" t="inlineStr">
        <is>
          <t>down</t>
        </is>
      </c>
      <c r="I57" t="inlineStr">
        <is>
          <t>down</t>
        </is>
      </c>
      <c r="J57" t="n">
        <v>33.3</v>
      </c>
      <c r="K57" t="inlineStr">
        <is>
          <t>bear</t>
        </is>
      </c>
      <c r="L57" t="inlineStr">
        <is>
          <t>-</t>
        </is>
      </c>
      <c r="M57" t="n">
        <v>29.2</v>
      </c>
      <c r="N57" t="n">
        <v>8.199999999999999</v>
      </c>
      <c r="O57" t="n">
        <v>4667.74</v>
      </c>
      <c r="P57" t="inlineStr">
        <is>
          <t>below</t>
        </is>
      </c>
      <c r="Q57" t="n">
        <v>4671.26</v>
      </c>
      <c r="R57" t="n">
        <v>1.06</v>
      </c>
      <c r="S57" t="n">
        <v>-1293</v>
      </c>
      <c r="T57" t="n">
        <v>10</v>
      </c>
      <c r="U57" t="inlineStr">
        <is>
          <t>extended (no pullback)</t>
        </is>
      </c>
      <c r="V57" t="inlineStr">
        <is>
          <t>Weak</t>
        </is>
      </c>
      <c r="W57" t="n">
        <v>1</v>
      </c>
      <c r="X57" t="inlineStr">
        <is>
          <t>ONL/Round</t>
        </is>
      </c>
      <c r="Y57" t="inlineStr">
        <is>
          <t>bearish pin</t>
        </is>
      </c>
      <c r="Z57" t="n">
        <v>1.36</v>
      </c>
      <c r="AA57" t="inlineStr">
        <is>
          <t>Yes</t>
        </is>
      </c>
      <c r="AB57" t="inlineStr">
        <is>
          <t>No</t>
        </is>
      </c>
    </row>
    <row r="58">
      <c r="A58" t="inlineStr">
        <is>
          <t>2026-08-25</t>
        </is>
      </c>
      <c r="B58" t="inlineStr">
        <is>
          <t>10:22</t>
        </is>
      </c>
      <c r="C58" t="inlineStr">
        <is>
          <t>MNQ</t>
        </is>
      </c>
      <c r="D58" t="inlineStr">
        <is>
          <t>Long</t>
        </is>
      </c>
      <c r="E58" t="n">
        <v>-90</v>
      </c>
      <c r="F58" t="inlineStr">
        <is>
          <t>down</t>
        </is>
      </c>
      <c r="G58" t="inlineStr">
        <is>
          <t>up</t>
        </is>
      </c>
      <c r="H58" t="inlineStr">
        <is>
          <t>down</t>
        </is>
      </c>
      <c r="I58" t="inlineStr">
        <is>
          <t>down</t>
        </is>
      </c>
      <c r="J58" t="n">
        <v>34.8</v>
      </c>
      <c r="K58" t="inlineStr">
        <is>
          <t>bear</t>
        </is>
      </c>
      <c r="L58" t="inlineStr">
        <is>
          <t>-</t>
        </is>
      </c>
      <c r="M58" t="n">
        <v>20.8</v>
      </c>
      <c r="N58" t="n">
        <v>41.2</v>
      </c>
      <c r="O58" t="n">
        <v>29315.54</v>
      </c>
      <c r="P58" t="inlineStr">
        <is>
          <t>below</t>
        </is>
      </c>
      <c r="Q58" t="n">
        <v>29329.98</v>
      </c>
      <c r="R58" t="n">
        <v>1.16</v>
      </c>
      <c r="S58" t="n">
        <v>-11968</v>
      </c>
      <c r="V58" t="inlineStr">
        <is>
          <t>No setup</t>
        </is>
      </c>
      <c r="W58" t="n">
        <v>0</v>
      </c>
      <c r="X58" t="inlineStr">
        <is>
          <t>Round</t>
        </is>
      </c>
      <c r="Z58" t="n">
        <v>1.31</v>
      </c>
      <c r="AA58" t="inlineStr">
        <is>
          <t>No</t>
        </is>
      </c>
      <c r="AB58" t="inlineStr">
        <is>
          <t>No</t>
        </is>
      </c>
    </row>
    <row r="59">
      <c r="A59" t="inlineStr">
        <is>
          <t>2026-08-25</t>
        </is>
      </c>
      <c r="B59" t="inlineStr">
        <is>
          <t>10:32</t>
        </is>
      </c>
      <c r="C59" t="inlineStr">
        <is>
          <t>MNQ</t>
        </is>
      </c>
      <c r="D59" t="inlineStr">
        <is>
          <t>Short</t>
        </is>
      </c>
      <c r="E59" t="n">
        <v>96.5</v>
      </c>
      <c r="F59" t="inlineStr">
        <is>
          <t>down</t>
        </is>
      </c>
      <c r="G59" t="inlineStr">
        <is>
          <t>up</t>
        </is>
      </c>
      <c r="H59" t="inlineStr">
        <is>
          <t>down</t>
        </is>
      </c>
      <c r="I59" t="inlineStr">
        <is>
          <t>down</t>
        </is>
      </c>
      <c r="J59" t="n">
        <v>32.1</v>
      </c>
      <c r="K59" t="inlineStr">
        <is>
          <t>bear</t>
        </is>
      </c>
      <c r="L59" t="inlineStr">
        <is>
          <t>-</t>
        </is>
      </c>
      <c r="M59" t="n">
        <v>24.2</v>
      </c>
      <c r="N59" t="n">
        <v>46.08</v>
      </c>
      <c r="O59" t="n">
        <v>29300.39</v>
      </c>
      <c r="P59" t="inlineStr">
        <is>
          <t>below</t>
        </is>
      </c>
      <c r="Q59" t="n">
        <v>29342.1</v>
      </c>
      <c r="R59" t="n">
        <v>1.76</v>
      </c>
      <c r="S59" t="n">
        <v>-14734</v>
      </c>
      <c r="T59" t="n">
        <v>37</v>
      </c>
      <c r="U59" t="inlineStr">
        <is>
          <t>shallow</t>
        </is>
      </c>
      <c r="V59" t="inlineStr">
        <is>
          <t>Weak</t>
        </is>
      </c>
      <c r="W59" t="n">
        <v>1</v>
      </c>
      <c r="X59" t="inlineStr">
        <is>
          <t>Round</t>
        </is>
      </c>
      <c r="Z59" t="n">
        <v>1.96</v>
      </c>
      <c r="AA59" t="inlineStr">
        <is>
          <t>No</t>
        </is>
      </c>
      <c r="AB59" t="inlineStr">
        <is>
          <t>Yes</t>
        </is>
      </c>
    </row>
    <row r="60">
      <c r="A60" t="inlineStr">
        <is>
          <t>2026-08-25</t>
        </is>
      </c>
      <c r="B60" t="inlineStr">
        <is>
          <t>12:32</t>
        </is>
      </c>
      <c r="C60" t="inlineStr">
        <is>
          <t>MGC</t>
        </is>
      </c>
      <c r="D60" t="inlineStr">
        <is>
          <t>Short</t>
        </is>
      </c>
      <c r="E60" t="n">
        <v>9</v>
      </c>
      <c r="F60" t="inlineStr">
        <is>
          <t>up</t>
        </is>
      </c>
      <c r="G60" t="inlineStr">
        <is>
          <t>down</t>
        </is>
      </c>
      <c r="H60" t="inlineStr">
        <is>
          <t>up</t>
        </is>
      </c>
      <c r="I60" t="inlineStr">
        <is>
          <t>up</t>
        </is>
      </c>
      <c r="J60" t="n">
        <v>48.3</v>
      </c>
      <c r="K60" t="inlineStr">
        <is>
          <t>bull</t>
        </is>
      </c>
      <c r="L60" t="inlineStr">
        <is>
          <t>-</t>
        </is>
      </c>
      <c r="M60" t="n">
        <v>15.2</v>
      </c>
      <c r="N60" t="n">
        <v>6.07</v>
      </c>
      <c r="O60" t="n">
        <v>4687.72</v>
      </c>
      <c r="P60" t="inlineStr">
        <is>
          <t>above</t>
        </is>
      </c>
      <c r="Q60" t="n">
        <v>4677.28</v>
      </c>
      <c r="R60" t="n">
        <v>1</v>
      </c>
      <c r="S60" t="n">
        <v>4805</v>
      </c>
      <c r="T60" t="n">
        <v>22</v>
      </c>
      <c r="U60" t="inlineStr">
        <is>
          <t>shallow</t>
        </is>
      </c>
      <c r="V60" t="inlineStr">
        <is>
          <t>Weak</t>
        </is>
      </c>
      <c r="W60" t="n">
        <v>1</v>
      </c>
      <c r="X60" t="inlineStr">
        <is>
          <t>Round</t>
        </is>
      </c>
      <c r="Y60" t="inlineStr">
        <is>
          <t>strong bearish close</t>
        </is>
      </c>
      <c r="Z60" t="n">
        <v>0.76</v>
      </c>
      <c r="AA60" t="inlineStr">
        <is>
          <t>No</t>
        </is>
      </c>
      <c r="AB60" t="inlineStr">
        <is>
          <t>No</t>
        </is>
      </c>
    </row>
    <row r="61">
      <c r="A61" t="inlineStr">
        <is>
          <t>2026-08-25</t>
        </is>
      </c>
      <c r="B61" t="inlineStr">
        <is>
          <t>23:19</t>
        </is>
      </c>
      <c r="C61" t="inlineStr">
        <is>
          <t>MGC</t>
        </is>
      </c>
      <c r="D61" t="inlineStr">
        <is>
          <t>Short</t>
        </is>
      </c>
      <c r="E61" t="n">
        <v>35</v>
      </c>
      <c r="F61" t="inlineStr">
        <is>
          <t>up</t>
        </is>
      </c>
      <c r="G61" t="inlineStr">
        <is>
          <t>down</t>
        </is>
      </c>
      <c r="H61" t="inlineStr">
        <is>
          <t>up</t>
        </is>
      </c>
      <c r="I61" t="inlineStr">
        <is>
          <t>down</t>
        </is>
      </c>
      <c r="J61" t="n">
        <v>38.6</v>
      </c>
      <c r="K61" t="inlineStr">
        <is>
          <t>bear</t>
        </is>
      </c>
      <c r="L61" t="inlineStr">
        <is>
          <t>-</t>
        </is>
      </c>
      <c r="M61" t="n">
        <v>24.1</v>
      </c>
      <c r="N61" t="n">
        <v>5.11</v>
      </c>
      <c r="O61" t="n">
        <v>4698.38</v>
      </c>
      <c r="P61" t="inlineStr">
        <is>
          <t>above</t>
        </is>
      </c>
      <c r="Q61" t="n">
        <v>4701.45</v>
      </c>
      <c r="R61" t="n">
        <v>1.14</v>
      </c>
      <c r="S61" t="n">
        <v>4844</v>
      </c>
      <c r="T61" t="n">
        <v>39</v>
      </c>
      <c r="U61" t="inlineStr">
        <is>
          <t>golden</t>
        </is>
      </c>
      <c r="V61" t="inlineStr">
        <is>
          <t>Good</t>
        </is>
      </c>
      <c r="W61" t="n">
        <v>2</v>
      </c>
      <c r="X61" t="inlineStr">
        <is>
          <t>No</t>
        </is>
      </c>
      <c r="Y61" t="inlineStr">
        <is>
          <t>bullish pin/hammer</t>
        </is>
      </c>
      <c r="Z61" t="n">
        <v>0.72</v>
      </c>
      <c r="AA61" t="inlineStr">
        <is>
          <t>No</t>
        </is>
      </c>
      <c r="AB61" t="inlineStr">
        <is>
          <t>No</t>
        </is>
      </c>
    </row>
    <row r="62">
      <c r="A62" t="inlineStr">
        <is>
          <t>2026-08-26</t>
        </is>
      </c>
      <c r="B62" t="inlineStr">
        <is>
          <t>09:50</t>
        </is>
      </c>
      <c r="C62" t="inlineStr">
        <is>
          <t>MGC</t>
        </is>
      </c>
      <c r="D62" t="inlineStr">
        <is>
          <t>Long</t>
        </is>
      </c>
      <c r="E62" t="n">
        <v>21</v>
      </c>
      <c r="F62" t="inlineStr">
        <is>
          <t>flat</t>
        </is>
      </c>
      <c r="G62" t="inlineStr">
        <is>
          <t>down</t>
        </is>
      </c>
      <c r="H62" t="inlineStr">
        <is>
          <t>down</t>
        </is>
      </c>
      <c r="I62" t="inlineStr">
        <is>
          <t>down</t>
        </is>
      </c>
      <c r="J62" t="n">
        <v>56.3</v>
      </c>
      <c r="K62" t="inlineStr">
        <is>
          <t>bull</t>
        </is>
      </c>
      <c r="L62" t="inlineStr">
        <is>
          <t>+</t>
        </is>
      </c>
      <c r="M62" t="n">
        <v>31.7</v>
      </c>
      <c r="N62" t="n">
        <v>7.81</v>
      </c>
      <c r="O62" t="n">
        <v>4673.72</v>
      </c>
      <c r="P62" t="inlineStr">
        <is>
          <t>above</t>
        </is>
      </c>
      <c r="Q62" t="n">
        <v>4669.87</v>
      </c>
      <c r="R62" t="n">
        <v>1</v>
      </c>
      <c r="S62" t="n">
        <v>1026</v>
      </c>
      <c r="T62" t="n">
        <v>14</v>
      </c>
      <c r="U62" t="inlineStr">
        <is>
          <t>extended (no pullback)</t>
        </is>
      </c>
      <c r="V62" t="inlineStr">
        <is>
          <t>Weak</t>
        </is>
      </c>
      <c r="W62" t="n">
        <v>1</v>
      </c>
      <c r="X62" t="inlineStr">
        <is>
          <t>Round</t>
        </is>
      </c>
      <c r="Y62" t="inlineStr">
        <is>
          <t>strong bearish close</t>
        </is>
      </c>
      <c r="Z62" t="n">
        <v>1.02</v>
      </c>
      <c r="AA62" t="inlineStr">
        <is>
          <t>No</t>
        </is>
      </c>
      <c r="AB62" t="inlineStr">
        <is>
          <t>No</t>
        </is>
      </c>
    </row>
    <row r="63">
      <c r="A63" t="inlineStr">
        <is>
          <t>2026-08-26</t>
        </is>
      </c>
      <c r="B63" t="inlineStr">
        <is>
          <t>10:18</t>
        </is>
      </c>
      <c r="C63" t="inlineStr">
        <is>
          <t>MGC</t>
        </is>
      </c>
      <c r="D63" t="inlineStr">
        <is>
          <t>Short</t>
        </is>
      </c>
      <c r="E63" t="n">
        <v>96</v>
      </c>
      <c r="F63" t="inlineStr">
        <is>
          <t>flat</t>
        </is>
      </c>
      <c r="G63" t="inlineStr">
        <is>
          <t>down</t>
        </is>
      </c>
      <c r="H63" t="inlineStr">
        <is>
          <t>down</t>
        </is>
      </c>
      <c r="I63" t="inlineStr">
        <is>
          <t>down</t>
        </is>
      </c>
      <c r="J63" t="n">
        <v>53.5</v>
      </c>
      <c r="K63" t="inlineStr">
        <is>
          <t>bull</t>
        </is>
      </c>
      <c r="L63" t="inlineStr">
        <is>
          <t>+</t>
        </is>
      </c>
      <c r="M63" t="n">
        <v>24.4</v>
      </c>
      <c r="N63" t="n">
        <v>7.68</v>
      </c>
      <c r="O63" t="n">
        <v>4677.36</v>
      </c>
      <c r="P63" t="inlineStr">
        <is>
          <t>above</t>
        </is>
      </c>
      <c r="Q63" t="n">
        <v>4683.11</v>
      </c>
      <c r="R63" t="n">
        <v>0.62</v>
      </c>
      <c r="S63" t="n">
        <v>1320</v>
      </c>
      <c r="T63" t="n">
        <v>71</v>
      </c>
      <c r="U63" t="inlineStr">
        <is>
          <t>deep</t>
        </is>
      </c>
      <c r="V63" t="inlineStr">
        <is>
          <t>Weak</t>
        </is>
      </c>
      <c r="W63" t="n">
        <v>1</v>
      </c>
      <c r="X63" t="inlineStr">
        <is>
          <t>Round</t>
        </is>
      </c>
      <c r="Y63" t="inlineStr">
        <is>
          <t>strong bullish close</t>
        </is>
      </c>
      <c r="Z63" t="n">
        <v>0.48</v>
      </c>
      <c r="AA63" t="inlineStr">
        <is>
          <t>Yes</t>
        </is>
      </c>
      <c r="AB63" t="inlineStr">
        <is>
          <t>No</t>
        </is>
      </c>
    </row>
    <row r="64">
      <c r="A64" t="inlineStr">
        <is>
          <t>2026-08-26</t>
        </is>
      </c>
      <c r="B64" t="inlineStr">
        <is>
          <t>11:46</t>
        </is>
      </c>
      <c r="C64" t="inlineStr">
        <is>
          <t>MGC</t>
        </is>
      </c>
      <c r="D64" t="inlineStr">
        <is>
          <t>Long</t>
        </is>
      </c>
      <c r="E64" t="n">
        <v>-165</v>
      </c>
      <c r="F64" t="inlineStr">
        <is>
          <t>down</t>
        </is>
      </c>
      <c r="G64" t="inlineStr">
        <is>
          <t>down</t>
        </is>
      </c>
      <c r="H64" t="inlineStr">
        <is>
          <t>down</t>
        </is>
      </c>
      <c r="I64" t="inlineStr">
        <is>
          <t>down</t>
        </is>
      </c>
      <c r="J64" t="n">
        <v>50.7</v>
      </c>
      <c r="K64" t="inlineStr">
        <is>
          <t>bear</t>
        </is>
      </c>
      <c r="L64" t="inlineStr">
        <is>
          <t>+</t>
        </is>
      </c>
      <c r="M64" t="n">
        <v>27.1</v>
      </c>
      <c r="N64" t="n">
        <v>7.39</v>
      </c>
      <c r="O64" t="n">
        <v>4664.43</v>
      </c>
      <c r="P64" t="inlineStr">
        <is>
          <t>below</t>
        </is>
      </c>
      <c r="Q64" t="n">
        <v>4653.95</v>
      </c>
      <c r="R64" t="n">
        <v>1.4</v>
      </c>
      <c r="S64" t="n">
        <v>1914</v>
      </c>
      <c r="T64" t="n">
        <v>11</v>
      </c>
      <c r="U64" t="inlineStr">
        <is>
          <t>extended (no pullback)</t>
        </is>
      </c>
      <c r="V64" t="inlineStr">
        <is>
          <t>Good</t>
        </is>
      </c>
      <c r="W64" t="n">
        <v>2</v>
      </c>
      <c r="X64" t="inlineStr">
        <is>
          <t>Round</t>
        </is>
      </c>
      <c r="Y64" t="inlineStr">
        <is>
          <t>strong bullish close</t>
        </is>
      </c>
      <c r="Z64" t="n">
        <v>0.91</v>
      </c>
      <c r="AA64" t="inlineStr">
        <is>
          <t>No</t>
        </is>
      </c>
      <c r="AB64" t="inlineStr">
        <is>
          <t>No</t>
        </is>
      </c>
    </row>
    <row r="65">
      <c r="A65" t="inlineStr">
        <is>
          <t>2026-08-26</t>
        </is>
      </c>
      <c r="B65" t="inlineStr">
        <is>
          <t>11:55</t>
        </is>
      </c>
      <c r="C65" t="inlineStr">
        <is>
          <t>MGC</t>
        </is>
      </c>
      <c r="D65" t="inlineStr">
        <is>
          <t>Short</t>
        </is>
      </c>
      <c r="E65" t="n">
        <v>185</v>
      </c>
      <c r="F65" t="inlineStr">
        <is>
          <t>down</t>
        </is>
      </c>
      <c r="G65" t="inlineStr">
        <is>
          <t>down</t>
        </is>
      </c>
      <c r="H65" t="inlineStr">
        <is>
          <t>down</t>
        </is>
      </c>
      <c r="I65" t="inlineStr">
        <is>
          <t>down</t>
        </is>
      </c>
      <c r="J65" t="n">
        <v>40</v>
      </c>
      <c r="K65" t="inlineStr">
        <is>
          <t>bear</t>
        </is>
      </c>
      <c r="L65" t="inlineStr">
        <is>
          <t>+</t>
        </is>
      </c>
      <c r="M65" t="n">
        <v>26.2</v>
      </c>
      <c r="N65" t="n">
        <v>7.62</v>
      </c>
      <c r="O65" t="n">
        <v>4664.04</v>
      </c>
      <c r="P65" t="inlineStr">
        <is>
          <t>below</t>
        </is>
      </c>
      <c r="Q65" t="n">
        <v>4653.95</v>
      </c>
      <c r="R65" t="n">
        <v>1.15</v>
      </c>
      <c r="S65" t="n">
        <v>286</v>
      </c>
      <c r="T65" t="n">
        <v>34</v>
      </c>
      <c r="U65" t="inlineStr">
        <is>
          <t>shallow</t>
        </is>
      </c>
      <c r="V65" t="inlineStr">
        <is>
          <t>Good</t>
        </is>
      </c>
      <c r="W65" t="n">
        <v>2</v>
      </c>
      <c r="X65" t="inlineStr">
        <is>
          <t>ONL</t>
        </is>
      </c>
      <c r="Y65" t="inlineStr">
        <is>
          <t>strong bearish close</t>
        </is>
      </c>
      <c r="Z65" t="n">
        <v>0.67</v>
      </c>
      <c r="AA65" t="inlineStr">
        <is>
          <t>Yes</t>
        </is>
      </c>
      <c r="AB65" t="inlineStr">
        <is>
          <t>Yes</t>
        </is>
      </c>
    </row>
    <row r="66">
      <c r="A66" t="inlineStr">
        <is>
          <t>2026-08-26</t>
        </is>
      </c>
      <c r="B66" t="inlineStr">
        <is>
          <t>13:11</t>
        </is>
      </c>
      <c r="C66" t="inlineStr">
        <is>
          <t>MGC</t>
        </is>
      </c>
      <c r="D66" t="inlineStr">
        <is>
          <t>Short</t>
        </is>
      </c>
      <c r="E66" t="n">
        <v>-255</v>
      </c>
      <c r="F66" t="inlineStr">
        <is>
          <t>down</t>
        </is>
      </c>
      <c r="G66" t="inlineStr">
        <is>
          <t>down</t>
        </is>
      </c>
      <c r="H66" t="inlineStr">
        <is>
          <t>down</t>
        </is>
      </c>
      <c r="I66" t="inlineStr">
        <is>
          <t>down</t>
        </is>
      </c>
      <c r="J66" t="n">
        <v>46</v>
      </c>
      <c r="K66" t="inlineStr">
        <is>
          <t>bear</t>
        </is>
      </c>
      <c r="L66" t="inlineStr">
        <is>
          <t>+</t>
        </is>
      </c>
      <c r="M66" t="n">
        <v>25.2</v>
      </c>
      <c r="N66" t="n">
        <v>5.81</v>
      </c>
      <c r="O66" t="n">
        <v>4660.62</v>
      </c>
      <c r="P66" t="inlineStr">
        <is>
          <t>below</t>
        </is>
      </c>
      <c r="Q66" t="n">
        <v>4653.95</v>
      </c>
      <c r="R66" t="n">
        <v>0.71</v>
      </c>
      <c r="S66" t="n">
        <v>1659</v>
      </c>
      <c r="T66" t="n">
        <v>21</v>
      </c>
      <c r="U66" t="inlineStr">
        <is>
          <t>shallow</t>
        </is>
      </c>
      <c r="V66" t="inlineStr">
        <is>
          <t>Good</t>
        </is>
      </c>
      <c r="W66" t="n">
        <v>2</v>
      </c>
      <c r="X66" t="inlineStr">
        <is>
          <t>Round</t>
        </is>
      </c>
      <c r="Y66" t="inlineStr">
        <is>
          <t>strong bullish close</t>
        </is>
      </c>
      <c r="Z66" t="n">
        <v>0.35</v>
      </c>
      <c r="AA66" t="inlineStr">
        <is>
          <t>Yes</t>
        </is>
      </c>
      <c r="AB66" t="inlineStr">
        <is>
          <t>Yes</t>
        </is>
      </c>
    </row>
    <row r="67">
      <c r="A67" t="inlineStr">
        <is>
          <t>2026-08-26</t>
        </is>
      </c>
      <c r="B67" t="inlineStr">
        <is>
          <t>19:54</t>
        </is>
      </c>
      <c r="C67" t="inlineStr">
        <is>
          <t>MNQ</t>
        </is>
      </c>
      <c r="D67" t="inlineStr">
        <is>
          <t>Long</t>
        </is>
      </c>
      <c r="E67" t="n">
        <v>81.5</v>
      </c>
      <c r="F67" t="inlineStr">
        <is>
          <t>up</t>
        </is>
      </c>
      <c r="G67" t="inlineStr">
        <is>
          <t>up</t>
        </is>
      </c>
      <c r="H67" t="inlineStr">
        <is>
          <t>up</t>
        </is>
      </c>
      <c r="I67" t="inlineStr">
        <is>
          <t>up</t>
        </is>
      </c>
      <c r="J67" t="n">
        <v>72.59999999999999</v>
      </c>
      <c r="K67" t="inlineStr">
        <is>
          <t>bull</t>
        </is>
      </c>
      <c r="L67" t="inlineStr">
        <is>
          <t>-</t>
        </is>
      </c>
      <c r="M67" t="n">
        <v>52.8</v>
      </c>
      <c r="N67" t="n">
        <v>21.31</v>
      </c>
      <c r="O67" t="n">
        <v>29282.24</v>
      </c>
      <c r="P67" t="inlineStr">
        <is>
          <t>above</t>
        </is>
      </c>
      <c r="Q67" t="n">
        <v>29245.2</v>
      </c>
      <c r="R67" t="n">
        <v>0.97</v>
      </c>
      <c r="S67" t="n">
        <v>18909</v>
      </c>
      <c r="T67" t="n">
        <v>4</v>
      </c>
      <c r="U67" t="inlineStr">
        <is>
          <t>extended (no pullback)</t>
        </is>
      </c>
      <c r="V67" t="inlineStr">
        <is>
          <t>Weak</t>
        </is>
      </c>
      <c r="W67" t="n">
        <v>1</v>
      </c>
      <c r="X67" t="inlineStr">
        <is>
          <t>No</t>
        </is>
      </c>
      <c r="Z67" t="n">
        <v>0.74</v>
      </c>
      <c r="AA67" t="inlineStr">
        <is>
          <t>Yes</t>
        </is>
      </c>
      <c r="AB67" t="inlineStr">
        <is>
          <t>Yes</t>
        </is>
      </c>
    </row>
    <row r="68">
      <c r="A68" t="inlineStr">
        <is>
          <t>2026-08-26</t>
        </is>
      </c>
      <c r="B68" t="inlineStr">
        <is>
          <t>20:04</t>
        </is>
      </c>
      <c r="C68" t="inlineStr">
        <is>
          <t>MNQ</t>
        </is>
      </c>
      <c r="D68" t="inlineStr">
        <is>
          <t>Long</t>
        </is>
      </c>
      <c r="E68" t="n">
        <v>-81</v>
      </c>
      <c r="F68" t="inlineStr">
        <is>
          <t>up</t>
        </is>
      </c>
      <c r="G68" t="inlineStr">
        <is>
          <t>up</t>
        </is>
      </c>
      <c r="H68" t="inlineStr">
        <is>
          <t>up</t>
        </is>
      </c>
      <c r="I68" t="inlineStr">
        <is>
          <t>up</t>
        </is>
      </c>
      <c r="J68" t="n">
        <v>64.40000000000001</v>
      </c>
      <c r="K68" t="inlineStr">
        <is>
          <t>bull</t>
        </is>
      </c>
      <c r="L68" t="inlineStr">
        <is>
          <t>-</t>
        </is>
      </c>
      <c r="M68" t="n">
        <v>55</v>
      </c>
      <c r="N68" t="n">
        <v>23.83</v>
      </c>
      <c r="O68" t="n">
        <v>29284.88</v>
      </c>
      <c r="P68" t="inlineStr">
        <is>
          <t>above</t>
        </is>
      </c>
      <c r="Q68" t="n">
        <v>29225.22</v>
      </c>
      <c r="R68" t="n">
        <v>1.07</v>
      </c>
      <c r="S68" t="n">
        <v>18478</v>
      </c>
      <c r="T68" t="n">
        <v>11</v>
      </c>
      <c r="U68" t="inlineStr">
        <is>
          <t>extended (no pullback)</t>
        </is>
      </c>
      <c r="V68" t="inlineStr">
        <is>
          <t>Weak</t>
        </is>
      </c>
      <c r="W68" t="n">
        <v>1</v>
      </c>
      <c r="X68" t="inlineStr">
        <is>
          <t>No</t>
        </is>
      </c>
      <c r="Y68" t="inlineStr">
        <is>
          <t>bearish engulfing</t>
        </is>
      </c>
      <c r="Z68" t="n">
        <v>2.38</v>
      </c>
      <c r="AA68" t="inlineStr">
        <is>
          <t>Yes</t>
        </is>
      </c>
      <c r="AB68" t="inlineStr">
        <is>
          <t>Yes</t>
        </is>
      </c>
    </row>
    <row r="69">
      <c r="A69" t="inlineStr">
        <is>
          <t>2026-08-26</t>
        </is>
      </c>
      <c r="B69" t="inlineStr">
        <is>
          <t>21:05</t>
        </is>
      </c>
      <c r="C69" t="inlineStr">
        <is>
          <t>MNQ</t>
        </is>
      </c>
      <c r="D69" t="inlineStr">
        <is>
          <t>Long</t>
        </is>
      </c>
      <c r="E69" t="n">
        <v>-120</v>
      </c>
      <c r="F69" t="inlineStr">
        <is>
          <t>up</t>
        </is>
      </c>
      <c r="G69" t="inlineStr">
        <is>
          <t>up</t>
        </is>
      </c>
      <c r="H69" t="inlineStr">
        <is>
          <t>down</t>
        </is>
      </c>
      <c r="I69" t="inlineStr">
        <is>
          <t>down</t>
        </is>
      </c>
      <c r="J69" t="n">
        <v>39.8</v>
      </c>
      <c r="K69" t="inlineStr">
        <is>
          <t>bear</t>
        </is>
      </c>
      <c r="L69" t="inlineStr">
        <is>
          <t>-</t>
        </is>
      </c>
      <c r="M69" t="n">
        <v>39.3</v>
      </c>
      <c r="N69" t="n">
        <v>28.2</v>
      </c>
      <c r="O69" t="n">
        <v>29295.68</v>
      </c>
      <c r="P69" t="inlineStr">
        <is>
          <t>above</t>
        </is>
      </c>
      <c r="Q69" t="n">
        <v>29225.22</v>
      </c>
      <c r="R69" t="n">
        <v>1.59</v>
      </c>
      <c r="S69" t="n">
        <v>14973</v>
      </c>
      <c r="T69" t="n">
        <v>50</v>
      </c>
      <c r="U69" t="inlineStr">
        <is>
          <t>golden</t>
        </is>
      </c>
      <c r="V69" t="inlineStr">
        <is>
          <t>Good</t>
        </is>
      </c>
      <c r="W69" t="n">
        <v>2</v>
      </c>
      <c r="X69" t="inlineStr">
        <is>
          <t>No</t>
        </is>
      </c>
      <c r="Y69" t="inlineStr">
        <is>
          <t>strong bullish close</t>
        </is>
      </c>
      <c r="Z69" t="n">
        <v>1.01</v>
      </c>
      <c r="AA69" t="inlineStr">
        <is>
          <t>No</t>
        </is>
      </c>
      <c r="AB69" t="inlineStr">
        <is>
          <t>Yes</t>
        </is>
      </c>
    </row>
    <row r="70">
      <c r="A70" t="inlineStr">
        <is>
          <t>2026-08-26</t>
        </is>
      </c>
      <c r="B70" t="inlineStr">
        <is>
          <t>21:16</t>
        </is>
      </c>
      <c r="C70" t="inlineStr">
        <is>
          <t>MNQ</t>
        </is>
      </c>
      <c r="D70" t="inlineStr">
        <is>
          <t>Long</t>
        </is>
      </c>
      <c r="E70" t="n">
        <v>302.5</v>
      </c>
      <c r="F70" t="inlineStr">
        <is>
          <t>up</t>
        </is>
      </c>
      <c r="G70" t="inlineStr">
        <is>
          <t>up</t>
        </is>
      </c>
      <c r="H70" t="inlineStr">
        <is>
          <t>down</t>
        </is>
      </c>
      <c r="I70" t="inlineStr">
        <is>
          <t>down</t>
        </is>
      </c>
      <c r="J70" t="n">
        <v>41.9</v>
      </c>
      <c r="K70" t="inlineStr">
        <is>
          <t>bear</t>
        </is>
      </c>
      <c r="L70" t="inlineStr">
        <is>
          <t>-</t>
        </is>
      </c>
      <c r="M70" t="n">
        <v>37.8</v>
      </c>
      <c r="N70" t="n">
        <v>29.85</v>
      </c>
      <c r="O70" t="n">
        <v>29296.65</v>
      </c>
      <c r="P70" t="inlineStr">
        <is>
          <t>above</t>
        </is>
      </c>
      <c r="Q70" t="n">
        <v>29225.22</v>
      </c>
      <c r="R70" t="n">
        <v>1.27</v>
      </c>
      <c r="S70" t="n">
        <v>14908</v>
      </c>
      <c r="T70" t="n">
        <v>46</v>
      </c>
      <c r="U70" t="inlineStr">
        <is>
          <t>golden</t>
        </is>
      </c>
      <c r="V70" t="inlineStr">
        <is>
          <t>Good</t>
        </is>
      </c>
      <c r="W70" t="n">
        <v>2</v>
      </c>
      <c r="X70" t="inlineStr">
        <is>
          <t>No</t>
        </is>
      </c>
      <c r="Y70" t="inlineStr">
        <is>
          <t>strong bullish close</t>
        </is>
      </c>
      <c r="Z70" t="n">
        <v>0.78</v>
      </c>
      <c r="AA70" t="inlineStr">
        <is>
          <t>No</t>
        </is>
      </c>
      <c r="AB70" t="inlineStr">
        <is>
          <t>Yes</t>
        </is>
      </c>
    </row>
    <row r="71">
      <c r="A71" t="inlineStr">
        <is>
          <t>2026-08-26</t>
        </is>
      </c>
      <c r="B71" t="inlineStr">
        <is>
          <t>21:27</t>
        </is>
      </c>
      <c r="C71" t="inlineStr">
        <is>
          <t>MNQ</t>
        </is>
      </c>
      <c r="D71" t="inlineStr">
        <is>
          <t>Long</t>
        </is>
      </c>
      <c r="E71" t="n">
        <v>42</v>
      </c>
      <c r="F71" t="inlineStr">
        <is>
          <t>up</t>
        </is>
      </c>
      <c r="G71" t="inlineStr">
        <is>
          <t>up</t>
        </is>
      </c>
      <c r="H71" t="inlineStr">
        <is>
          <t>down</t>
        </is>
      </c>
      <c r="I71" t="inlineStr">
        <is>
          <t>down</t>
        </is>
      </c>
      <c r="J71" t="n">
        <v>46.9</v>
      </c>
      <c r="K71" t="inlineStr">
        <is>
          <t>bear</t>
        </is>
      </c>
      <c r="L71" t="inlineStr">
        <is>
          <t>-</t>
        </is>
      </c>
      <c r="M71" t="n">
        <v>34.6</v>
      </c>
      <c r="N71" t="n">
        <v>28.36</v>
      </c>
      <c r="O71" t="n">
        <v>29297.43</v>
      </c>
      <c r="P71" t="inlineStr">
        <is>
          <t>above</t>
        </is>
      </c>
      <c r="Q71" t="n">
        <v>29225.22</v>
      </c>
      <c r="R71" t="n">
        <v>1.16</v>
      </c>
      <c r="S71" t="n">
        <v>15841</v>
      </c>
      <c r="T71" t="n">
        <v>40</v>
      </c>
      <c r="U71" t="inlineStr">
        <is>
          <t>golden</t>
        </is>
      </c>
      <c r="V71" t="inlineStr">
        <is>
          <t>Good</t>
        </is>
      </c>
      <c r="W71" t="n">
        <v>2</v>
      </c>
      <c r="X71" t="inlineStr">
        <is>
          <t>Round</t>
        </is>
      </c>
      <c r="Z71" t="n">
        <v>0.58</v>
      </c>
      <c r="AA71" t="inlineStr">
        <is>
          <t>No</t>
        </is>
      </c>
      <c r="AB71" t="inlineStr">
        <is>
          <t>Yes</t>
        </is>
      </c>
    </row>
    <row r="72">
      <c r="A72" t="inlineStr">
        <is>
          <t>2026-08-26</t>
        </is>
      </c>
      <c r="B72" t="inlineStr">
        <is>
          <t>21:35</t>
        </is>
      </c>
      <c r="C72" t="inlineStr">
        <is>
          <t>MNQ</t>
        </is>
      </c>
      <c r="D72" t="inlineStr">
        <is>
          <t>Long</t>
        </is>
      </c>
      <c r="E72" t="n">
        <v>88.5</v>
      </c>
      <c r="F72" t="inlineStr">
        <is>
          <t>up</t>
        </is>
      </c>
      <c r="G72" t="inlineStr">
        <is>
          <t>up</t>
        </is>
      </c>
      <c r="H72" t="inlineStr">
        <is>
          <t>down</t>
        </is>
      </c>
      <c r="I72" t="inlineStr">
        <is>
          <t>down</t>
        </is>
      </c>
      <c r="J72" t="n">
        <v>52.6</v>
      </c>
      <c r="K72" t="inlineStr">
        <is>
          <t>bear</t>
        </is>
      </c>
      <c r="L72" t="inlineStr">
        <is>
          <t>+</t>
        </is>
      </c>
      <c r="M72" t="n">
        <v>30.3</v>
      </c>
      <c r="N72" t="n">
        <v>27.69</v>
      </c>
      <c r="O72" t="n">
        <v>29298.41</v>
      </c>
      <c r="P72" t="inlineStr">
        <is>
          <t>above</t>
        </is>
      </c>
      <c r="Q72" t="n">
        <v>29225.22</v>
      </c>
      <c r="R72" t="n">
        <v>1.29</v>
      </c>
      <c r="S72" t="n">
        <v>16672</v>
      </c>
      <c r="T72" t="n">
        <v>37</v>
      </c>
      <c r="U72" t="inlineStr">
        <is>
          <t>shallow</t>
        </is>
      </c>
      <c r="V72" t="inlineStr">
        <is>
          <t>A+</t>
        </is>
      </c>
      <c r="W72" t="n">
        <v>3</v>
      </c>
      <c r="X72" t="inlineStr">
        <is>
          <t>No</t>
        </is>
      </c>
      <c r="Y72" t="inlineStr">
        <is>
          <t>strong bullish close</t>
        </is>
      </c>
      <c r="Z72" t="n">
        <v>0.61</v>
      </c>
      <c r="AA72" t="inlineStr">
        <is>
          <t>No</t>
        </is>
      </c>
      <c r="AB72" t="inlineStr">
        <is>
          <t>Yes</t>
        </is>
      </c>
    </row>
    <row r="73">
      <c r="A73" t="inlineStr">
        <is>
          <t>2026-08-26</t>
        </is>
      </c>
      <c r="B73" t="inlineStr">
        <is>
          <t>22:22</t>
        </is>
      </c>
      <c r="C73" t="inlineStr">
        <is>
          <t>MNQ</t>
        </is>
      </c>
      <c r="D73" t="inlineStr">
        <is>
          <t>Short</t>
        </is>
      </c>
      <c r="E73" t="n">
        <v>50</v>
      </c>
      <c r="F73" t="inlineStr">
        <is>
          <t>up</t>
        </is>
      </c>
      <c r="G73" t="inlineStr">
        <is>
          <t>up</t>
        </is>
      </c>
      <c r="H73" t="inlineStr">
        <is>
          <t>down</t>
        </is>
      </c>
      <c r="I73" t="inlineStr">
        <is>
          <t>up</t>
        </is>
      </c>
      <c r="J73" t="n">
        <v>51.9</v>
      </c>
      <c r="K73" t="inlineStr">
        <is>
          <t>bull</t>
        </is>
      </c>
      <c r="L73" t="inlineStr">
        <is>
          <t>+</t>
        </is>
      </c>
      <c r="M73" t="n">
        <v>17.3</v>
      </c>
      <c r="N73" t="n">
        <v>25.06</v>
      </c>
      <c r="O73" t="n">
        <v>29301.92</v>
      </c>
      <c r="P73" t="inlineStr">
        <is>
          <t>above</t>
        </is>
      </c>
      <c r="Q73" t="n">
        <v>29225.22</v>
      </c>
      <c r="R73" t="n">
        <v>0.49</v>
      </c>
      <c r="S73" t="n">
        <v>17858</v>
      </c>
      <c r="T73" t="n">
        <v>46</v>
      </c>
      <c r="U73" t="inlineStr">
        <is>
          <t>golden</t>
        </is>
      </c>
      <c r="V73" t="inlineStr">
        <is>
          <t>Weak</t>
        </is>
      </c>
      <c r="W73" t="n">
        <v>1</v>
      </c>
      <c r="X73" t="inlineStr">
        <is>
          <t>No</t>
        </is>
      </c>
      <c r="Z73" t="n">
        <v>0.23</v>
      </c>
      <c r="AA73" t="inlineStr">
        <is>
          <t>No</t>
        </is>
      </c>
      <c r="AB73" t="inlineStr">
        <is>
          <t>No</t>
        </is>
      </c>
    </row>
    <row r="74">
      <c r="A74" t="inlineStr">
        <is>
          <t>2026-08-26</t>
        </is>
      </c>
      <c r="B74" t="inlineStr">
        <is>
          <t>22:27</t>
        </is>
      </c>
      <c r="C74" t="inlineStr">
        <is>
          <t>MNQ</t>
        </is>
      </c>
      <c r="D74" t="inlineStr">
        <is>
          <t>Short</t>
        </is>
      </c>
      <c r="E74" t="n">
        <v>-46</v>
      </c>
      <c r="F74" t="inlineStr">
        <is>
          <t>up</t>
        </is>
      </c>
      <c r="G74" t="inlineStr">
        <is>
          <t>up</t>
        </is>
      </c>
      <c r="H74" t="inlineStr">
        <is>
          <t>down</t>
        </is>
      </c>
      <c r="I74" t="inlineStr">
        <is>
          <t>up</t>
        </is>
      </c>
      <c r="J74" t="n">
        <v>53.2</v>
      </c>
      <c r="K74" t="inlineStr">
        <is>
          <t>bull</t>
        </is>
      </c>
      <c r="L74" t="inlineStr">
        <is>
          <t>+</t>
        </is>
      </c>
      <c r="M74" t="n">
        <v>16.6</v>
      </c>
      <c r="N74" t="n">
        <v>24.52</v>
      </c>
      <c r="O74" t="n">
        <v>29302.09</v>
      </c>
      <c r="P74" t="inlineStr">
        <is>
          <t>above</t>
        </is>
      </c>
      <c r="Q74" t="n">
        <v>29225.22</v>
      </c>
      <c r="R74" t="n">
        <v>0.72</v>
      </c>
      <c r="S74" t="n">
        <v>18006</v>
      </c>
      <c r="T74" t="n">
        <v>46</v>
      </c>
      <c r="U74" t="inlineStr">
        <is>
          <t>golden</t>
        </is>
      </c>
      <c r="V74" t="inlineStr">
        <is>
          <t>Weak</t>
        </is>
      </c>
      <c r="W74" t="n">
        <v>1</v>
      </c>
      <c r="X74" t="inlineStr">
        <is>
          <t>No</t>
        </is>
      </c>
      <c r="Y74" t="inlineStr">
        <is>
          <t>bullish engulfing</t>
        </is>
      </c>
      <c r="Z74" t="n">
        <v>0.31</v>
      </c>
      <c r="AA74" t="inlineStr">
        <is>
          <t>No</t>
        </is>
      </c>
      <c r="AB74" t="inlineStr">
        <is>
          <t>No</t>
        </is>
      </c>
    </row>
    <row r="75">
      <c r="A75" t="inlineStr">
        <is>
          <t>2026-08-27</t>
        </is>
      </c>
      <c r="B75" t="inlineStr">
        <is>
          <t>09:43</t>
        </is>
      </c>
      <c r="C75" t="inlineStr">
        <is>
          <t>MGC</t>
        </is>
      </c>
      <c r="D75" t="inlineStr">
        <is>
          <t>Short</t>
        </is>
      </c>
      <c r="E75" t="n">
        <v>360</v>
      </c>
      <c r="F75" t="inlineStr">
        <is>
          <t>down</t>
        </is>
      </c>
      <c r="G75" t="inlineStr">
        <is>
          <t>down</t>
        </is>
      </c>
      <c r="H75" t="inlineStr">
        <is>
          <t>down</t>
        </is>
      </c>
      <c r="I75" t="inlineStr">
        <is>
          <t>down</t>
        </is>
      </c>
      <c r="J75" t="n">
        <v>37.1</v>
      </c>
      <c r="K75" t="inlineStr">
        <is>
          <t>bear</t>
        </is>
      </c>
      <c r="L75" t="inlineStr">
        <is>
          <t>-</t>
        </is>
      </c>
      <c r="M75" t="n">
        <v>24.1</v>
      </c>
      <c r="N75" t="n">
        <v>6.47</v>
      </c>
      <c r="O75" t="n">
        <v>4632.83</v>
      </c>
      <c r="P75" t="inlineStr">
        <is>
          <t>above</t>
        </is>
      </c>
      <c r="Q75" t="n">
        <v>4630.68</v>
      </c>
      <c r="R75" t="n">
        <v>0.92</v>
      </c>
      <c r="S75" t="n">
        <v>-2545</v>
      </c>
      <c r="T75" t="n">
        <v>40</v>
      </c>
      <c r="U75" t="inlineStr">
        <is>
          <t>golden</t>
        </is>
      </c>
      <c r="V75" t="inlineStr">
        <is>
          <t>Good</t>
        </is>
      </c>
      <c r="W75" t="n">
        <v>2</v>
      </c>
      <c r="X75" t="inlineStr">
        <is>
          <t>No</t>
        </is>
      </c>
      <c r="Z75" t="n">
        <v>1.7</v>
      </c>
      <c r="AA75" t="inlineStr">
        <is>
          <t>Yes</t>
        </is>
      </c>
      <c r="AB75" t="inlineStr">
        <is>
          <t>Yes</t>
        </is>
      </c>
    </row>
    <row r="76">
      <c r="A76" t="inlineStr">
        <is>
          <t>2026-08-27</t>
        </is>
      </c>
      <c r="B76" t="inlineStr">
        <is>
          <t>10:17</t>
        </is>
      </c>
      <c r="C76" t="inlineStr">
        <is>
          <t>MGC</t>
        </is>
      </c>
      <c r="D76" t="inlineStr">
        <is>
          <t>Short</t>
        </is>
      </c>
      <c r="E76" t="n">
        <v>54</v>
      </c>
      <c r="F76" t="inlineStr">
        <is>
          <t>down</t>
        </is>
      </c>
      <c r="G76" t="inlineStr">
        <is>
          <t>down</t>
        </is>
      </c>
      <c r="H76" t="inlineStr">
        <is>
          <t>down</t>
        </is>
      </c>
      <c r="I76" t="inlineStr">
        <is>
          <t>down</t>
        </is>
      </c>
      <c r="J76" t="n">
        <v>45.9</v>
      </c>
      <c r="K76" t="inlineStr">
        <is>
          <t>bear</t>
        </is>
      </c>
      <c r="L76" t="inlineStr">
        <is>
          <t>-</t>
        </is>
      </c>
      <c r="M76" t="n">
        <v>29.6</v>
      </c>
      <c r="N76" t="n">
        <v>7.42</v>
      </c>
      <c r="O76" t="n">
        <v>4629.41</v>
      </c>
      <c r="P76" t="inlineStr">
        <is>
          <t>above</t>
        </is>
      </c>
      <c r="Q76" t="n">
        <v>4630.62</v>
      </c>
      <c r="R76" t="n">
        <v>0.78</v>
      </c>
      <c r="S76" t="n">
        <v>-1296</v>
      </c>
      <c r="T76" t="n">
        <v>50</v>
      </c>
      <c r="U76" t="inlineStr">
        <is>
          <t>golden</t>
        </is>
      </c>
      <c r="V76" t="inlineStr">
        <is>
          <t>Good</t>
        </is>
      </c>
      <c r="W76" t="n">
        <v>2</v>
      </c>
      <c r="X76" t="inlineStr">
        <is>
          <t>No</t>
        </is>
      </c>
      <c r="Y76" t="inlineStr">
        <is>
          <t>bullish engulfing</t>
        </is>
      </c>
      <c r="Z76" t="n">
        <v>0.72</v>
      </c>
      <c r="AA76" t="inlineStr">
        <is>
          <t>Yes</t>
        </is>
      </c>
      <c r="AB76" t="inlineStr">
        <is>
          <t>Yes</t>
        </is>
      </c>
    </row>
    <row r="77">
      <c r="A77" t="inlineStr">
        <is>
          <t>2026-08-27</t>
        </is>
      </c>
      <c r="B77" t="inlineStr">
        <is>
          <t>20:02</t>
        </is>
      </c>
      <c r="C77" t="inlineStr">
        <is>
          <t>MGC</t>
        </is>
      </c>
      <c r="D77" t="inlineStr">
        <is>
          <t>Short</t>
        </is>
      </c>
      <c r="E77" t="n">
        <v>21</v>
      </c>
      <c r="F77" t="inlineStr">
        <is>
          <t>down</t>
        </is>
      </c>
      <c r="G77" t="inlineStr">
        <is>
          <t>down</t>
        </is>
      </c>
      <c r="H77" t="inlineStr">
        <is>
          <t>up</t>
        </is>
      </c>
      <c r="I77" t="inlineStr">
        <is>
          <t>down</t>
        </is>
      </c>
      <c r="J77" t="n">
        <v>36</v>
      </c>
      <c r="K77" t="inlineStr">
        <is>
          <t>bear</t>
        </is>
      </c>
      <c r="L77" t="inlineStr">
        <is>
          <t>-</t>
        </is>
      </c>
      <c r="M77" t="n">
        <v>22.6</v>
      </c>
      <c r="N77" t="n">
        <v>3.04</v>
      </c>
      <c r="O77" t="n">
        <v>4648.88</v>
      </c>
      <c r="P77" t="inlineStr">
        <is>
          <t>above</t>
        </is>
      </c>
      <c r="Q77" t="n">
        <v>4660.41</v>
      </c>
      <c r="R77" t="n">
        <v>1.02</v>
      </c>
      <c r="S77" t="n">
        <v>2382</v>
      </c>
      <c r="T77" t="n">
        <v>25</v>
      </c>
      <c r="U77" t="inlineStr">
        <is>
          <t>shallow</t>
        </is>
      </c>
      <c r="V77" t="inlineStr">
        <is>
          <t>Good</t>
        </is>
      </c>
      <c r="W77" t="n">
        <v>2</v>
      </c>
      <c r="X77" t="inlineStr">
        <is>
          <t>No</t>
        </is>
      </c>
      <c r="Z77" t="n">
        <v>2.84</v>
      </c>
      <c r="AA77" t="inlineStr">
        <is>
          <t>No</t>
        </is>
      </c>
      <c r="AB77" t="inlineStr">
        <is>
          <t>Yes</t>
        </is>
      </c>
    </row>
    <row r="78">
      <c r="A78" t="inlineStr">
        <is>
          <t>2026-08-27</t>
        </is>
      </c>
      <c r="B78" t="inlineStr">
        <is>
          <t>21:18</t>
        </is>
      </c>
      <c r="C78" t="inlineStr">
        <is>
          <t>MGC</t>
        </is>
      </c>
      <c r="D78" t="inlineStr">
        <is>
          <t>Short</t>
        </is>
      </c>
      <c r="E78" t="n">
        <v>60</v>
      </c>
      <c r="F78" t="inlineStr">
        <is>
          <t>down</t>
        </is>
      </c>
      <c r="G78" t="inlineStr">
        <is>
          <t>down</t>
        </is>
      </c>
      <c r="H78" t="inlineStr">
        <is>
          <t>down</t>
        </is>
      </c>
      <c r="I78" t="inlineStr">
        <is>
          <t>up</t>
        </is>
      </c>
      <c r="J78" t="n">
        <v>49.5</v>
      </c>
      <c r="K78" t="inlineStr">
        <is>
          <t>bear</t>
        </is>
      </c>
      <c r="L78" t="inlineStr">
        <is>
          <t>+</t>
        </is>
      </c>
      <c r="M78" t="n">
        <v>23.6</v>
      </c>
      <c r="N78" t="n">
        <v>4.77</v>
      </c>
      <c r="O78" t="n">
        <v>4648.71</v>
      </c>
      <c r="P78" t="inlineStr">
        <is>
          <t>below</t>
        </is>
      </c>
      <c r="Q78" t="n">
        <v>4660.41</v>
      </c>
      <c r="R78" t="n">
        <v>0.64</v>
      </c>
      <c r="S78" t="n">
        <v>3064</v>
      </c>
      <c r="T78" t="n">
        <v>34</v>
      </c>
      <c r="U78" t="inlineStr">
        <is>
          <t>shallow</t>
        </is>
      </c>
      <c r="V78" t="inlineStr">
        <is>
          <t>Good</t>
        </is>
      </c>
      <c r="W78" t="n">
        <v>2</v>
      </c>
      <c r="X78" t="inlineStr">
        <is>
          <t>ORH/Round</t>
        </is>
      </c>
      <c r="Z78" t="n">
        <v>1.28</v>
      </c>
      <c r="AA78" t="inlineStr">
        <is>
          <t>No</t>
        </is>
      </c>
      <c r="AB78" t="inlineStr">
        <is>
          <t>Yes</t>
        </is>
      </c>
    </row>
    <row r="79">
      <c r="A79" t="inlineStr">
        <is>
          <t>2026-08-28</t>
        </is>
      </c>
      <c r="B79" t="inlineStr">
        <is>
          <t>10:09</t>
        </is>
      </c>
      <c r="C79" t="inlineStr">
        <is>
          <t>MGC</t>
        </is>
      </c>
      <c r="D79" t="inlineStr">
        <is>
          <t>Short</t>
        </is>
      </c>
      <c r="E79" t="n">
        <v>426</v>
      </c>
      <c r="F79" t="inlineStr">
        <is>
          <t>down</t>
        </is>
      </c>
      <c r="G79" t="inlineStr">
        <is>
          <t>down</t>
        </is>
      </c>
      <c r="H79" t="inlineStr">
        <is>
          <t>down</t>
        </is>
      </c>
      <c r="I79" t="inlineStr">
        <is>
          <t>down</t>
        </is>
      </c>
      <c r="J79" t="n">
        <v>27.3</v>
      </c>
      <c r="K79" t="inlineStr">
        <is>
          <t>bear</t>
        </is>
      </c>
      <c r="L79" t="inlineStr">
        <is>
          <t>-</t>
        </is>
      </c>
      <c r="M79" t="n">
        <v>22.4</v>
      </c>
      <c r="N79" t="n">
        <v>12.36</v>
      </c>
      <c r="O79" t="n">
        <v>4643.29</v>
      </c>
      <c r="P79" t="inlineStr">
        <is>
          <t>below</t>
        </is>
      </c>
      <c r="Q79" t="n">
        <v>4656.24</v>
      </c>
      <c r="R79" t="n">
        <v>9.6</v>
      </c>
      <c r="S79" t="n">
        <v>-4760</v>
      </c>
      <c r="T79" t="n">
        <v>33</v>
      </c>
      <c r="U79" t="inlineStr">
        <is>
          <t>shallow</t>
        </is>
      </c>
      <c r="V79" t="inlineStr">
        <is>
          <t>Good</t>
        </is>
      </c>
      <c r="W79" t="n">
        <v>2</v>
      </c>
      <c r="X79" t="inlineStr">
        <is>
          <t>Round</t>
        </is>
      </c>
      <c r="Y79" t="inlineStr">
        <is>
          <t>bullish pin/hammer</t>
        </is>
      </c>
      <c r="Z79" t="n">
        <v>7.85</v>
      </c>
      <c r="AA79" t="inlineStr">
        <is>
          <t>Yes</t>
        </is>
      </c>
      <c r="AB79" t="inlineStr">
        <is>
          <t>Yes</t>
        </is>
      </c>
    </row>
    <row r="80">
      <c r="A80" t="inlineStr">
        <is>
          <t>2026-08-28</t>
        </is>
      </c>
      <c r="B80" t="inlineStr">
        <is>
          <t>10:25</t>
        </is>
      </c>
      <c r="C80" t="inlineStr">
        <is>
          <t>MNQ</t>
        </is>
      </c>
      <c r="D80" t="inlineStr">
        <is>
          <t>Short</t>
        </is>
      </c>
      <c r="E80" t="n">
        <v>134</v>
      </c>
      <c r="F80" t="inlineStr">
        <is>
          <t>up</t>
        </is>
      </c>
      <c r="G80" t="inlineStr">
        <is>
          <t>up</t>
        </is>
      </c>
      <c r="H80" t="inlineStr">
        <is>
          <t>down</t>
        </is>
      </c>
      <c r="I80" t="inlineStr">
        <is>
          <t>down</t>
        </is>
      </c>
      <c r="J80" t="n">
        <v>54</v>
      </c>
      <c r="K80" t="inlineStr">
        <is>
          <t>bear</t>
        </is>
      </c>
      <c r="L80" t="inlineStr">
        <is>
          <t>-</t>
        </is>
      </c>
      <c r="M80" t="n">
        <v>15</v>
      </c>
      <c r="N80" t="n">
        <v>48.7</v>
      </c>
      <c r="O80" t="n">
        <v>29621.33</v>
      </c>
      <c r="P80" t="inlineStr">
        <is>
          <t>above</t>
        </is>
      </c>
      <c r="Q80" t="n">
        <v>29597.96</v>
      </c>
      <c r="R80" t="n">
        <v>1.34</v>
      </c>
      <c r="S80" t="n">
        <v>-1150</v>
      </c>
      <c r="T80" t="n">
        <v>68</v>
      </c>
      <c r="U80" t="inlineStr">
        <is>
          <t>deep</t>
        </is>
      </c>
      <c r="V80" t="inlineStr">
        <is>
          <t>Weak</t>
        </is>
      </c>
      <c r="W80" t="n">
        <v>1</v>
      </c>
      <c r="X80" t="inlineStr">
        <is>
          <t>Round</t>
        </is>
      </c>
      <c r="Y80" t="inlineStr">
        <is>
          <t>bullish pin/hammer</t>
        </is>
      </c>
      <c r="Z80" t="n">
        <v>1.44</v>
      </c>
      <c r="AA80" t="inlineStr">
        <is>
          <t>No</t>
        </is>
      </c>
      <c r="AB80" t="inlineStr">
        <is>
          <t>No</t>
        </is>
      </c>
    </row>
    <row r="81">
      <c r="A81" t="inlineStr">
        <is>
          <t>2026-08-28</t>
        </is>
      </c>
      <c r="B81" t="inlineStr">
        <is>
          <t>10:40</t>
        </is>
      </c>
      <c r="C81" t="inlineStr">
        <is>
          <t>MNQ</t>
        </is>
      </c>
      <c r="D81" t="inlineStr">
        <is>
          <t>Short</t>
        </is>
      </c>
      <c r="E81" t="n">
        <v>-102</v>
      </c>
      <c r="F81" t="inlineStr">
        <is>
          <t>up</t>
        </is>
      </c>
      <c r="G81" t="inlineStr">
        <is>
          <t>up</t>
        </is>
      </c>
      <c r="H81" t="inlineStr">
        <is>
          <t>down</t>
        </is>
      </c>
      <c r="I81" t="inlineStr">
        <is>
          <t>up</t>
        </is>
      </c>
      <c r="J81" t="n">
        <v>64.5</v>
      </c>
      <c r="K81" t="inlineStr">
        <is>
          <t>bull</t>
        </is>
      </c>
      <c r="L81" t="inlineStr">
        <is>
          <t>+</t>
        </is>
      </c>
      <c r="M81" t="n">
        <v>16.3</v>
      </c>
      <c r="N81" t="n">
        <v>50.22</v>
      </c>
      <c r="O81" t="n">
        <v>29632.06</v>
      </c>
      <c r="P81" t="inlineStr">
        <is>
          <t>above</t>
        </is>
      </c>
      <c r="Q81" t="n">
        <v>29597.61</v>
      </c>
      <c r="R81" t="n">
        <v>1.62</v>
      </c>
      <c r="S81" t="n">
        <v>8113</v>
      </c>
      <c r="V81" t="inlineStr">
        <is>
          <t>No setup</t>
        </is>
      </c>
      <c r="W81" t="n">
        <v>0</v>
      </c>
      <c r="X81" t="inlineStr">
        <is>
          <t>PDH/ONH/ORH/Round</t>
        </is>
      </c>
      <c r="Y81" t="inlineStr">
        <is>
          <t>strong bullish close</t>
        </is>
      </c>
      <c r="Z81" t="n">
        <v>1.08</v>
      </c>
      <c r="AA81" t="inlineStr">
        <is>
          <t>No</t>
        </is>
      </c>
      <c r="AB81" t="inlineStr">
        <is>
          <t>No</t>
        </is>
      </c>
    </row>
    <row r="82">
      <c r="A82" t="inlineStr">
        <is>
          <t>2026-08-28</t>
        </is>
      </c>
      <c r="B82" t="inlineStr">
        <is>
          <t>11:12</t>
        </is>
      </c>
      <c r="C82" t="inlineStr">
        <is>
          <t>MNQ</t>
        </is>
      </c>
      <c r="D82" t="inlineStr">
        <is>
          <t>Short</t>
        </is>
      </c>
      <c r="E82" t="n">
        <v>-13.5</v>
      </c>
      <c r="F82" t="inlineStr">
        <is>
          <t>up</t>
        </is>
      </c>
      <c r="G82" t="inlineStr">
        <is>
          <t>up</t>
        </is>
      </c>
      <c r="H82" t="inlineStr">
        <is>
          <t>up</t>
        </is>
      </c>
      <c r="I82" t="inlineStr">
        <is>
          <t>up</t>
        </is>
      </c>
      <c r="J82" t="n">
        <v>60.4</v>
      </c>
      <c r="K82" t="inlineStr">
        <is>
          <t>bull</t>
        </is>
      </c>
      <c r="L82" t="inlineStr">
        <is>
          <t>+</t>
        </is>
      </c>
      <c r="M82" t="n">
        <v>22.7</v>
      </c>
      <c r="N82" t="n">
        <v>45.18</v>
      </c>
      <c r="O82" t="n">
        <v>29661.43</v>
      </c>
      <c r="P82" t="inlineStr">
        <is>
          <t>above</t>
        </is>
      </c>
      <c r="Q82" t="n">
        <v>29677.41</v>
      </c>
      <c r="R82" t="n">
        <v>1.4</v>
      </c>
      <c r="S82" t="n">
        <v>18971</v>
      </c>
      <c r="T82" t="n">
        <v>16</v>
      </c>
      <c r="U82" t="inlineStr">
        <is>
          <t>shallow</t>
        </is>
      </c>
      <c r="V82" t="inlineStr">
        <is>
          <t>No setup</t>
        </is>
      </c>
      <c r="W82" t="n">
        <v>0</v>
      </c>
      <c r="X82" t="inlineStr">
        <is>
          <t>Round</t>
        </is>
      </c>
      <c r="Z82" t="n">
        <v>0.62</v>
      </c>
      <c r="AA82" t="inlineStr">
        <is>
          <t>No</t>
        </is>
      </c>
      <c r="AB82" t="inlineStr">
        <is>
          <t>No</t>
        </is>
      </c>
    </row>
    <row r="83">
      <c r="A83" t="inlineStr">
        <is>
          <t>2026-08-28</t>
        </is>
      </c>
      <c r="B83" t="inlineStr">
        <is>
          <t>12:53</t>
        </is>
      </c>
      <c r="C83" t="inlineStr">
        <is>
          <t>MNQ</t>
        </is>
      </c>
      <c r="D83" t="inlineStr">
        <is>
          <t>Long</t>
        </is>
      </c>
      <c r="E83" t="n">
        <v>-162</v>
      </c>
      <c r="F83" t="inlineStr">
        <is>
          <t>flat</t>
        </is>
      </c>
      <c r="G83" t="inlineStr">
        <is>
          <t>up</t>
        </is>
      </c>
      <c r="H83" t="inlineStr">
        <is>
          <t>down</t>
        </is>
      </c>
      <c r="I83" t="inlineStr">
        <is>
          <t>down</t>
        </is>
      </c>
      <c r="J83" t="n">
        <v>39.7</v>
      </c>
      <c r="K83" t="inlineStr">
        <is>
          <t>bear</t>
        </is>
      </c>
      <c r="L83" t="inlineStr">
        <is>
          <t>-</t>
        </is>
      </c>
      <c r="M83" t="n">
        <v>31.6</v>
      </c>
      <c r="N83" t="n">
        <v>49.23</v>
      </c>
      <c r="O83" t="n">
        <v>29635.25</v>
      </c>
      <c r="P83" t="inlineStr">
        <is>
          <t>below</t>
        </is>
      </c>
      <c r="Q83" t="n">
        <v>29651.01</v>
      </c>
      <c r="R83" t="n">
        <v>1.57</v>
      </c>
      <c r="S83" t="n">
        <v>-23005</v>
      </c>
      <c r="T83" t="n">
        <v>14</v>
      </c>
      <c r="U83" t="inlineStr">
        <is>
          <t>extended (no pullback)</t>
        </is>
      </c>
      <c r="V83" t="inlineStr">
        <is>
          <t>No setup</t>
        </is>
      </c>
      <c r="W83" t="n">
        <v>0</v>
      </c>
      <c r="X83" t="inlineStr">
        <is>
          <t>Round</t>
        </is>
      </c>
      <c r="Y83" t="inlineStr">
        <is>
          <t>strong bearish close</t>
        </is>
      </c>
      <c r="Z83" t="n">
        <v>0.67</v>
      </c>
      <c r="AA83" t="inlineStr">
        <is>
          <t>No</t>
        </is>
      </c>
      <c r="AB83" t="inlineStr">
        <is>
          <t>No</t>
        </is>
      </c>
    </row>
    <row r="84">
      <c r="A84" t="inlineStr">
        <is>
          <t>2026-08-30</t>
        </is>
      </c>
      <c r="B84" t="inlineStr">
        <is>
          <t>18:03</t>
        </is>
      </c>
      <c r="C84" t="inlineStr">
        <is>
          <t>MGC</t>
        </is>
      </c>
      <c r="D84" t="inlineStr">
        <is>
          <t>Long</t>
        </is>
      </c>
      <c r="E84" t="n">
        <v>199</v>
      </c>
      <c r="F84" t="inlineStr">
        <is>
          <t>down</t>
        </is>
      </c>
      <c r="G84" t="inlineStr">
        <is>
          <t>down</t>
        </is>
      </c>
      <c r="H84" t="inlineStr">
        <is>
          <t>down</t>
        </is>
      </c>
      <c r="I84" t="inlineStr">
        <is>
          <t>up</t>
        </is>
      </c>
      <c r="J84" t="n">
        <v>66.09999999999999</v>
      </c>
      <c r="K84" t="inlineStr">
        <is>
          <t>bull</t>
        </is>
      </c>
      <c r="L84" t="inlineStr">
        <is>
          <t>+</t>
        </is>
      </c>
      <c r="M84" t="n">
        <v>41.8</v>
      </c>
      <c r="N84" t="n">
        <v>6.92</v>
      </c>
      <c r="T84" t="n">
        <v>87</v>
      </c>
      <c r="U84" t="inlineStr">
        <is>
          <t>broke the leg (reversal risk)</t>
        </is>
      </c>
      <c r="V84" t="inlineStr">
        <is>
          <t>Weak</t>
        </is>
      </c>
      <c r="W84" t="n">
        <v>1</v>
      </c>
      <c r="X84" t="inlineStr">
        <is>
          <t>Round</t>
        </is>
      </c>
      <c r="Y84" t="inlineStr">
        <is>
          <t>strong bullish close</t>
        </is>
      </c>
      <c r="Z84" t="n">
        <v>0.75</v>
      </c>
      <c r="AA84" t="inlineStr">
        <is>
          <t>No</t>
        </is>
      </c>
      <c r="AB84" t="inlineStr">
        <is>
          <t>No</t>
        </is>
      </c>
    </row>
    <row r="85">
      <c r="A85" t="inlineStr">
        <is>
          <t>2026-08-30</t>
        </is>
      </c>
      <c r="B85" t="inlineStr">
        <is>
          <t>18:28</t>
        </is>
      </c>
      <c r="C85" t="inlineStr">
        <is>
          <t>MGC</t>
        </is>
      </c>
      <c r="D85" t="inlineStr">
        <is>
          <t>Short</t>
        </is>
      </c>
      <c r="E85" t="n">
        <v>25</v>
      </c>
      <c r="F85" t="inlineStr">
        <is>
          <t>down</t>
        </is>
      </c>
      <c r="G85" t="inlineStr">
        <is>
          <t>down</t>
        </is>
      </c>
      <c r="H85" t="inlineStr">
        <is>
          <t>down</t>
        </is>
      </c>
      <c r="I85" t="inlineStr">
        <is>
          <t>up</t>
        </is>
      </c>
      <c r="J85" t="n">
        <v>48.3</v>
      </c>
      <c r="K85" t="inlineStr">
        <is>
          <t>bull</t>
        </is>
      </c>
      <c r="L85" t="inlineStr">
        <is>
          <t>+</t>
        </is>
      </c>
      <c r="M85" t="n">
        <v>37.9</v>
      </c>
      <c r="N85" t="n">
        <v>7.97</v>
      </c>
      <c r="O85" t="n">
        <v>4510.46</v>
      </c>
      <c r="P85" t="inlineStr">
        <is>
          <t>below</t>
        </is>
      </c>
      <c r="Q85" t="n">
        <v>4511.4</v>
      </c>
      <c r="R85" t="n">
        <v>5.83</v>
      </c>
      <c r="S85" t="n">
        <v>-230</v>
      </c>
      <c r="T85" t="n">
        <v>32</v>
      </c>
      <c r="U85" t="inlineStr">
        <is>
          <t>shallow</t>
        </is>
      </c>
      <c r="V85" t="inlineStr">
        <is>
          <t>Good</t>
        </is>
      </c>
      <c r="W85" t="n">
        <v>2</v>
      </c>
      <c r="X85" t="inlineStr">
        <is>
          <t>Round</t>
        </is>
      </c>
      <c r="Y85" t="inlineStr">
        <is>
          <t>bearish engulfing</t>
        </is>
      </c>
      <c r="Z85" t="n">
        <v>2.31</v>
      </c>
      <c r="AA85" t="inlineStr">
        <is>
          <t>No</t>
        </is>
      </c>
      <c r="AB85" t="inlineStr">
        <is>
          <t>Yes</t>
        </is>
      </c>
    </row>
    <row r="86">
      <c r="A86" t="inlineStr">
        <is>
          <t>2026-08-30</t>
        </is>
      </c>
      <c r="B86" t="inlineStr">
        <is>
          <t>21:25</t>
        </is>
      </c>
      <c r="C86" t="inlineStr">
        <is>
          <t>MGC</t>
        </is>
      </c>
      <c r="D86" t="inlineStr">
        <is>
          <t>Short</t>
        </is>
      </c>
      <c r="E86" t="n">
        <v>42</v>
      </c>
      <c r="F86" t="inlineStr">
        <is>
          <t>down</t>
        </is>
      </c>
      <c r="G86" t="inlineStr">
        <is>
          <t>down</t>
        </is>
      </c>
      <c r="H86" t="inlineStr">
        <is>
          <t>down</t>
        </is>
      </c>
      <c r="I86" t="inlineStr">
        <is>
          <t>down</t>
        </is>
      </c>
      <c r="J86" t="n">
        <v>41.9</v>
      </c>
      <c r="K86" t="inlineStr">
        <is>
          <t>bear</t>
        </is>
      </c>
      <c r="L86" t="inlineStr">
        <is>
          <t>-</t>
        </is>
      </c>
      <c r="M86" t="n">
        <v>18.1</v>
      </c>
      <c r="N86" t="n">
        <v>9.27</v>
      </c>
      <c r="O86" t="n">
        <v>4504.89</v>
      </c>
      <c r="P86" t="inlineStr">
        <is>
          <t>below</t>
        </is>
      </c>
      <c r="Q86" t="n">
        <v>4500.17</v>
      </c>
      <c r="R86" t="n">
        <v>1</v>
      </c>
      <c r="S86" t="n">
        <v>2081</v>
      </c>
      <c r="T86" t="n">
        <v>23</v>
      </c>
      <c r="U86" t="inlineStr">
        <is>
          <t>shallow</t>
        </is>
      </c>
      <c r="V86" t="inlineStr">
        <is>
          <t>No setup</t>
        </is>
      </c>
      <c r="W86" t="n">
        <v>0</v>
      </c>
      <c r="X86" t="inlineStr">
        <is>
          <t>Round</t>
        </is>
      </c>
      <c r="Y86" t="inlineStr">
        <is>
          <t>strong bearish close</t>
        </is>
      </c>
      <c r="Z86" t="n">
        <v>0.58</v>
      </c>
      <c r="AA86" t="inlineStr">
        <is>
          <t>Yes</t>
        </is>
      </c>
      <c r="AB86" t="inlineStr">
        <is>
          <t>Yes</t>
        </is>
      </c>
    </row>
    <row r="87">
      <c r="A87" t="inlineStr">
        <is>
          <t>2026-08-30</t>
        </is>
      </c>
      <c r="B87" t="inlineStr">
        <is>
          <t>23:30</t>
        </is>
      </c>
      <c r="C87" t="inlineStr">
        <is>
          <t>MGC</t>
        </is>
      </c>
      <c r="D87" t="inlineStr">
        <is>
          <t>Short</t>
        </is>
      </c>
      <c r="E87" t="n">
        <v>326</v>
      </c>
      <c r="F87" t="inlineStr">
        <is>
          <t>down</t>
        </is>
      </c>
      <c r="G87" t="inlineStr">
        <is>
          <t>down</t>
        </is>
      </c>
      <c r="H87" t="inlineStr">
        <is>
          <t>down</t>
        </is>
      </c>
      <c r="I87" t="inlineStr">
        <is>
          <t>up</t>
        </is>
      </c>
      <c r="J87" t="n">
        <v>45.5</v>
      </c>
      <c r="K87" t="inlineStr">
        <is>
          <t>bear</t>
        </is>
      </c>
      <c r="L87" t="inlineStr">
        <is>
          <t>+</t>
        </is>
      </c>
      <c r="M87" t="n">
        <v>27.4</v>
      </c>
      <c r="N87" t="n">
        <v>8.07</v>
      </c>
      <c r="O87" t="n">
        <v>4489.69</v>
      </c>
      <c r="P87" t="inlineStr">
        <is>
          <t>below</t>
        </is>
      </c>
      <c r="Q87" t="n">
        <v>4478.81</v>
      </c>
      <c r="R87" t="n">
        <v>1.42</v>
      </c>
      <c r="S87" t="n">
        <v>-1099</v>
      </c>
      <c r="T87" t="n">
        <v>36</v>
      </c>
      <c r="U87" t="inlineStr">
        <is>
          <t>shallow</t>
        </is>
      </c>
      <c r="V87" t="inlineStr">
        <is>
          <t>Good</t>
        </is>
      </c>
      <c r="W87" t="n">
        <v>2</v>
      </c>
      <c r="X87" t="inlineStr">
        <is>
          <t>Round</t>
        </is>
      </c>
      <c r="Y87" t="inlineStr">
        <is>
          <t>strong bearish close</t>
        </is>
      </c>
      <c r="Z87" t="n">
        <v>0.38</v>
      </c>
      <c r="AA87" t="inlineStr">
        <is>
          <t>No</t>
        </is>
      </c>
      <c r="AB87" t="inlineStr">
        <is>
          <t>Yes</t>
        </is>
      </c>
    </row>
    <row r="88">
      <c r="A88" t="inlineStr">
        <is>
          <t>2026-08-31</t>
        </is>
      </c>
      <c r="B88" t="inlineStr">
        <is>
          <t>00:07</t>
        </is>
      </c>
      <c r="C88" t="inlineStr">
        <is>
          <t>MGC</t>
        </is>
      </c>
      <c r="D88" t="inlineStr">
        <is>
          <t>Short</t>
        </is>
      </c>
      <c r="E88" t="n">
        <v>47</v>
      </c>
      <c r="F88" t="inlineStr">
        <is>
          <t>down</t>
        </is>
      </c>
      <c r="G88" t="inlineStr">
        <is>
          <t>down</t>
        </is>
      </c>
      <c r="H88" t="inlineStr">
        <is>
          <t>down</t>
        </is>
      </c>
      <c r="I88" t="inlineStr">
        <is>
          <t>up</t>
        </is>
      </c>
      <c r="J88" t="n">
        <v>41.8</v>
      </c>
      <c r="K88" t="inlineStr">
        <is>
          <t>bear</t>
        </is>
      </c>
      <c r="L88" t="inlineStr">
        <is>
          <t>+</t>
        </is>
      </c>
      <c r="M88" t="n">
        <v>23.8</v>
      </c>
      <c r="N88" t="n">
        <v>6.17</v>
      </c>
      <c r="O88" t="n">
        <v>4489</v>
      </c>
      <c r="P88" t="inlineStr">
        <is>
          <t>below</t>
        </is>
      </c>
      <c r="Q88" t="n">
        <v>4478.81</v>
      </c>
      <c r="R88" t="n">
        <v>1.17</v>
      </c>
      <c r="S88" t="n">
        <v>-1597</v>
      </c>
      <c r="T88" t="n">
        <v>30</v>
      </c>
      <c r="U88" t="inlineStr">
        <is>
          <t>shallow</t>
        </is>
      </c>
      <c r="V88" t="inlineStr">
        <is>
          <t>Weak</t>
        </is>
      </c>
      <c r="W88" t="n">
        <v>1</v>
      </c>
      <c r="X88" t="inlineStr">
        <is>
          <t>Round</t>
        </is>
      </c>
      <c r="Z88" t="n">
        <v>0.44</v>
      </c>
      <c r="AA88" t="inlineStr">
        <is>
          <t>No</t>
        </is>
      </c>
      <c r="AB88" t="inlineStr">
        <is>
          <t>Yes</t>
        </is>
      </c>
    </row>
    <row r="89">
      <c r="A89" t="inlineStr">
        <is>
          <t>2026-08-31</t>
        </is>
      </c>
      <c r="B89" t="inlineStr">
        <is>
          <t>00:11</t>
        </is>
      </c>
      <c r="C89" t="inlineStr">
        <is>
          <t>MGC</t>
        </is>
      </c>
      <c r="D89" t="inlineStr">
        <is>
          <t>Long</t>
        </is>
      </c>
      <c r="E89" t="n">
        <v>46</v>
      </c>
      <c r="F89" t="inlineStr">
        <is>
          <t>down</t>
        </is>
      </c>
      <c r="G89" t="inlineStr">
        <is>
          <t>down</t>
        </is>
      </c>
      <c r="H89" t="inlineStr">
        <is>
          <t>down</t>
        </is>
      </c>
      <c r="I89" t="inlineStr">
        <is>
          <t>up</t>
        </is>
      </c>
      <c r="J89" t="n">
        <v>45.5</v>
      </c>
      <c r="K89" t="inlineStr">
        <is>
          <t>bear</t>
        </is>
      </c>
      <c r="L89" t="inlineStr">
        <is>
          <t>+</t>
        </is>
      </c>
      <c r="M89" t="n">
        <v>23.1</v>
      </c>
      <c r="N89" t="n">
        <v>6.15</v>
      </c>
      <c r="O89" t="n">
        <v>4488.63</v>
      </c>
      <c r="P89" t="inlineStr">
        <is>
          <t>below</t>
        </is>
      </c>
      <c r="Q89" t="n">
        <v>4478.81</v>
      </c>
      <c r="R89" t="n">
        <v>3.96</v>
      </c>
      <c r="S89" t="n">
        <v>-1154</v>
      </c>
      <c r="T89" t="n">
        <v>44</v>
      </c>
      <c r="U89" t="inlineStr">
        <is>
          <t>golden</t>
        </is>
      </c>
      <c r="V89" t="inlineStr">
        <is>
          <t>Weak</t>
        </is>
      </c>
      <c r="W89" t="n">
        <v>1</v>
      </c>
      <c r="X89" t="inlineStr">
        <is>
          <t>No</t>
        </is>
      </c>
      <c r="Y89" t="inlineStr">
        <is>
          <t>bullish engulfing</t>
        </is>
      </c>
      <c r="Z89" t="n">
        <v>1.38</v>
      </c>
      <c r="AA89" t="inlineStr">
        <is>
          <t>No</t>
        </is>
      </c>
      <c r="AB89" t="inlineStr">
        <is>
          <t>No</t>
        </is>
      </c>
    </row>
    <row r="90">
      <c r="A90" t="inlineStr">
        <is>
          <t>2026-08-31</t>
        </is>
      </c>
      <c r="B90" t="inlineStr">
        <is>
          <t>00:40</t>
        </is>
      </c>
      <c r="C90" t="inlineStr">
        <is>
          <t>MGC</t>
        </is>
      </c>
      <c r="D90" t="inlineStr">
        <is>
          <t>Short</t>
        </is>
      </c>
      <c r="E90" t="n">
        <v>-161</v>
      </c>
      <c r="F90" t="inlineStr">
        <is>
          <t>down</t>
        </is>
      </c>
      <c r="G90" t="inlineStr">
        <is>
          <t>down</t>
        </is>
      </c>
      <c r="H90" t="inlineStr">
        <is>
          <t>down</t>
        </is>
      </c>
      <c r="I90" t="inlineStr">
        <is>
          <t>up</t>
        </is>
      </c>
      <c r="J90" t="n">
        <v>46.3</v>
      </c>
      <c r="K90" t="inlineStr">
        <is>
          <t>bear</t>
        </is>
      </c>
      <c r="L90" t="inlineStr">
        <is>
          <t>+</t>
        </is>
      </c>
      <c r="M90" t="n">
        <v>19.3</v>
      </c>
      <c r="N90" t="n">
        <v>5.48</v>
      </c>
      <c r="O90" t="n">
        <v>4487.97</v>
      </c>
      <c r="P90" t="inlineStr">
        <is>
          <t>below</t>
        </is>
      </c>
      <c r="Q90" t="n">
        <v>4478.81</v>
      </c>
      <c r="R90" t="n">
        <v>0.95</v>
      </c>
      <c r="S90" t="n">
        <v>-719</v>
      </c>
      <c r="T90" t="n">
        <v>30</v>
      </c>
      <c r="U90" t="inlineStr">
        <is>
          <t>shallow</t>
        </is>
      </c>
      <c r="V90" t="inlineStr">
        <is>
          <t>Weak</t>
        </is>
      </c>
      <c r="W90" t="n">
        <v>1</v>
      </c>
      <c r="X90" t="inlineStr">
        <is>
          <t>Round</t>
        </is>
      </c>
      <c r="Y90" t="inlineStr">
        <is>
          <t>bullish pin/hammer</t>
        </is>
      </c>
      <c r="Z90" t="n">
        <v>0.46</v>
      </c>
      <c r="AA90" t="inlineStr">
        <is>
          <t>No</t>
        </is>
      </c>
      <c r="AB90" t="inlineStr">
        <is>
          <t>Yes</t>
        </is>
      </c>
    </row>
    <row r="91">
      <c r="A91" t="inlineStr">
        <is>
          <t>2026-08-31</t>
        </is>
      </c>
      <c r="B91" t="inlineStr">
        <is>
          <t>09:42</t>
        </is>
      </c>
      <c r="C91" t="inlineStr">
        <is>
          <t>MNQ</t>
        </is>
      </c>
      <c r="D91" t="inlineStr">
        <is>
          <t>Short</t>
        </is>
      </c>
      <c r="E91" t="n">
        <v>134</v>
      </c>
      <c r="F91" t="inlineStr">
        <is>
          <t>down</t>
        </is>
      </c>
      <c r="G91" t="inlineStr">
        <is>
          <t>down</t>
        </is>
      </c>
      <c r="H91" t="inlineStr">
        <is>
          <t>down</t>
        </is>
      </c>
      <c r="I91" t="inlineStr">
        <is>
          <t>up</t>
        </is>
      </c>
      <c r="J91" t="n">
        <v>45.7</v>
      </c>
      <c r="K91" t="inlineStr">
        <is>
          <t>bear</t>
        </is>
      </c>
      <c r="L91" t="inlineStr">
        <is>
          <t>+</t>
        </is>
      </c>
      <c r="M91" t="n">
        <v>20.5</v>
      </c>
      <c r="N91" t="n">
        <v>32.05</v>
      </c>
      <c r="O91" t="n">
        <v>29437.45</v>
      </c>
      <c r="P91" t="inlineStr">
        <is>
          <t>below</t>
        </is>
      </c>
      <c r="Q91" t="n">
        <v>29467.73</v>
      </c>
      <c r="R91" t="n">
        <v>0.89</v>
      </c>
      <c r="S91" t="n">
        <v>-14014</v>
      </c>
      <c r="T91" t="n">
        <v>31</v>
      </c>
      <c r="U91" t="inlineStr">
        <is>
          <t>shallow</t>
        </is>
      </c>
      <c r="V91" t="inlineStr">
        <is>
          <t>A+</t>
        </is>
      </c>
      <c r="W91" t="n">
        <v>3</v>
      </c>
      <c r="X91" t="inlineStr">
        <is>
          <t>PDL</t>
        </is>
      </c>
      <c r="Z91" t="n">
        <v>4.01</v>
      </c>
      <c r="AA91" t="inlineStr">
        <is>
          <t>No</t>
        </is>
      </c>
      <c r="AB91" t="inlineStr">
        <is>
          <t>Yes</t>
        </is>
      </c>
    </row>
    <row r="92">
      <c r="A92" t="inlineStr">
        <is>
          <t>2026-08-31</t>
        </is>
      </c>
      <c r="B92" t="inlineStr">
        <is>
          <t>09:56</t>
        </is>
      </c>
      <c r="C92" t="inlineStr">
        <is>
          <t>MNQ</t>
        </is>
      </c>
      <c r="D92" t="inlineStr">
        <is>
          <t>Long</t>
        </is>
      </c>
      <c r="E92" t="n">
        <v>-129</v>
      </c>
      <c r="F92" t="inlineStr">
        <is>
          <t>down</t>
        </is>
      </c>
      <c r="G92" t="inlineStr">
        <is>
          <t>down</t>
        </is>
      </c>
      <c r="H92" t="inlineStr">
        <is>
          <t>down</t>
        </is>
      </c>
      <c r="I92" t="inlineStr">
        <is>
          <t>up</t>
        </is>
      </c>
      <c r="J92" t="n">
        <v>52.3</v>
      </c>
      <c r="K92" t="inlineStr">
        <is>
          <t>bull</t>
        </is>
      </c>
      <c r="L92" t="inlineStr">
        <is>
          <t>+</t>
        </is>
      </c>
      <c r="M92" t="n">
        <v>24.9</v>
      </c>
      <c r="N92" t="n">
        <v>38.19</v>
      </c>
      <c r="O92" t="n">
        <v>29438.41</v>
      </c>
      <c r="P92" t="inlineStr">
        <is>
          <t>above</t>
        </is>
      </c>
      <c r="Q92" t="n">
        <v>29466.76</v>
      </c>
      <c r="R92" t="n">
        <v>0.74</v>
      </c>
      <c r="S92" t="n">
        <v>-8579</v>
      </c>
      <c r="T92" t="n">
        <v>40</v>
      </c>
      <c r="U92" t="inlineStr">
        <is>
          <t>golden</t>
        </is>
      </c>
      <c r="V92" t="inlineStr">
        <is>
          <t>Good</t>
        </is>
      </c>
      <c r="W92" t="n">
        <v>2</v>
      </c>
      <c r="X92" t="inlineStr">
        <is>
          <t>Round</t>
        </is>
      </c>
      <c r="Y92" t="inlineStr">
        <is>
          <t>strong bearish close</t>
        </is>
      </c>
      <c r="Z92" t="n">
        <v>1.68</v>
      </c>
      <c r="AA92" t="inlineStr">
        <is>
          <t>No</t>
        </is>
      </c>
      <c r="AB92" t="inlineStr">
        <is>
          <t>No</t>
        </is>
      </c>
    </row>
    <row r="93">
      <c r="A93" t="inlineStr">
        <is>
          <t>2026-08-31</t>
        </is>
      </c>
      <c r="B93" t="inlineStr">
        <is>
          <t>10:01</t>
        </is>
      </c>
      <c r="C93" t="inlineStr">
        <is>
          <t>MGC</t>
        </is>
      </c>
      <c r="D93" t="inlineStr">
        <is>
          <t>Short</t>
        </is>
      </c>
      <c r="E93" t="n">
        <v>-78</v>
      </c>
      <c r="F93" t="inlineStr">
        <is>
          <t>down</t>
        </is>
      </c>
      <c r="G93" t="inlineStr">
        <is>
          <t>down</t>
        </is>
      </c>
      <c r="H93" t="inlineStr">
        <is>
          <t>down</t>
        </is>
      </c>
      <c r="I93" t="inlineStr">
        <is>
          <t>down</t>
        </is>
      </c>
      <c r="J93" t="n">
        <v>28.2</v>
      </c>
      <c r="K93" t="inlineStr">
        <is>
          <t>bear</t>
        </is>
      </c>
      <c r="L93" t="inlineStr">
        <is>
          <t>-</t>
        </is>
      </c>
      <c r="M93" t="n">
        <v>32.7</v>
      </c>
      <c r="N93" t="n">
        <v>6.62</v>
      </c>
      <c r="O93" t="n">
        <v>4479.19</v>
      </c>
      <c r="P93" t="inlineStr">
        <is>
          <t>below</t>
        </is>
      </c>
      <c r="Q93" t="n">
        <v>4470.81</v>
      </c>
      <c r="R93" t="n">
        <v>0.83</v>
      </c>
      <c r="S93" t="n">
        <v>-5090</v>
      </c>
      <c r="T93" t="n">
        <v>13</v>
      </c>
      <c r="U93" t="inlineStr">
        <is>
          <t>extended (no pullback)</t>
        </is>
      </c>
      <c r="V93" t="inlineStr">
        <is>
          <t>Weak</t>
        </is>
      </c>
      <c r="W93" t="n">
        <v>1</v>
      </c>
      <c r="X93" t="inlineStr">
        <is>
          <t>Round</t>
        </is>
      </c>
      <c r="Z93" t="n">
        <v>1.38</v>
      </c>
      <c r="AA93" t="inlineStr">
        <is>
          <t>Yes</t>
        </is>
      </c>
      <c r="AB93" t="inlineStr">
        <is>
          <t>Yes</t>
        </is>
      </c>
    </row>
    <row r="94">
      <c r="A94" t="inlineStr">
        <is>
          <t>2026-08-31</t>
        </is>
      </c>
      <c r="B94" t="inlineStr">
        <is>
          <t>10:11</t>
        </is>
      </c>
      <c r="C94" t="inlineStr">
        <is>
          <t>MNQ</t>
        </is>
      </c>
      <c r="D94" t="inlineStr">
        <is>
          <t>Short</t>
        </is>
      </c>
      <c r="E94" t="n">
        <v>-120</v>
      </c>
      <c r="F94" t="inlineStr">
        <is>
          <t>down</t>
        </is>
      </c>
      <c r="G94" t="inlineStr">
        <is>
          <t>down</t>
        </is>
      </c>
      <c r="H94" t="inlineStr">
        <is>
          <t>down</t>
        </is>
      </c>
      <c r="I94" t="inlineStr">
        <is>
          <t>down</t>
        </is>
      </c>
      <c r="J94" t="n">
        <v>44.6</v>
      </c>
      <c r="K94" t="inlineStr">
        <is>
          <t>bear</t>
        </is>
      </c>
      <c r="L94" t="inlineStr">
        <is>
          <t>-</t>
        </is>
      </c>
      <c r="M94" t="n">
        <v>22.4</v>
      </c>
      <c r="N94" t="n">
        <v>39.3</v>
      </c>
      <c r="O94" t="n">
        <v>29430.09</v>
      </c>
      <c r="P94" t="inlineStr">
        <is>
          <t>below</t>
        </is>
      </c>
      <c r="Q94" t="n">
        <v>29467.56</v>
      </c>
      <c r="R94" t="n">
        <v>0.79</v>
      </c>
      <c r="S94" t="n">
        <v>-18379</v>
      </c>
      <c r="T94" t="n">
        <v>16</v>
      </c>
      <c r="U94" t="inlineStr">
        <is>
          <t>shallow</t>
        </is>
      </c>
      <c r="V94" t="inlineStr">
        <is>
          <t>A+</t>
        </is>
      </c>
      <c r="W94" t="n">
        <v>3</v>
      </c>
      <c r="X94" t="inlineStr">
        <is>
          <t>ORL/Round</t>
        </is>
      </c>
      <c r="Z94" t="n">
        <v>1.19</v>
      </c>
      <c r="AA94" t="inlineStr">
        <is>
          <t>Yes</t>
        </is>
      </c>
      <c r="AB94" t="inlineStr">
        <is>
          <t>Yes</t>
        </is>
      </c>
    </row>
    <row r="95">
      <c r="A95" t="inlineStr">
        <is>
          <t>2026-08-31</t>
        </is>
      </c>
      <c r="B95" t="inlineStr">
        <is>
          <t>10:28</t>
        </is>
      </c>
      <c r="C95" t="inlineStr">
        <is>
          <t>MGC</t>
        </is>
      </c>
      <c r="D95" t="inlineStr">
        <is>
          <t>Short</t>
        </is>
      </c>
      <c r="E95" t="n">
        <v>-126</v>
      </c>
      <c r="F95" t="inlineStr">
        <is>
          <t>down</t>
        </is>
      </c>
      <c r="G95" t="inlineStr">
        <is>
          <t>down</t>
        </is>
      </c>
      <c r="H95" t="inlineStr">
        <is>
          <t>down</t>
        </is>
      </c>
      <c r="I95" t="inlineStr">
        <is>
          <t>down</t>
        </is>
      </c>
      <c r="J95" t="n">
        <v>32.8</v>
      </c>
      <c r="K95" t="inlineStr">
        <is>
          <t>bear</t>
        </is>
      </c>
      <c r="L95" t="inlineStr">
        <is>
          <t>-</t>
        </is>
      </c>
      <c r="M95" t="n">
        <v>33.9</v>
      </c>
      <c r="N95" t="n">
        <v>6.89</v>
      </c>
      <c r="O95" t="n">
        <v>4477.82</v>
      </c>
      <c r="P95" t="inlineStr">
        <is>
          <t>below</t>
        </is>
      </c>
      <c r="Q95" t="n">
        <v>4470.81</v>
      </c>
      <c r="R95" t="n">
        <v>0.7</v>
      </c>
      <c r="S95" t="n">
        <v>-4540</v>
      </c>
      <c r="T95" t="n">
        <v>13</v>
      </c>
      <c r="U95" t="inlineStr">
        <is>
          <t>extended (no pullback)</t>
        </is>
      </c>
      <c r="V95" t="inlineStr">
        <is>
          <t>Weak</t>
        </is>
      </c>
      <c r="W95" t="n">
        <v>1</v>
      </c>
      <c r="X95" t="inlineStr">
        <is>
          <t>Round</t>
        </is>
      </c>
      <c r="Z95" t="n">
        <v>0.5600000000000001</v>
      </c>
      <c r="AA95" t="inlineStr">
        <is>
          <t>Yes</t>
        </is>
      </c>
      <c r="AB95" t="inlineStr">
        <is>
          <t>Yes</t>
        </is>
      </c>
    </row>
    <row r="96">
      <c r="A96" t="inlineStr">
        <is>
          <t>2026-08-31</t>
        </is>
      </c>
      <c r="B96" t="inlineStr">
        <is>
          <t>10:41</t>
        </is>
      </c>
      <c r="C96" t="inlineStr">
        <is>
          <t>MNQ</t>
        </is>
      </c>
      <c r="D96" t="inlineStr">
        <is>
          <t>Long</t>
        </is>
      </c>
      <c r="E96" t="n">
        <v>250</v>
      </c>
      <c r="F96" t="inlineStr">
        <is>
          <t>down</t>
        </is>
      </c>
      <c r="G96" t="inlineStr">
        <is>
          <t>down</t>
        </is>
      </c>
      <c r="H96" t="inlineStr">
        <is>
          <t>down</t>
        </is>
      </c>
      <c r="I96" t="inlineStr">
        <is>
          <t>down</t>
        </is>
      </c>
      <c r="J96" t="n">
        <v>52.5</v>
      </c>
      <c r="K96" t="inlineStr">
        <is>
          <t>bear</t>
        </is>
      </c>
      <c r="L96" t="inlineStr">
        <is>
          <t>+</t>
        </is>
      </c>
      <c r="M96" t="n">
        <v>19.4</v>
      </c>
      <c r="N96" t="n">
        <v>40.2</v>
      </c>
      <c r="O96" t="n">
        <v>29420.42</v>
      </c>
      <c r="P96" t="inlineStr">
        <is>
          <t>below</t>
        </is>
      </c>
      <c r="Q96" t="n">
        <v>29429.81</v>
      </c>
      <c r="R96" t="n">
        <v>0.98</v>
      </c>
      <c r="S96" t="n">
        <v>-15436</v>
      </c>
      <c r="T96" t="n">
        <v>31</v>
      </c>
      <c r="U96" t="inlineStr">
        <is>
          <t>shallow</t>
        </is>
      </c>
      <c r="V96" t="inlineStr">
        <is>
          <t>Good</t>
        </is>
      </c>
      <c r="W96" t="n">
        <v>2</v>
      </c>
      <c r="X96" t="inlineStr">
        <is>
          <t>Round</t>
        </is>
      </c>
      <c r="Z96" t="n">
        <v>0.83</v>
      </c>
      <c r="AA96" t="inlineStr">
        <is>
          <t>No</t>
        </is>
      </c>
      <c r="AB96" t="inlineStr">
        <is>
          <t>No</t>
        </is>
      </c>
    </row>
    <row r="97">
      <c r="A97" t="inlineStr">
        <is>
          <t>2026-08-31</t>
        </is>
      </c>
      <c r="B97" t="inlineStr">
        <is>
          <t>10:47</t>
        </is>
      </c>
      <c r="C97" t="inlineStr">
        <is>
          <t>MNQ</t>
        </is>
      </c>
      <c r="D97" t="inlineStr">
        <is>
          <t>Long</t>
        </is>
      </c>
      <c r="E97" t="n">
        <v>-87.5</v>
      </c>
      <c r="F97" t="inlineStr">
        <is>
          <t>down</t>
        </is>
      </c>
      <c r="G97" t="inlineStr">
        <is>
          <t>down</t>
        </is>
      </c>
      <c r="H97" t="inlineStr">
        <is>
          <t>down</t>
        </is>
      </c>
      <c r="I97" t="inlineStr">
        <is>
          <t>down</t>
        </is>
      </c>
      <c r="J97" t="n">
        <v>46.3</v>
      </c>
      <c r="K97" t="inlineStr">
        <is>
          <t>bear</t>
        </is>
      </c>
      <c r="L97" t="inlineStr">
        <is>
          <t>+</t>
        </is>
      </c>
      <c r="M97" t="n">
        <v>19</v>
      </c>
      <c r="N97" t="n">
        <v>40.48</v>
      </c>
      <c r="O97" t="n">
        <v>29419.96</v>
      </c>
      <c r="P97" t="inlineStr">
        <is>
          <t>below</t>
        </is>
      </c>
      <c r="Q97" t="n">
        <v>29429.81</v>
      </c>
      <c r="R97" t="n">
        <v>0.8</v>
      </c>
      <c r="S97" t="n">
        <v>-18500</v>
      </c>
      <c r="T97" t="n">
        <v>33</v>
      </c>
      <c r="U97" t="inlineStr">
        <is>
          <t>shallow</t>
        </is>
      </c>
      <c r="V97" t="inlineStr">
        <is>
          <t>Good</t>
        </is>
      </c>
      <c r="W97" t="n">
        <v>2</v>
      </c>
      <c r="X97" t="inlineStr">
        <is>
          <t>Round</t>
        </is>
      </c>
      <c r="Y97" t="inlineStr">
        <is>
          <t>bearish engulfing</t>
        </is>
      </c>
      <c r="Z97" t="n">
        <v>0.68</v>
      </c>
      <c r="AA97" t="inlineStr">
        <is>
          <t>No</t>
        </is>
      </c>
      <c r="AB97" t="inlineStr">
        <is>
          <t>No</t>
        </is>
      </c>
    </row>
    <row r="98">
      <c r="A98" t="inlineStr">
        <is>
          <t>2026-08-31</t>
        </is>
      </c>
      <c r="B98" t="inlineStr">
        <is>
          <t>10:48</t>
        </is>
      </c>
      <c r="C98" t="inlineStr">
        <is>
          <t>MNQ</t>
        </is>
      </c>
      <c r="D98" t="inlineStr">
        <is>
          <t>Long</t>
        </is>
      </c>
      <c r="E98" t="n">
        <v>-57</v>
      </c>
      <c r="F98" t="inlineStr">
        <is>
          <t>down</t>
        </is>
      </c>
      <c r="G98" t="inlineStr">
        <is>
          <t>down</t>
        </is>
      </c>
      <c r="H98" t="inlineStr">
        <is>
          <t>down</t>
        </is>
      </c>
      <c r="I98" t="inlineStr">
        <is>
          <t>down</t>
        </is>
      </c>
      <c r="J98" t="n">
        <v>46.3</v>
      </c>
      <c r="K98" t="inlineStr">
        <is>
          <t>bear</t>
        </is>
      </c>
      <c r="L98" t="inlineStr">
        <is>
          <t>+</t>
        </is>
      </c>
      <c r="M98" t="n">
        <v>19</v>
      </c>
      <c r="N98" t="n">
        <v>40.48</v>
      </c>
      <c r="O98" t="n">
        <v>29419.96</v>
      </c>
      <c r="P98" t="inlineStr">
        <is>
          <t>below</t>
        </is>
      </c>
      <c r="Q98" t="n">
        <v>29429.81</v>
      </c>
      <c r="R98" t="n">
        <v>0.8</v>
      </c>
      <c r="S98" t="n">
        <v>-18500</v>
      </c>
      <c r="T98" t="n">
        <v>42</v>
      </c>
      <c r="U98" t="inlineStr">
        <is>
          <t>golden</t>
        </is>
      </c>
      <c r="V98" t="inlineStr">
        <is>
          <t>Good</t>
        </is>
      </c>
      <c r="W98" t="n">
        <v>2</v>
      </c>
      <c r="X98" t="inlineStr">
        <is>
          <t>ORL/Round</t>
        </is>
      </c>
      <c r="Y98" t="inlineStr">
        <is>
          <t>bearish engulfing</t>
        </is>
      </c>
      <c r="Z98" t="n">
        <v>0.68</v>
      </c>
      <c r="AA98" t="inlineStr">
        <is>
          <t>No</t>
        </is>
      </c>
      <c r="AB98" t="inlineStr">
        <is>
          <t>No</t>
        </is>
      </c>
    </row>
    <row r="99">
      <c r="A99" t="inlineStr">
        <is>
          <t>2026-08-31</t>
        </is>
      </c>
      <c r="B99" t="inlineStr">
        <is>
          <t>10:55</t>
        </is>
      </c>
      <c r="C99" t="inlineStr">
        <is>
          <t>MGC</t>
        </is>
      </c>
      <c r="D99" t="inlineStr">
        <is>
          <t>Short</t>
        </is>
      </c>
      <c r="E99" t="n">
        <v>108</v>
      </c>
      <c r="F99" t="inlineStr">
        <is>
          <t>down</t>
        </is>
      </c>
      <c r="G99" t="inlineStr">
        <is>
          <t>down</t>
        </is>
      </c>
      <c r="H99" t="inlineStr">
        <is>
          <t>down</t>
        </is>
      </c>
      <c r="I99" t="inlineStr">
        <is>
          <t>down</t>
        </is>
      </c>
      <c r="J99" t="n">
        <v>47.9</v>
      </c>
      <c r="K99" t="inlineStr">
        <is>
          <t>bear</t>
        </is>
      </c>
      <c r="L99" t="inlineStr">
        <is>
          <t>+</t>
        </is>
      </c>
      <c r="M99" t="n">
        <v>25</v>
      </c>
      <c r="N99" t="n">
        <v>7.13</v>
      </c>
      <c r="O99" t="n">
        <v>4478.31</v>
      </c>
      <c r="P99" t="inlineStr">
        <is>
          <t>above</t>
        </is>
      </c>
      <c r="Q99" t="n">
        <v>4474.83</v>
      </c>
      <c r="R99" t="n">
        <v>0.99</v>
      </c>
      <c r="S99" t="n">
        <v>-4347</v>
      </c>
      <c r="T99" t="n">
        <v>36</v>
      </c>
      <c r="U99" t="inlineStr">
        <is>
          <t>shallow</t>
        </is>
      </c>
      <c r="V99" t="inlineStr">
        <is>
          <t>Good</t>
        </is>
      </c>
      <c r="W99" t="n">
        <v>2</v>
      </c>
      <c r="X99" t="inlineStr">
        <is>
          <t>No</t>
        </is>
      </c>
      <c r="Y99" t="inlineStr">
        <is>
          <t>bearish pin</t>
        </is>
      </c>
      <c r="Z99" t="n">
        <v>0.71</v>
      </c>
      <c r="AA99" t="inlineStr">
        <is>
          <t>Yes</t>
        </is>
      </c>
      <c r="AB99" t="inlineStr">
        <is>
          <t>Yes</t>
        </is>
      </c>
    </row>
    <row r="100">
      <c r="A100" t="inlineStr">
        <is>
          <t>2026-08-31</t>
        </is>
      </c>
      <c r="B100" t="inlineStr">
        <is>
          <t>22:25</t>
        </is>
      </c>
      <c r="C100" t="inlineStr">
        <is>
          <t>MGC</t>
        </is>
      </c>
      <c r="D100" t="inlineStr">
        <is>
          <t>Long</t>
        </is>
      </c>
      <c r="E100" t="n">
        <v>-16</v>
      </c>
      <c r="F100" t="inlineStr">
        <is>
          <t>down</t>
        </is>
      </c>
      <c r="G100" t="inlineStr">
        <is>
          <t>down</t>
        </is>
      </c>
      <c r="H100" t="inlineStr">
        <is>
          <t>up</t>
        </is>
      </c>
      <c r="I100" t="inlineStr">
        <is>
          <t>down</t>
        </is>
      </c>
      <c r="J100" t="n">
        <v>41.4</v>
      </c>
      <c r="K100" t="inlineStr">
        <is>
          <t>bear</t>
        </is>
      </c>
      <c r="L100" t="inlineStr">
        <is>
          <t>-</t>
        </is>
      </c>
      <c r="M100" t="n">
        <v>15.5</v>
      </c>
      <c r="N100" t="n">
        <v>4.68</v>
      </c>
      <c r="O100" t="n">
        <v>4484.98</v>
      </c>
      <c r="P100" t="inlineStr">
        <is>
          <t>above</t>
        </is>
      </c>
      <c r="Q100" t="n">
        <v>4481.28</v>
      </c>
      <c r="R100" t="n">
        <v>0.78</v>
      </c>
      <c r="S100" t="n">
        <v>-7255</v>
      </c>
      <c r="T100" t="n">
        <v>49</v>
      </c>
      <c r="U100" t="inlineStr">
        <is>
          <t>golden</t>
        </is>
      </c>
      <c r="V100" t="inlineStr">
        <is>
          <t>Weak</t>
        </is>
      </c>
      <c r="W100" t="n">
        <v>1</v>
      </c>
      <c r="X100" t="inlineStr">
        <is>
          <t>Round</t>
        </is>
      </c>
      <c r="Y100" t="inlineStr">
        <is>
          <t>strong bearish close</t>
        </is>
      </c>
      <c r="Z100" t="n">
        <v>0.7</v>
      </c>
      <c r="AA100" t="inlineStr">
        <is>
          <t>No</t>
        </is>
      </c>
      <c r="AB100" t="inlineStr">
        <is>
          <t>No</t>
        </is>
      </c>
    </row>
    <row r="101">
      <c r="A101" t="inlineStr">
        <is>
          <t>2026-08-31</t>
        </is>
      </c>
      <c r="B101" t="inlineStr">
        <is>
          <t>22:26</t>
        </is>
      </c>
      <c r="C101" t="inlineStr">
        <is>
          <t>MGC</t>
        </is>
      </c>
      <c r="D101" t="inlineStr">
        <is>
          <t>Long</t>
        </is>
      </c>
      <c r="E101" t="n">
        <v>-60</v>
      </c>
      <c r="F101" t="inlineStr">
        <is>
          <t>down</t>
        </is>
      </c>
      <c r="G101" t="inlineStr">
        <is>
          <t>down</t>
        </is>
      </c>
      <c r="H101" t="inlineStr">
        <is>
          <t>up</t>
        </is>
      </c>
      <c r="I101" t="inlineStr">
        <is>
          <t>down</t>
        </is>
      </c>
      <c r="J101" t="n">
        <v>41.4</v>
      </c>
      <c r="K101" t="inlineStr">
        <is>
          <t>bear</t>
        </is>
      </c>
      <c r="L101" t="inlineStr">
        <is>
          <t>-</t>
        </is>
      </c>
      <c r="M101" t="n">
        <v>15.5</v>
      </c>
      <c r="N101" t="n">
        <v>4.68</v>
      </c>
      <c r="O101" t="n">
        <v>4484.98</v>
      </c>
      <c r="P101" t="inlineStr">
        <is>
          <t>above</t>
        </is>
      </c>
      <c r="Q101" t="n">
        <v>4481.28</v>
      </c>
      <c r="R101" t="n">
        <v>0.78</v>
      </c>
      <c r="S101" t="n">
        <v>-7255</v>
      </c>
      <c r="T101" t="n">
        <v>59</v>
      </c>
      <c r="U101" t="inlineStr">
        <is>
          <t>golden</t>
        </is>
      </c>
      <c r="V101" t="inlineStr">
        <is>
          <t>Weak</t>
        </is>
      </c>
      <c r="W101" t="n">
        <v>1</v>
      </c>
      <c r="X101" t="inlineStr">
        <is>
          <t>Round</t>
        </is>
      </c>
      <c r="Y101" t="inlineStr">
        <is>
          <t>strong bearish close</t>
        </is>
      </c>
      <c r="Z101" t="n">
        <v>0.7</v>
      </c>
      <c r="AA101" t="inlineStr">
        <is>
          <t>No</t>
        </is>
      </c>
      <c r="AB101" t="inlineStr">
        <is>
          <t>No</t>
        </is>
      </c>
    </row>
    <row r="102">
      <c r="A102" t="inlineStr">
        <is>
          <t>2026-08-31</t>
        </is>
      </c>
      <c r="B102" t="inlineStr">
        <is>
          <t>22:47</t>
        </is>
      </c>
      <c r="C102" t="inlineStr">
        <is>
          <t>MGC</t>
        </is>
      </c>
      <c r="D102" t="inlineStr">
        <is>
          <t>Short</t>
        </is>
      </c>
      <c r="E102" t="n">
        <v>-180</v>
      </c>
      <c r="F102" t="inlineStr">
        <is>
          <t>down</t>
        </is>
      </c>
      <c r="G102" t="inlineStr">
        <is>
          <t>down</t>
        </is>
      </c>
      <c r="H102" t="inlineStr">
        <is>
          <t>down</t>
        </is>
      </c>
      <c r="I102" t="inlineStr">
        <is>
          <t>down</t>
        </is>
      </c>
      <c r="J102" t="n">
        <v>38.6</v>
      </c>
      <c r="K102" t="inlineStr">
        <is>
          <t>bear</t>
        </is>
      </c>
      <c r="L102" t="inlineStr">
        <is>
          <t>-</t>
        </is>
      </c>
      <c r="M102" t="n">
        <v>20.4</v>
      </c>
      <c r="N102" t="n">
        <v>5.09</v>
      </c>
      <c r="O102" t="n">
        <v>4484.93</v>
      </c>
      <c r="P102" t="inlineStr">
        <is>
          <t>below</t>
        </is>
      </c>
      <c r="Q102" t="n">
        <v>4481.28</v>
      </c>
      <c r="R102" t="n">
        <v>2.63</v>
      </c>
      <c r="S102" t="n">
        <v>-7614</v>
      </c>
      <c r="T102" t="n">
        <v>12</v>
      </c>
      <c r="U102" t="inlineStr">
        <is>
          <t>extended (no pullback)</t>
        </is>
      </c>
      <c r="V102" t="inlineStr">
        <is>
          <t>Weak</t>
        </is>
      </c>
      <c r="W102" t="n">
        <v>1</v>
      </c>
      <c r="X102" t="inlineStr">
        <is>
          <t>Round</t>
        </is>
      </c>
      <c r="Y102" t="inlineStr">
        <is>
          <t>bullish engulfing</t>
        </is>
      </c>
      <c r="Z102" t="n">
        <v>2.86</v>
      </c>
      <c r="AA102" t="inlineStr">
        <is>
          <t>Yes</t>
        </is>
      </c>
      <c r="AB102" t="inlineStr">
        <is>
          <t>Yes</t>
        </is>
      </c>
    </row>
    <row r="103">
      <c r="A103" t="inlineStr">
        <is>
          <t>2026-08-31</t>
        </is>
      </c>
      <c r="B103" t="inlineStr">
        <is>
          <t>23:00</t>
        </is>
      </c>
      <c r="C103" t="inlineStr">
        <is>
          <t>MGC</t>
        </is>
      </c>
      <c r="D103" t="inlineStr">
        <is>
          <t>Short</t>
        </is>
      </c>
      <c r="E103" t="n">
        <v>230</v>
      </c>
      <c r="F103" t="inlineStr">
        <is>
          <t>down</t>
        </is>
      </c>
      <c r="G103" t="inlineStr">
        <is>
          <t>down</t>
        </is>
      </c>
      <c r="H103" t="inlineStr">
        <is>
          <t>down</t>
        </is>
      </c>
      <c r="I103" t="inlineStr">
        <is>
          <t>down</t>
        </is>
      </c>
      <c r="J103" t="n">
        <v>47.8</v>
      </c>
      <c r="K103" t="inlineStr">
        <is>
          <t>bear</t>
        </is>
      </c>
      <c r="L103" t="inlineStr">
        <is>
          <t>+</t>
        </is>
      </c>
      <c r="M103" t="n">
        <v>19.1</v>
      </c>
      <c r="N103" t="n">
        <v>5.06</v>
      </c>
      <c r="O103" t="n">
        <v>4484.99</v>
      </c>
      <c r="P103" t="inlineStr">
        <is>
          <t>above</t>
        </is>
      </c>
      <c r="Q103" t="n">
        <v>4481.28</v>
      </c>
      <c r="R103" t="n">
        <v>1.4</v>
      </c>
      <c r="S103" t="n">
        <v>-7474</v>
      </c>
      <c r="T103" t="n">
        <v>34</v>
      </c>
      <c r="U103" t="inlineStr">
        <is>
          <t>shallow</t>
        </is>
      </c>
      <c r="V103" t="inlineStr">
        <is>
          <t>Weak</t>
        </is>
      </c>
      <c r="W103" t="n">
        <v>1</v>
      </c>
      <c r="X103" t="inlineStr">
        <is>
          <t>Round</t>
        </is>
      </c>
      <c r="Y103" t="inlineStr">
        <is>
          <t>strong bearish close</t>
        </is>
      </c>
      <c r="Z103" t="n">
        <v>1.27</v>
      </c>
      <c r="AA103" t="inlineStr">
        <is>
          <t>Yes</t>
        </is>
      </c>
      <c r="AB103" t="inlineStr">
        <is>
          <t>Yes</t>
        </is>
      </c>
    </row>
    <row r="104">
      <c r="A104" t="inlineStr">
        <is>
          <t>2026-08-31</t>
        </is>
      </c>
      <c r="B104" t="inlineStr">
        <is>
          <t>23:58</t>
        </is>
      </c>
      <c r="C104" t="inlineStr">
        <is>
          <t>MGC</t>
        </is>
      </c>
      <c r="D104" t="inlineStr">
        <is>
          <t>Short</t>
        </is>
      </c>
      <c r="E104" t="n">
        <v>50</v>
      </c>
      <c r="F104" t="inlineStr">
        <is>
          <t>down</t>
        </is>
      </c>
      <c r="G104" t="inlineStr">
        <is>
          <t>down</t>
        </is>
      </c>
      <c r="H104" t="inlineStr">
        <is>
          <t>down</t>
        </is>
      </c>
      <c r="I104" t="inlineStr">
        <is>
          <t>down</t>
        </is>
      </c>
      <c r="J104" t="n">
        <v>46.4</v>
      </c>
      <c r="K104" t="inlineStr">
        <is>
          <t>bear</t>
        </is>
      </c>
      <c r="L104" t="inlineStr">
        <is>
          <t>+</t>
        </is>
      </c>
      <c r="M104" t="n">
        <v>17.7</v>
      </c>
      <c r="N104" t="n">
        <v>4.27</v>
      </c>
      <c r="O104" t="n">
        <v>4485.1</v>
      </c>
      <c r="P104" t="inlineStr">
        <is>
          <t>above</t>
        </is>
      </c>
      <c r="Q104" t="n">
        <v>4481.28</v>
      </c>
      <c r="R104" t="n">
        <v>3.7</v>
      </c>
      <c r="S104" t="n">
        <v>-7669</v>
      </c>
      <c r="T104" t="n">
        <v>29</v>
      </c>
      <c r="U104" t="inlineStr">
        <is>
          <t>shallow</t>
        </is>
      </c>
      <c r="V104" t="inlineStr">
        <is>
          <t>Weak</t>
        </is>
      </c>
      <c r="W104" t="n">
        <v>1</v>
      </c>
      <c r="X104" t="inlineStr">
        <is>
          <t>No</t>
        </is>
      </c>
      <c r="Y104" t="inlineStr">
        <is>
          <t>strong bearish close</t>
        </is>
      </c>
      <c r="Z104" t="n">
        <v>1.21</v>
      </c>
      <c r="AA104" t="inlineStr">
        <is>
          <t>Yes</t>
        </is>
      </c>
      <c r="AB104" t="inlineStr">
        <is>
          <t>Yes</t>
        </is>
      </c>
    </row>
    <row r="105">
      <c r="A105" t="inlineStr">
        <is>
          <t>2026-09-01</t>
        </is>
      </c>
      <c r="B105" t="inlineStr">
        <is>
          <t>00:02</t>
        </is>
      </c>
      <c r="C105" t="inlineStr">
        <is>
          <t>MGC</t>
        </is>
      </c>
      <c r="D105" t="inlineStr">
        <is>
          <t>Short</t>
        </is>
      </c>
      <c r="E105" t="n">
        <v>15</v>
      </c>
      <c r="F105" t="inlineStr">
        <is>
          <t>down</t>
        </is>
      </c>
      <c r="G105" t="inlineStr">
        <is>
          <t>down</t>
        </is>
      </c>
      <c r="H105" t="inlineStr">
        <is>
          <t>down</t>
        </is>
      </c>
      <c r="I105" t="inlineStr">
        <is>
          <t>down</t>
        </is>
      </c>
      <c r="J105" t="n">
        <v>44.9</v>
      </c>
      <c r="K105" t="inlineStr">
        <is>
          <t>bear</t>
        </is>
      </c>
      <c r="L105" t="inlineStr">
        <is>
          <t>+</t>
        </is>
      </c>
      <c r="M105" t="n">
        <v>17.8</v>
      </c>
      <c r="N105" t="n">
        <v>4.13</v>
      </c>
      <c r="O105" t="n">
        <v>4485.11</v>
      </c>
      <c r="P105" t="inlineStr">
        <is>
          <t>above</t>
        </is>
      </c>
      <c r="Q105" t="n">
        <v>4481.28</v>
      </c>
      <c r="R105" t="n">
        <v>0.43</v>
      </c>
      <c r="S105" t="n">
        <v>-7634</v>
      </c>
      <c r="T105" t="n">
        <v>28</v>
      </c>
      <c r="U105" t="inlineStr">
        <is>
          <t>shallow</t>
        </is>
      </c>
      <c r="V105" t="inlineStr">
        <is>
          <t>Weak</t>
        </is>
      </c>
      <c r="W105" t="n">
        <v>1</v>
      </c>
      <c r="X105" t="inlineStr">
        <is>
          <t>No</t>
        </is>
      </c>
      <c r="Z105" t="n">
        <v>0.29</v>
      </c>
      <c r="AA105" t="inlineStr">
        <is>
          <t>Yes</t>
        </is>
      </c>
      <c r="AB105" t="inlineStr">
        <is>
          <t>Yes</t>
        </is>
      </c>
    </row>
    <row r="106">
      <c r="A106" t="inlineStr">
        <is>
          <t>2026-09-01</t>
        </is>
      </c>
      <c r="B106" t="inlineStr">
        <is>
          <t>10:27</t>
        </is>
      </c>
      <c r="C106" t="inlineStr">
        <is>
          <t>MGC</t>
        </is>
      </c>
      <c r="D106" t="inlineStr">
        <is>
          <t>Short</t>
        </is>
      </c>
      <c r="E106" t="n">
        <v>31</v>
      </c>
      <c r="F106" t="inlineStr">
        <is>
          <t>down</t>
        </is>
      </c>
      <c r="G106" t="inlineStr">
        <is>
          <t>down</t>
        </is>
      </c>
      <c r="H106" t="inlineStr">
        <is>
          <t>down</t>
        </is>
      </c>
      <c r="I106" t="inlineStr">
        <is>
          <t>up</t>
        </is>
      </c>
      <c r="J106" t="n">
        <v>53.2</v>
      </c>
      <c r="K106" t="inlineStr">
        <is>
          <t>bull</t>
        </is>
      </c>
      <c r="L106" t="inlineStr">
        <is>
          <t>+</t>
        </is>
      </c>
      <c r="M106" t="n">
        <v>17.2</v>
      </c>
      <c r="N106" t="n">
        <v>9.140000000000001</v>
      </c>
      <c r="O106" t="n">
        <v>4408.1</v>
      </c>
      <c r="P106" t="inlineStr">
        <is>
          <t>above</t>
        </is>
      </c>
      <c r="Q106" t="n">
        <v>4410.7</v>
      </c>
      <c r="R106" t="n">
        <v>1.4</v>
      </c>
      <c r="S106" t="n">
        <v>2867</v>
      </c>
      <c r="T106" t="n">
        <v>70</v>
      </c>
      <c r="U106" t="inlineStr">
        <is>
          <t>deep</t>
        </is>
      </c>
      <c r="V106" t="inlineStr">
        <is>
          <t>No setup</t>
        </is>
      </c>
      <c r="W106" t="n">
        <v>0</v>
      </c>
      <c r="X106" t="inlineStr">
        <is>
          <t>ORH/Round</t>
        </is>
      </c>
      <c r="Y106" t="inlineStr">
        <is>
          <t>bearish engulfing</t>
        </is>
      </c>
      <c r="Z106" t="n">
        <v>0.62</v>
      </c>
      <c r="AA106" t="inlineStr">
        <is>
          <t>No</t>
        </is>
      </c>
      <c r="AB106" t="inlineStr">
        <is>
          <t>Yes</t>
        </is>
      </c>
    </row>
    <row r="107">
      <c r="A107" t="inlineStr">
        <is>
          <t>2026-09-01</t>
        </is>
      </c>
      <c r="B107" t="inlineStr">
        <is>
          <t>10:39</t>
        </is>
      </c>
      <c r="C107" t="inlineStr">
        <is>
          <t>MNQ</t>
        </is>
      </c>
      <c r="D107" t="inlineStr">
        <is>
          <t>Long</t>
        </is>
      </c>
      <c r="E107" t="n">
        <v>482</v>
      </c>
      <c r="F107" t="inlineStr">
        <is>
          <t>down</t>
        </is>
      </c>
      <c r="G107" t="inlineStr">
        <is>
          <t>down</t>
        </is>
      </c>
      <c r="H107" t="inlineStr">
        <is>
          <t>up</t>
        </is>
      </c>
      <c r="I107" t="inlineStr">
        <is>
          <t>up</t>
        </is>
      </c>
      <c r="J107" t="n">
        <v>64</v>
      </c>
      <c r="K107" t="inlineStr">
        <is>
          <t>bull</t>
        </is>
      </c>
      <c r="L107" t="inlineStr">
        <is>
          <t>+</t>
        </is>
      </c>
      <c r="M107" t="n">
        <v>29.3</v>
      </c>
      <c r="N107" t="n">
        <v>36.39</v>
      </c>
      <c r="O107" t="n">
        <v>29122.08</v>
      </c>
      <c r="P107" t="inlineStr">
        <is>
          <t>above</t>
        </is>
      </c>
      <c r="Q107" t="n">
        <v>29094.86</v>
      </c>
      <c r="R107" t="n">
        <v>0.78</v>
      </c>
      <c r="S107" t="n">
        <v>10840</v>
      </c>
      <c r="T107" t="n">
        <v>4</v>
      </c>
      <c r="U107" t="inlineStr">
        <is>
          <t>extended (no pullback)</t>
        </is>
      </c>
      <c r="V107" t="inlineStr">
        <is>
          <t>No setup</t>
        </is>
      </c>
      <c r="W107" t="n">
        <v>0</v>
      </c>
      <c r="X107" t="inlineStr">
        <is>
          <t>Round</t>
        </is>
      </c>
      <c r="Z107" t="n">
        <v>0.78</v>
      </c>
      <c r="AA107" t="inlineStr">
        <is>
          <t>No</t>
        </is>
      </c>
      <c r="AB107" t="inlineStr">
        <is>
          <t>No</t>
        </is>
      </c>
    </row>
    <row r="108">
      <c r="A108" t="inlineStr">
        <is>
          <t>2026-09-01</t>
        </is>
      </c>
      <c r="B108" t="inlineStr">
        <is>
          <t>11:28</t>
        </is>
      </c>
      <c r="C108" t="inlineStr">
        <is>
          <t>MNQ</t>
        </is>
      </c>
      <c r="D108" t="inlineStr">
        <is>
          <t>Long</t>
        </is>
      </c>
      <c r="E108" t="n">
        <v>50</v>
      </c>
      <c r="F108" t="inlineStr">
        <is>
          <t>down</t>
        </is>
      </c>
      <c r="G108" t="inlineStr">
        <is>
          <t>down</t>
        </is>
      </c>
      <c r="H108" t="inlineStr">
        <is>
          <t>up</t>
        </is>
      </c>
      <c r="I108" t="inlineStr">
        <is>
          <t>up</t>
        </is>
      </c>
      <c r="J108" t="n">
        <v>61.7</v>
      </c>
      <c r="K108" t="inlineStr">
        <is>
          <t>bull</t>
        </is>
      </c>
      <c r="L108" t="inlineStr">
        <is>
          <t>+</t>
        </is>
      </c>
      <c r="M108" t="n">
        <v>33</v>
      </c>
      <c r="N108" t="n">
        <v>32.98</v>
      </c>
      <c r="O108" t="n">
        <v>29148.8</v>
      </c>
      <c r="P108" t="inlineStr">
        <is>
          <t>above</t>
        </is>
      </c>
      <c r="Q108" t="n">
        <v>29111.42</v>
      </c>
      <c r="R108" t="n">
        <v>0.77</v>
      </c>
      <c r="S108" t="n">
        <v>14006</v>
      </c>
      <c r="T108" t="n">
        <v>26</v>
      </c>
      <c r="U108" t="inlineStr">
        <is>
          <t>shallow</t>
        </is>
      </c>
      <c r="V108" t="inlineStr">
        <is>
          <t>No setup</t>
        </is>
      </c>
      <c r="W108" t="n">
        <v>0</v>
      </c>
      <c r="X108" t="inlineStr">
        <is>
          <t>Round</t>
        </is>
      </c>
      <c r="Y108" t="inlineStr">
        <is>
          <t>strong bullish close</t>
        </is>
      </c>
      <c r="Z108" t="n">
        <v>0.53</v>
      </c>
      <c r="AA108" t="inlineStr">
        <is>
          <t>No</t>
        </is>
      </c>
      <c r="AB108" t="inlineStr">
        <is>
          <t>No</t>
        </is>
      </c>
    </row>
    <row r="109">
      <c r="A109" t="inlineStr">
        <is>
          <t>2026-09-01</t>
        </is>
      </c>
      <c r="B109" t="inlineStr">
        <is>
          <t>12:25</t>
        </is>
      </c>
      <c r="C109" t="inlineStr">
        <is>
          <t>MNQ</t>
        </is>
      </c>
      <c r="D109" t="inlineStr">
        <is>
          <t>Long</t>
        </is>
      </c>
      <c r="E109" t="n">
        <v>-79</v>
      </c>
      <c r="F109" t="inlineStr">
        <is>
          <t>down</t>
        </is>
      </c>
      <c r="G109" t="inlineStr">
        <is>
          <t>down</t>
        </is>
      </c>
      <c r="H109" t="inlineStr">
        <is>
          <t>up</t>
        </is>
      </c>
      <c r="I109" t="inlineStr">
        <is>
          <t>down</t>
        </is>
      </c>
      <c r="J109" t="n">
        <v>40.4</v>
      </c>
      <c r="K109" t="inlineStr">
        <is>
          <t>bull</t>
        </is>
      </c>
      <c r="L109" t="inlineStr">
        <is>
          <t>-</t>
        </is>
      </c>
      <c r="M109" t="n">
        <v>33.3</v>
      </c>
      <c r="N109" t="n">
        <v>31.78</v>
      </c>
      <c r="O109" t="n">
        <v>29175.5</v>
      </c>
      <c r="P109" t="inlineStr">
        <is>
          <t>above</t>
        </is>
      </c>
      <c r="Q109" t="n">
        <v>29189.41</v>
      </c>
      <c r="R109" t="n">
        <v>2.06</v>
      </c>
      <c r="S109" t="n">
        <v>11928</v>
      </c>
      <c r="T109" t="n">
        <v>42</v>
      </c>
      <c r="U109" t="inlineStr">
        <is>
          <t>golden</t>
        </is>
      </c>
      <c r="V109" t="inlineStr">
        <is>
          <t>Weak</t>
        </is>
      </c>
      <c r="W109" t="n">
        <v>1</v>
      </c>
      <c r="X109" t="inlineStr">
        <is>
          <t>Round</t>
        </is>
      </c>
      <c r="Z109" t="n">
        <v>1.32</v>
      </c>
      <c r="AA109" t="inlineStr">
        <is>
          <t>No</t>
        </is>
      </c>
      <c r="AB109" t="inlineStr">
        <is>
          <t>No</t>
        </is>
      </c>
    </row>
    <row r="110">
      <c r="A110" t="inlineStr">
        <is>
          <t>2026-09-01</t>
        </is>
      </c>
      <c r="B110" t="inlineStr">
        <is>
          <t>14:47</t>
        </is>
      </c>
      <c r="C110" t="inlineStr">
        <is>
          <t>MNQ</t>
        </is>
      </c>
      <c r="D110" t="inlineStr">
        <is>
          <t>Long</t>
        </is>
      </c>
      <c r="E110" t="n">
        <v>308</v>
      </c>
      <c r="F110" t="inlineStr">
        <is>
          <t>down</t>
        </is>
      </c>
      <c r="G110" t="inlineStr">
        <is>
          <t>down</t>
        </is>
      </c>
      <c r="H110" t="inlineStr">
        <is>
          <t>down</t>
        </is>
      </c>
      <c r="I110" t="inlineStr">
        <is>
          <t>down</t>
        </is>
      </c>
      <c r="J110" t="n">
        <v>32.8</v>
      </c>
      <c r="K110" t="inlineStr">
        <is>
          <t>bear</t>
        </is>
      </c>
      <c r="L110" t="inlineStr">
        <is>
          <t>-</t>
        </is>
      </c>
      <c r="M110" t="n">
        <v>34.7</v>
      </c>
      <c r="N110" t="n">
        <v>28.96</v>
      </c>
      <c r="O110" t="n">
        <v>29159.72</v>
      </c>
      <c r="P110" t="inlineStr">
        <is>
          <t>below</t>
        </is>
      </c>
      <c r="Q110" t="n">
        <v>29108.57</v>
      </c>
      <c r="R110" t="n">
        <v>3.08</v>
      </c>
      <c r="S110" t="n">
        <v>4365</v>
      </c>
      <c r="V110" t="inlineStr">
        <is>
          <t>No setup</t>
        </is>
      </c>
      <c r="W110" t="n">
        <v>0</v>
      </c>
      <c r="X110" t="inlineStr">
        <is>
          <t>ORL/Round</t>
        </is>
      </c>
      <c r="Y110" t="inlineStr">
        <is>
          <t>strong bullish close</t>
        </is>
      </c>
      <c r="Z110" t="n">
        <v>2.34</v>
      </c>
      <c r="AA110" t="inlineStr">
        <is>
          <t>No</t>
        </is>
      </c>
      <c r="AB110" t="inlineStr">
        <is>
          <t>No</t>
        </is>
      </c>
    </row>
    <row r="111">
      <c r="A111" t="inlineStr">
        <is>
          <t>2026-09-01</t>
        </is>
      </c>
      <c r="B111" t="inlineStr">
        <is>
          <t>15:06</t>
        </is>
      </c>
      <c r="C111" t="inlineStr">
        <is>
          <t>MNQ</t>
        </is>
      </c>
      <c r="D111" t="inlineStr">
        <is>
          <t>Short</t>
        </is>
      </c>
      <c r="E111" t="n">
        <v>3</v>
      </c>
      <c r="F111" t="inlineStr">
        <is>
          <t>down</t>
        </is>
      </c>
      <c r="G111" t="inlineStr">
        <is>
          <t>down</t>
        </is>
      </c>
      <c r="H111" t="inlineStr">
        <is>
          <t>down</t>
        </is>
      </c>
      <c r="I111" t="inlineStr">
        <is>
          <t>down</t>
        </is>
      </c>
      <c r="J111" t="n">
        <v>48.3</v>
      </c>
      <c r="K111" t="inlineStr">
        <is>
          <t>bear</t>
        </is>
      </c>
      <c r="L111" t="inlineStr">
        <is>
          <t>+</t>
        </is>
      </c>
      <c r="M111" t="n">
        <v>33.6</v>
      </c>
      <c r="N111" t="n">
        <v>28.51</v>
      </c>
      <c r="O111" t="n">
        <v>29155.95</v>
      </c>
      <c r="P111" t="inlineStr">
        <is>
          <t>below</t>
        </is>
      </c>
      <c r="Q111" t="n">
        <v>29108.57</v>
      </c>
      <c r="R111" t="n">
        <v>1</v>
      </c>
      <c r="S111" t="n">
        <v>13485</v>
      </c>
      <c r="T111" t="n">
        <v>30</v>
      </c>
      <c r="U111" t="inlineStr">
        <is>
          <t>shallow</t>
        </is>
      </c>
      <c r="V111" t="inlineStr">
        <is>
          <t>Good</t>
        </is>
      </c>
      <c r="W111" t="n">
        <v>2</v>
      </c>
      <c r="X111" t="inlineStr">
        <is>
          <t>ONL/Round</t>
        </is>
      </c>
      <c r="Y111" t="inlineStr">
        <is>
          <t>strong bullish close</t>
        </is>
      </c>
      <c r="Z111" t="n">
        <v>0.83</v>
      </c>
      <c r="AA111" t="inlineStr">
        <is>
          <t>Yes</t>
        </is>
      </c>
      <c r="AB111" t="inlineStr">
        <is>
          <t>Yes</t>
        </is>
      </c>
    </row>
    <row r="112">
      <c r="A112" t="inlineStr">
        <is>
          <t>2026-09-01</t>
        </is>
      </c>
      <c r="B112" t="inlineStr">
        <is>
          <t>15:06</t>
        </is>
      </c>
      <c r="C112" t="inlineStr">
        <is>
          <t>MNQ</t>
        </is>
      </c>
      <c r="D112" t="inlineStr">
        <is>
          <t>Short</t>
        </is>
      </c>
      <c r="E112" t="n">
        <v>-88</v>
      </c>
      <c r="F112" t="inlineStr">
        <is>
          <t>down</t>
        </is>
      </c>
      <c r="G112" t="inlineStr">
        <is>
          <t>down</t>
        </is>
      </c>
      <c r="H112" t="inlineStr">
        <is>
          <t>down</t>
        </is>
      </c>
      <c r="I112" t="inlineStr">
        <is>
          <t>down</t>
        </is>
      </c>
      <c r="J112" t="n">
        <v>48.3</v>
      </c>
      <c r="K112" t="inlineStr">
        <is>
          <t>bear</t>
        </is>
      </c>
      <c r="L112" t="inlineStr">
        <is>
          <t>+</t>
        </is>
      </c>
      <c r="M112" t="n">
        <v>33.6</v>
      </c>
      <c r="N112" t="n">
        <v>28.51</v>
      </c>
      <c r="O112" t="n">
        <v>29155.95</v>
      </c>
      <c r="P112" t="inlineStr">
        <is>
          <t>below</t>
        </is>
      </c>
      <c r="Q112" t="n">
        <v>29108.57</v>
      </c>
      <c r="R112" t="n">
        <v>1</v>
      </c>
      <c r="S112" t="n">
        <v>13485</v>
      </c>
      <c r="T112" t="n">
        <v>31</v>
      </c>
      <c r="U112" t="inlineStr">
        <is>
          <t>shallow</t>
        </is>
      </c>
      <c r="V112" t="inlineStr">
        <is>
          <t>Good</t>
        </is>
      </c>
      <c r="W112" t="n">
        <v>2</v>
      </c>
      <c r="X112" t="inlineStr">
        <is>
          <t>Round</t>
        </is>
      </c>
      <c r="Y112" t="inlineStr">
        <is>
          <t>strong bullish close</t>
        </is>
      </c>
      <c r="Z112" t="n">
        <v>0.83</v>
      </c>
      <c r="AA112" t="inlineStr">
        <is>
          <t>Yes</t>
        </is>
      </c>
      <c r="AB11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2026-08-17T16:33:06Z</dcterms:created>
  <dcterms:modified xmlns:dcterms="http://purl.org/dc/terms/" xmlns:xsi="http://www.w3.org/2001/XMLSchema-instance" xsi:type="dcterms:W3CDTF">2026-09-02T02:51:47Z</dcterms:modified>
  <cp:lastModifiedBy>Abdul Basit</cp:lastModifiedBy>
</cp:coreProperties>
</file>