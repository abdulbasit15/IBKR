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>
        <is>
          <t>Break and Retest</t>
        </is>
      </c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inlineStr">
        <is>
          <t>Overtraded</t>
        </is>
      </c>
      <c r="W113" s="5" t="n"/>
      <c r="X113" s="5" t="n"/>
      <c r="Y113" s="5" t="n"/>
      <c r="Z113" s="5" t="n"/>
      <c r="AA113" s="5" t="n"/>
    </row>
    <row r="114" ht="15.75" customHeight="1">
      <c r="A114" s="5" t="n">
        <v>121</v>
      </c>
      <c r="B114" s="22" t="n">
        <v>46267</v>
      </c>
      <c r="C114" s="10" t="n">
        <v>0.4250578703703703</v>
      </c>
      <c r="D114" s="5" t="inlineStr">
        <is>
          <t>MGC</t>
        </is>
      </c>
      <c r="E114" s="5" t="inlineStr">
        <is>
          <t>Long</t>
        </is>
      </c>
      <c r="F114" s="5" t="n">
        <v>4436.666667</v>
      </c>
      <c r="G114" s="5" t="n">
        <v>4430.633333</v>
      </c>
      <c r="H114" s="5" t="n">
        <v>3</v>
      </c>
      <c r="I114" s="5" t="n">
        <v>4425.6</v>
      </c>
      <c r="J114" s="5" t="n"/>
      <c r="K114" s="8">
        <f>IF(AND(I114&lt;&gt;"",J114&lt;&gt;"",F114&lt;&gt;""), (J114-F114)/(F114-I114), "")</f>
        <v/>
      </c>
      <c r="L114" s="8">
        <f>IF(AND(F114&lt;&gt;"",G114&lt;&gt;"",I114&lt;&gt;""), (G114-F114)/(F114-I114), "")</f>
        <v/>
      </c>
      <c r="M114" s="5">
        <f>IF(N114&gt;0,"Win",IF(N114&lt;0,"Loss",""))</f>
        <v/>
      </c>
      <c r="N114" s="16">
        <f>IF(AND(F114&lt;&gt;"",G114&lt;&gt;"",H114&lt;&gt;"",D114&lt;&gt;""), IF(E114="Long", (G114-F114)*H114*VLOOKUP(D114,Multipliers!A:B,2,FALSE), (F114-G114)*H114*VLOOKUP(D114,Multipliers!A:B,2,FALSE)), "")</f>
        <v/>
      </c>
      <c r="O114" s="9">
        <f>IF(AND(N114&lt;&gt;"",F114&lt;&gt;"",H114&lt;&gt;"",D114&lt;&gt;""), N114/(F114*H114*VLOOKUP(D114,Multipliers!A:B,2,FALSE)), "")</f>
        <v/>
      </c>
      <c r="P114" s="5">
        <f>P113+N114</f>
        <v/>
      </c>
      <c r="Q114" s="5" t="inlineStr">
        <is>
          <t>Break and Retest</t>
        </is>
      </c>
      <c r="R114" s="5" t="inlineStr">
        <is>
          <t>Imported from Tradovate</t>
        </is>
      </c>
      <c r="S114" s="5" t="inlineStr">
        <is>
          <t>MGC</t>
        </is>
      </c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>
        <v>122</v>
      </c>
      <c r="B115" s="22" t="n">
        <v>46267</v>
      </c>
      <c r="C115" s="10" t="n">
        <v>0.4597222222222222</v>
      </c>
      <c r="D115" s="5" t="inlineStr">
        <is>
          <t>MGC</t>
        </is>
      </c>
      <c r="E115" s="5" t="inlineStr">
        <is>
          <t>Long</t>
        </is>
      </c>
      <c r="F115" s="5" t="n">
        <v>4421.8</v>
      </c>
      <c r="G115" s="5" t="n">
        <v>4414.3</v>
      </c>
      <c r="H115" s="5" t="n">
        <v>2</v>
      </c>
      <c r="I115" s="5" t="n">
        <v>4414.3</v>
      </c>
      <c r="J115" s="5" t="n">
        <v>4422.2</v>
      </c>
      <c r="K115" s="8">
        <f>IF(AND(I115&lt;&gt;"",J115&lt;&gt;"",F115&lt;&gt;""), (J115-F115)/(F115-I115), "")</f>
        <v/>
      </c>
      <c r="L115" s="8">
        <f>IF(AND(F115&lt;&gt;"",G115&lt;&gt;"",I115&lt;&gt;""), (G115-F115)/(F115-I115), "")</f>
        <v/>
      </c>
      <c r="M115" s="5">
        <f>IF(N115&gt;0,"Win",IF(N115&lt;0,"Loss",""))</f>
        <v/>
      </c>
      <c r="N115" s="16">
        <f>IF(AND(F115&lt;&gt;"",G115&lt;&gt;"",H115&lt;&gt;"",D115&lt;&gt;""), IF(E115="Long", (G115-F115)*H115*VLOOKUP(D115,Multipliers!A:B,2,FALSE), (F115-G115)*H115*VLOOKUP(D115,Multipliers!A:B,2,FALSE)), "")</f>
        <v/>
      </c>
      <c r="O115" s="9">
        <f>IF(AND(N115&lt;&gt;"",F115&lt;&gt;"",H115&lt;&gt;"",D115&lt;&gt;""), N115/(F115*H115*VLOOKUP(D115,Multipliers!A:B,2,FALSE)), "")</f>
        <v/>
      </c>
      <c r="P115" s="5">
        <f>P114+N115</f>
        <v/>
      </c>
      <c r="Q115" s="5" t="inlineStr">
        <is>
          <t>Break and Retest</t>
        </is>
      </c>
      <c r="R115" s="5" t="inlineStr">
        <is>
          <t>Imported from Tradovate</t>
        </is>
      </c>
      <c r="S115" s="5" t="inlineStr">
        <is>
          <t>MGC</t>
        </is>
      </c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>
        <v>123</v>
      </c>
      <c r="B116" s="22" t="n">
        <v>46267</v>
      </c>
      <c r="C116" s="10" t="n">
        <v>0.5905787037037037</v>
      </c>
      <c r="D116" s="5" t="inlineStr">
        <is>
          <t>MGC</t>
        </is>
      </c>
      <c r="E116" s="5" t="inlineStr">
        <is>
          <t>Short</t>
        </is>
      </c>
      <c r="F116" s="5" t="n">
        <v>4417.95</v>
      </c>
      <c r="G116" s="5" t="n">
        <v>4425</v>
      </c>
      <c r="H116" s="5" t="n">
        <v>2</v>
      </c>
      <c r="I116" s="5" t="n">
        <v>4425.5</v>
      </c>
      <c r="J116" s="5" t="n">
        <v>4413.5</v>
      </c>
      <c r="K116" s="8">
        <f>IF(AND(I116&lt;&gt;"",J116&lt;&gt;"",F116&lt;&gt;""), (J116-F116)/(F116-I116), "")</f>
        <v/>
      </c>
      <c r="L116" s="8">
        <f>IF(AND(F116&lt;&gt;"",G116&lt;&gt;"",I116&lt;&gt;""), (G116-F116)/(F116-I116), "")</f>
        <v/>
      </c>
      <c r="M116" s="5">
        <f>IF(N116&gt;0,"Win",IF(N116&lt;0,"Loss",""))</f>
        <v/>
      </c>
      <c r="N116" s="16">
        <f>IF(AND(F116&lt;&gt;"",G116&lt;&gt;"",H116&lt;&gt;"",D116&lt;&gt;""), IF(E116="Long", (G116-F116)*H116*VLOOKUP(D116,Multipliers!A:B,2,FALSE), (F116-G116)*H116*VLOOKUP(D116,Multipliers!A:B,2,FALSE)), "")</f>
        <v/>
      </c>
      <c r="O116" s="9">
        <f>IF(AND(N116&lt;&gt;"",F116&lt;&gt;"",H116&lt;&gt;"",D116&lt;&gt;""), N116/(F116*H116*VLOOKUP(D116,Multipliers!A:B,2,FALSE)), "")</f>
        <v/>
      </c>
      <c r="P116" s="5">
        <f>P115+N116</f>
        <v/>
      </c>
      <c r="Q116" s="5" t="inlineStr">
        <is>
          <t>Break and Retest</t>
        </is>
      </c>
      <c r="R116" s="5" t="inlineStr">
        <is>
          <t>Imported from Tradovate</t>
        </is>
      </c>
      <c r="S116" s="5" t="inlineStr">
        <is>
          <t>MGC</t>
        </is>
      </c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>
        <v>124</v>
      </c>
      <c r="B117" s="22" t="n">
        <v>46267</v>
      </c>
      <c r="C117" s="10" t="n">
        <v>0.5995486111111111</v>
      </c>
      <c r="D117" s="5" t="inlineStr">
        <is>
          <t>MNQ</t>
        </is>
      </c>
      <c r="E117" s="5" t="inlineStr">
        <is>
          <t>Long</t>
        </is>
      </c>
      <c r="F117" s="5" t="n">
        <v>29166.625</v>
      </c>
      <c r="G117" s="5" t="n">
        <v>29171.875</v>
      </c>
      <c r="H117" s="5" t="n">
        <v>2</v>
      </c>
      <c r="I117" s="5" t="n">
        <v>29150.5</v>
      </c>
      <c r="J117" s="5" t="n">
        <v>29173</v>
      </c>
      <c r="K117" s="8">
        <f>IF(AND(I117&lt;&gt;"",J117&lt;&gt;"",F117&lt;&gt;""), (J117-F117)/(F117-I117), "")</f>
        <v/>
      </c>
      <c r="L117" s="8">
        <f>IF(AND(F117&lt;&gt;"",G117&lt;&gt;"",I117&lt;&gt;""), (G117-F117)/(F117-I117), "")</f>
        <v/>
      </c>
      <c r="M117" s="5">
        <f>IF(N117&gt;0,"Win",IF(N117&lt;0,"Loss",""))</f>
        <v/>
      </c>
      <c r="N117" s="16">
        <f>IF(AND(F117&lt;&gt;"",G117&lt;&gt;"",H117&lt;&gt;"",D117&lt;&gt;""), IF(E117="Long", (G117-F117)*H117*VLOOKUP(D117,Multipliers!A:B,2,FALSE), (F117-G117)*H117*VLOOKUP(D117,Multipliers!A:B,2,FALSE)), "")</f>
        <v/>
      </c>
      <c r="O117" s="9">
        <f>IF(AND(N117&lt;&gt;"",F117&lt;&gt;"",H117&lt;&gt;"",D117&lt;&gt;""), N117/(F117*H117*VLOOKUP(D117,Multipliers!A:B,2,FALSE)), "")</f>
        <v/>
      </c>
      <c r="P117" s="5">
        <f>P116+N117</f>
        <v/>
      </c>
      <c r="Q117" s="5" t="inlineStr">
        <is>
          <t>Break and Retest</t>
        </is>
      </c>
      <c r="R117" s="5" t="inlineStr">
        <is>
          <t>Imported from Tradovate</t>
        </is>
      </c>
      <c r="S117" s="5" t="inlineStr">
        <is>
          <t>MNQ</t>
        </is>
      </c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>
        <v>125</v>
      </c>
      <c r="B118" s="22" t="n">
        <v>46267</v>
      </c>
      <c r="C118" s="10" t="n">
        <v>0.6571643518518518</v>
      </c>
      <c r="D118" s="5" t="inlineStr">
        <is>
          <t>MGC</t>
        </is>
      </c>
      <c r="E118" s="5" t="inlineStr">
        <is>
          <t>Short</t>
        </is>
      </c>
      <c r="F118" s="5" t="n">
        <v>4432.3</v>
      </c>
      <c r="G118" s="5" t="n">
        <v>4435.9</v>
      </c>
      <c r="H118" s="5" t="n">
        <v>1</v>
      </c>
      <c r="I118" s="5" t="n">
        <v>4438.2</v>
      </c>
      <c r="J118" s="5" t="n"/>
      <c r="K118" s="8">
        <f>IF(AND(I118&lt;&gt;"",J118&lt;&gt;"",F118&lt;&gt;""), (J118-F118)/(F118-I118), "")</f>
        <v/>
      </c>
      <c r="L118" s="8">
        <f>IF(AND(F118&lt;&gt;"",G118&lt;&gt;"",I118&lt;&gt;""), (G118-F118)/(F118-I118), "")</f>
        <v/>
      </c>
      <c r="M118" s="5">
        <f>IF(N118&gt;0,"Win",IF(N118&lt;0,"Loss",""))</f>
        <v/>
      </c>
      <c r="N118" s="16">
        <f>IF(AND(F118&lt;&gt;"",G118&lt;&gt;"",H118&lt;&gt;"",D118&lt;&gt;""), IF(E118="Long", (G118-F118)*H118*VLOOKUP(D118,Multipliers!A:B,2,FALSE), (F118-G118)*H118*VLOOKUP(D118,Multipliers!A:B,2,FALSE)), "")</f>
        <v/>
      </c>
      <c r="O118" s="9">
        <f>IF(AND(N118&lt;&gt;"",F118&lt;&gt;"",H118&lt;&gt;"",D118&lt;&gt;""), N118/(F118*H118*VLOOKUP(D118,Multipliers!A:B,2,FALSE)), "")</f>
        <v/>
      </c>
      <c r="P118" s="5">
        <f>P117+N118</f>
        <v/>
      </c>
      <c r="Q118" s="5" t="inlineStr">
        <is>
          <t>Break and Retest</t>
        </is>
      </c>
      <c r="R118" s="5" t="inlineStr">
        <is>
          <t>Imported from Tradovate</t>
        </is>
      </c>
      <c r="S118" s="5" t="inlineStr">
        <is>
          <t>MGC</t>
        </is>
      </c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>
        <v>126</v>
      </c>
      <c r="B119" s="22" t="n">
        <v>46268</v>
      </c>
      <c r="C119" s="10" t="n">
        <v>0.3698032407407407</v>
      </c>
      <c r="D119" s="5" t="inlineStr">
        <is>
          <t>MGC</t>
        </is>
      </c>
      <c r="E119" s="5" t="inlineStr">
        <is>
          <t>Long</t>
        </is>
      </c>
      <c r="F119" s="5" t="n">
        <v>4536.966667</v>
      </c>
      <c r="G119" s="5" t="n">
        <v>4539.9</v>
      </c>
      <c r="H119" s="5" t="n">
        <v>3</v>
      </c>
      <c r="I119" s="5" t="n">
        <v>4525.9</v>
      </c>
      <c r="J119" s="5" t="n">
        <v>4541.7</v>
      </c>
      <c r="K119" s="8">
        <f>IF(AND(I119&lt;&gt;"",J119&lt;&gt;"",F119&lt;&gt;""), (J119-F119)/(F119-I119), "")</f>
        <v/>
      </c>
      <c r="L119" s="8">
        <f>IF(AND(F119&lt;&gt;"",G119&lt;&gt;"",I119&lt;&gt;""), (G119-F119)/(F119-I119), "")</f>
        <v/>
      </c>
      <c r="M119" s="5">
        <f>IF(N119&gt;0,"Win",IF(N119&lt;0,"Loss",""))</f>
        <v/>
      </c>
      <c r="N119" s="16">
        <f>IF(AND(F119&lt;&gt;"",G119&lt;&gt;"",H119&lt;&gt;"",D119&lt;&gt;""), IF(E119="Long", (G119-F119)*H119*VLOOKUP(D119,Multipliers!A:B,2,FALSE), (F119-G119)*H119*VLOOKUP(D119,Multipliers!A:B,2,FALSE)), "")</f>
        <v/>
      </c>
      <c r="O119" s="9">
        <f>IF(AND(N119&lt;&gt;"",F119&lt;&gt;"",H119&lt;&gt;"",D119&lt;&gt;""), N119/(F119*H119*VLOOKUP(D119,Multipliers!A:B,2,FALSE)), "")</f>
        <v/>
      </c>
      <c r="P119" s="5">
        <f>P118+N119</f>
        <v/>
      </c>
      <c r="Q119" s="5" t="inlineStr">
        <is>
          <t>Break and Retest</t>
        </is>
      </c>
      <c r="R119" s="5" t="inlineStr">
        <is>
          <t>Imported from Tradovate</t>
        </is>
      </c>
      <c r="S119" s="5" t="inlineStr">
        <is>
          <t>MGC</t>
        </is>
      </c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>
        <v>127</v>
      </c>
      <c r="B120" s="22" t="n">
        <v>46268</v>
      </c>
      <c r="C120" s="10" t="n">
        <v>0.390625</v>
      </c>
      <c r="D120" s="5" t="inlineStr">
        <is>
          <t>MGC</t>
        </is>
      </c>
      <c r="E120" s="5" t="inlineStr">
        <is>
          <t>Long</t>
        </is>
      </c>
      <c r="F120" s="5" t="n">
        <v>4527.95</v>
      </c>
      <c r="G120" s="5" t="n">
        <v>4527.2</v>
      </c>
      <c r="H120" s="5" t="n">
        <v>2</v>
      </c>
      <c r="I120" s="5" t="n">
        <v>4520.3</v>
      </c>
      <c r="J120" s="5" t="n">
        <v>4528.5</v>
      </c>
      <c r="K120" s="8">
        <f>IF(AND(I120&lt;&gt;"",J120&lt;&gt;"",F120&lt;&gt;""), (J120-F120)/(F120-I120), "")</f>
        <v/>
      </c>
      <c r="L120" s="8">
        <f>IF(AND(F120&lt;&gt;"",G120&lt;&gt;"",I120&lt;&gt;""), (G120-F120)/(F120-I120), "")</f>
        <v/>
      </c>
      <c r="M120" s="5">
        <f>IF(N120&gt;0,"Win",IF(N120&lt;0,"Loss",""))</f>
        <v/>
      </c>
      <c r="N120" s="16">
        <f>IF(AND(F120&lt;&gt;"",G120&lt;&gt;"",H120&lt;&gt;"",D120&lt;&gt;""), IF(E120="Long", (G120-F120)*H120*VLOOKUP(D120,Multipliers!A:B,2,FALSE), (F120-G120)*H120*VLOOKUP(D120,Multipliers!A:B,2,FALSE)), "")</f>
        <v/>
      </c>
      <c r="O120" s="9">
        <f>IF(AND(N120&lt;&gt;"",F120&lt;&gt;"",H120&lt;&gt;"",D120&lt;&gt;""), N120/(F120*H120*VLOOKUP(D120,Multipliers!A:B,2,FALSE)), "")</f>
        <v/>
      </c>
      <c r="P120" s="5">
        <f>P119+N120</f>
        <v/>
      </c>
      <c r="Q120" s="5" t="inlineStr">
        <is>
          <t>Break and Retest</t>
        </is>
      </c>
      <c r="R120" s="5" t="inlineStr">
        <is>
          <t>Imported from Tradovate</t>
        </is>
      </c>
      <c r="S120" s="5" t="inlineStr">
        <is>
          <t>MGC</t>
        </is>
      </c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>
        <v>128</v>
      </c>
      <c r="B121" s="22" t="n">
        <v>46268</v>
      </c>
      <c r="C121" s="10" t="n">
        <v>0.4108333333333333</v>
      </c>
      <c r="D121" s="5" t="inlineStr">
        <is>
          <t>MNQ</t>
        </is>
      </c>
      <c r="E121" s="5" t="inlineStr">
        <is>
          <t>Short</t>
        </is>
      </c>
      <c r="F121" s="5" t="n">
        <v>29353</v>
      </c>
      <c r="G121" s="5" t="n">
        <v>29328.5</v>
      </c>
      <c r="H121" s="5" t="n">
        <v>6</v>
      </c>
      <c r="I121" s="5" t="n">
        <v>29392.75</v>
      </c>
      <c r="J121" s="5" t="n">
        <v>29325.25</v>
      </c>
      <c r="K121" s="8">
        <f>IF(AND(I121&lt;&gt;"",J121&lt;&gt;"",F121&lt;&gt;""), (J121-F121)/(F121-I121), "")</f>
        <v/>
      </c>
      <c r="L121" s="8">
        <f>IF(AND(F121&lt;&gt;"",G121&lt;&gt;"",I121&lt;&gt;""), (G121-F121)/(F121-I121), "")</f>
        <v/>
      </c>
      <c r="M121" s="5">
        <f>IF(N121&gt;0,"Win",IF(N121&lt;0,"Loss",""))</f>
        <v/>
      </c>
      <c r="N121" s="16">
        <f>IF(AND(F121&lt;&gt;"",G121&lt;&gt;"",H121&lt;&gt;"",D121&lt;&gt;""), IF(E121="Long", (G121-F121)*H121*VLOOKUP(D121,Multipliers!A:B,2,FALSE), (F121-G121)*H121*VLOOKUP(D121,Multipliers!A:B,2,FALSE)), "")</f>
        <v/>
      </c>
      <c r="O121" s="9">
        <f>IF(AND(N121&lt;&gt;"",F121&lt;&gt;"",H121&lt;&gt;"",D121&lt;&gt;""), N121/(F121*H121*VLOOKUP(D121,Multipliers!A:B,2,FALSE)), "")</f>
        <v/>
      </c>
      <c r="P121" s="5">
        <f>P120+N121</f>
        <v/>
      </c>
      <c r="Q121" s="5" t="inlineStr">
        <is>
          <t>Break and Retest</t>
        </is>
      </c>
      <c r="R121" s="5" t="inlineStr">
        <is>
          <t>Imported from Tradovate</t>
        </is>
      </c>
      <c r="S121" s="5" t="inlineStr">
        <is>
          <t>MNQ</t>
        </is>
      </c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>
        <v>129</v>
      </c>
      <c r="B122" s="22" t="n">
        <v>46268</v>
      </c>
      <c r="C122" s="10" t="n">
        <v>0.4142129629629629</v>
      </c>
      <c r="D122" s="5" t="inlineStr">
        <is>
          <t>MGC</t>
        </is>
      </c>
      <c r="E122" s="5" t="inlineStr">
        <is>
          <t>Long</t>
        </is>
      </c>
      <c r="F122" s="5" t="n">
        <v>4512</v>
      </c>
      <c r="G122" s="5" t="n">
        <v>4506.4</v>
      </c>
      <c r="H122" s="5" t="n">
        <v>3</v>
      </c>
      <c r="I122" s="5" t="n">
        <v>4507.3</v>
      </c>
      <c r="J122" s="5" t="n">
        <v>4524.3</v>
      </c>
      <c r="K122" s="8">
        <f>IF(AND(I122&lt;&gt;"",J122&lt;&gt;"",F122&lt;&gt;""), (J122-F122)/(F122-I122), "")</f>
        <v/>
      </c>
      <c r="L122" s="8">
        <f>IF(AND(F122&lt;&gt;"",G122&lt;&gt;"",I122&lt;&gt;""), (G122-F122)/(F122-I122), "")</f>
        <v/>
      </c>
      <c r="M122" s="5">
        <f>IF(N122&gt;0,"Win",IF(N122&lt;0,"Loss",""))</f>
        <v/>
      </c>
      <c r="N122" s="16">
        <f>IF(AND(F122&lt;&gt;"",G122&lt;&gt;"",H122&lt;&gt;"",D122&lt;&gt;""), IF(E122="Long", (G122-F122)*H122*VLOOKUP(D122,Multipliers!A:B,2,FALSE), (F122-G122)*H122*VLOOKUP(D122,Multipliers!A:B,2,FALSE)), "")</f>
        <v/>
      </c>
      <c r="O122" s="9">
        <f>IF(AND(N122&lt;&gt;"",F122&lt;&gt;"",H122&lt;&gt;"",D122&lt;&gt;""), N122/(F122*H122*VLOOKUP(D122,Multipliers!A:B,2,FALSE)), "")</f>
        <v/>
      </c>
      <c r="P122" s="5">
        <f>P121+N122</f>
        <v/>
      </c>
      <c r="Q122" s="5" t="inlineStr">
        <is>
          <t>Break and Retest</t>
        </is>
      </c>
      <c r="R122" s="5" t="inlineStr">
        <is>
          <t>Imported from Tradovate</t>
        </is>
      </c>
      <c r="S122" s="5" t="inlineStr">
        <is>
          <t>MGC</t>
        </is>
      </c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>
        <v>130</v>
      </c>
      <c r="B123" s="22" t="n">
        <v>46268</v>
      </c>
      <c r="C123" s="10" t="n">
        <v>0.4224421296296296</v>
      </c>
      <c r="D123" s="5" t="inlineStr">
        <is>
          <t>MGC</t>
        </is>
      </c>
      <c r="E123" s="5" t="inlineStr">
        <is>
          <t>Long</t>
        </is>
      </c>
      <c r="F123" s="5" t="n">
        <v>4517.4</v>
      </c>
      <c r="G123" s="5" t="n">
        <v>4508.2</v>
      </c>
      <c r="H123" s="5" t="n">
        <v>2</v>
      </c>
      <c r="I123" s="5" t="n">
        <v>4508.3</v>
      </c>
      <c r="J123" s="5" t="n">
        <v>4518</v>
      </c>
      <c r="K123" s="8">
        <f>IF(AND(I123&lt;&gt;"",J123&lt;&gt;"",F123&lt;&gt;""), (J123-F123)/(F123-I123), "")</f>
        <v/>
      </c>
      <c r="L123" s="8">
        <f>IF(AND(F123&lt;&gt;"",G123&lt;&gt;"",I123&lt;&gt;""), (G123-F123)/(F123-I123), "")</f>
        <v/>
      </c>
      <c r="M123" s="5">
        <f>IF(N123&gt;0,"Win",IF(N123&lt;0,"Loss",""))</f>
        <v/>
      </c>
      <c r="N123" s="16">
        <f>IF(AND(F123&lt;&gt;"",G123&lt;&gt;"",H123&lt;&gt;"",D123&lt;&gt;""), IF(E123="Long", (G123-F123)*H123*VLOOKUP(D123,Multipliers!A:B,2,FALSE), (F123-G123)*H123*VLOOKUP(D123,Multipliers!A:B,2,FALSE)), "")</f>
        <v/>
      </c>
      <c r="O123" s="9">
        <f>IF(AND(N123&lt;&gt;"",F123&lt;&gt;"",H123&lt;&gt;"",D123&lt;&gt;""), N123/(F123*H123*VLOOKUP(D123,Multipliers!A:B,2,FALSE)), "")</f>
        <v/>
      </c>
      <c r="P123" s="5">
        <f>P122+N123</f>
        <v/>
      </c>
      <c r="Q123" s="5" t="inlineStr">
        <is>
          <t>Break and Retest</t>
        </is>
      </c>
      <c r="R123" s="5" t="inlineStr">
        <is>
          <t>Imported from Tradovate</t>
        </is>
      </c>
      <c r="S123" s="5" t="inlineStr">
        <is>
          <t>MGC</t>
        </is>
      </c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>
        <v>131</v>
      </c>
      <c r="B124" s="22" t="n">
        <v>46268</v>
      </c>
      <c r="C124" s="10" t="n">
        <v>0.4380555555555555</v>
      </c>
      <c r="D124" s="5" t="inlineStr">
        <is>
          <t>MNQ</t>
        </is>
      </c>
      <c r="E124" s="5" t="inlineStr">
        <is>
          <t>Short</t>
        </is>
      </c>
      <c r="F124" s="5" t="n">
        <v>29357</v>
      </c>
      <c r="G124" s="5" t="n">
        <v>29311.75</v>
      </c>
      <c r="H124" s="5" t="n">
        <v>3</v>
      </c>
      <c r="I124" s="5" t="n">
        <v>29376.25</v>
      </c>
      <c r="J124" s="5" t="n">
        <v>29311.75</v>
      </c>
      <c r="K124" s="8">
        <f>IF(AND(I124&lt;&gt;"",J124&lt;&gt;"",F124&lt;&gt;""), (J124-F124)/(F124-I124), "")</f>
        <v/>
      </c>
      <c r="L124" s="8">
        <f>IF(AND(F124&lt;&gt;"",G124&lt;&gt;"",I124&lt;&gt;""), (G124-F124)/(F124-I124), "")</f>
        <v/>
      </c>
      <c r="M124" s="5">
        <f>IF(N124&gt;0,"Win",IF(N124&lt;0,"Loss",""))</f>
        <v/>
      </c>
      <c r="N124" s="16">
        <f>IF(AND(F124&lt;&gt;"",G124&lt;&gt;"",H124&lt;&gt;"",D124&lt;&gt;""), IF(E124="Long", (G124-F124)*H124*VLOOKUP(D124,Multipliers!A:B,2,FALSE), (F124-G124)*H124*VLOOKUP(D124,Multipliers!A:B,2,FALSE)), "")</f>
        <v/>
      </c>
      <c r="O124" s="9">
        <f>IF(AND(N124&lt;&gt;"",F124&lt;&gt;"",H124&lt;&gt;"",D124&lt;&gt;""), N124/(F124*H124*VLOOKUP(D124,Multipliers!A:B,2,FALSE)), "")</f>
        <v/>
      </c>
      <c r="P124" s="5">
        <f>P123+N124</f>
        <v/>
      </c>
      <c r="Q124" s="5" t="inlineStr">
        <is>
          <t>Break and Retest</t>
        </is>
      </c>
      <c r="R124" s="5" t="inlineStr">
        <is>
          <t>Imported from Tradovate</t>
        </is>
      </c>
      <c r="S124" s="5" t="inlineStr">
        <is>
          <t>MNQ</t>
        </is>
      </c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>
        <v>132</v>
      </c>
      <c r="B125" s="22" t="n">
        <v>46268</v>
      </c>
      <c r="C125" s="10" t="n">
        <v>0.4851157407407408</v>
      </c>
      <c r="D125" s="5" t="inlineStr">
        <is>
          <t>MNQ</t>
        </is>
      </c>
      <c r="E125" s="5" t="inlineStr">
        <is>
          <t>Long</t>
        </is>
      </c>
      <c r="F125" s="5" t="n">
        <v>29513.25</v>
      </c>
      <c r="G125" s="5" t="n">
        <v>29514</v>
      </c>
      <c r="H125" s="5" t="n">
        <v>2</v>
      </c>
      <c r="I125" s="5" t="n">
        <v>29494.25</v>
      </c>
      <c r="J125" s="5" t="n">
        <v>29514</v>
      </c>
      <c r="K125" s="8">
        <f>IF(AND(I125&lt;&gt;"",J125&lt;&gt;"",F125&lt;&gt;""), (J125-F125)/(F125-I125), "")</f>
        <v/>
      </c>
      <c r="L125" s="8">
        <f>IF(AND(F125&lt;&gt;"",G125&lt;&gt;"",I125&lt;&gt;""), (G125-F125)/(F125-I125), "")</f>
        <v/>
      </c>
      <c r="M125" s="5">
        <f>IF(N125&gt;0,"Win",IF(N125&lt;0,"Loss",""))</f>
        <v/>
      </c>
      <c r="N125" s="16">
        <f>IF(AND(F125&lt;&gt;"",G125&lt;&gt;"",H125&lt;&gt;"",D125&lt;&gt;""), IF(E125="Long", (G125-F125)*H125*VLOOKUP(D125,Multipliers!A:B,2,FALSE), (F125-G125)*H125*VLOOKUP(D125,Multipliers!A:B,2,FALSE)), "")</f>
        <v/>
      </c>
      <c r="O125" s="9">
        <f>IF(AND(N125&lt;&gt;"",F125&lt;&gt;"",H125&lt;&gt;"",D125&lt;&gt;""), N125/(F125*H125*VLOOKUP(D125,Multipliers!A:B,2,FALSE)), "")</f>
        <v/>
      </c>
      <c r="P125" s="5">
        <f>P124+N125</f>
        <v/>
      </c>
      <c r="Q125" s="5" t="inlineStr">
        <is>
          <t>Break and Retest</t>
        </is>
      </c>
      <c r="R125" s="5" t="inlineStr">
        <is>
          <t>Imported from Tradovate</t>
        </is>
      </c>
      <c r="S125" s="5" t="inlineStr">
        <is>
          <t>MNQ</t>
        </is>
      </c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>
        <v>133</v>
      </c>
      <c r="B126" s="22" t="n">
        <v>46268</v>
      </c>
      <c r="C126" s="10" t="n">
        <v>0.4997106481481481</v>
      </c>
      <c r="D126" s="5" t="inlineStr">
        <is>
          <t>MGC</t>
        </is>
      </c>
      <c r="E126" s="5" t="inlineStr">
        <is>
          <t>Short</t>
        </is>
      </c>
      <c r="F126" s="5" t="n">
        <v>4538.1</v>
      </c>
      <c r="G126" s="5" t="n">
        <v>4542</v>
      </c>
      <c r="H126" s="5" t="n">
        <v>3</v>
      </c>
      <c r="I126" s="5" t="n">
        <v>4542.2</v>
      </c>
      <c r="J126" s="5" t="n">
        <v>4524.8</v>
      </c>
      <c r="K126" s="8">
        <f>IF(AND(I126&lt;&gt;"",J126&lt;&gt;"",F126&lt;&gt;""), (J126-F126)/(F126-I126), "")</f>
        <v/>
      </c>
      <c r="L126" s="8">
        <f>IF(AND(F126&lt;&gt;"",G126&lt;&gt;"",I126&lt;&gt;""), (G126-F126)/(F126-I126), "")</f>
        <v/>
      </c>
      <c r="M126" s="5">
        <f>IF(N126&gt;0,"Win",IF(N126&lt;0,"Loss",""))</f>
        <v/>
      </c>
      <c r="N126" s="16">
        <f>IF(AND(F126&lt;&gt;"",G126&lt;&gt;"",H126&lt;&gt;"",D126&lt;&gt;""), IF(E126="Long", (G126-F126)*H126*VLOOKUP(D126,Multipliers!A:B,2,FALSE), (F126-G126)*H126*VLOOKUP(D126,Multipliers!A:B,2,FALSE)), "")</f>
        <v/>
      </c>
      <c r="O126" s="9">
        <f>IF(AND(N126&lt;&gt;"",F126&lt;&gt;"",H126&lt;&gt;"",D126&lt;&gt;""), N126/(F126*H126*VLOOKUP(D126,Multipliers!A:B,2,FALSE)), "")</f>
        <v/>
      </c>
      <c r="P126" s="5">
        <f>P125+N126</f>
        <v/>
      </c>
      <c r="Q126" s="5" t="inlineStr">
        <is>
          <t>Break and Retest</t>
        </is>
      </c>
      <c r="R126" s="5" t="inlineStr">
        <is>
          <t>Imported from Tradovate</t>
        </is>
      </c>
      <c r="S126" s="5" t="inlineStr">
        <is>
          <t>MGC</t>
        </is>
      </c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>
        <v>134</v>
      </c>
      <c r="B127" s="22" t="n">
        <v>46268</v>
      </c>
      <c r="C127" s="10" t="n">
        <v>0.5813194444444445</v>
      </c>
      <c r="D127" s="5" t="inlineStr">
        <is>
          <t>MNQ</t>
        </is>
      </c>
      <c r="E127" s="5" t="inlineStr">
        <is>
          <t>Long</t>
        </is>
      </c>
      <c r="F127" s="5" t="n">
        <v>29565.25</v>
      </c>
      <c r="G127" s="5" t="n">
        <v>29576.5</v>
      </c>
      <c r="H127" s="5" t="n">
        <v>3</v>
      </c>
      <c r="I127" s="5" t="n">
        <v>29556.5</v>
      </c>
      <c r="J127" s="5" t="n">
        <v>29577.5</v>
      </c>
      <c r="K127" s="8">
        <f>IF(AND(I127&lt;&gt;"",J127&lt;&gt;"",F127&lt;&gt;""), (J127-F127)/(F127-I127), "")</f>
        <v/>
      </c>
      <c r="L127" s="8">
        <f>IF(AND(F127&lt;&gt;"",G127&lt;&gt;"",I127&lt;&gt;""), (G127-F127)/(F127-I127), "")</f>
        <v/>
      </c>
      <c r="M127" s="5">
        <f>IF(N127&gt;0,"Win",IF(N127&lt;0,"Loss",""))</f>
        <v/>
      </c>
      <c r="N127" s="16">
        <f>IF(AND(F127&lt;&gt;"",G127&lt;&gt;"",H127&lt;&gt;"",D127&lt;&gt;""), IF(E127="Long", (G127-F127)*H127*VLOOKUP(D127,Multipliers!A:B,2,FALSE), (F127-G127)*H127*VLOOKUP(D127,Multipliers!A:B,2,FALSE)), "")</f>
        <v/>
      </c>
      <c r="O127" s="5">
        <f>IF(AND(N127&lt;&gt;"",F127&lt;&gt;"",H127&lt;&gt;"",D127&lt;&gt;""), N127/(F127*H127*VLOOKUP(D127,Multipliers!A:B,2,FALSE)), "")</f>
        <v/>
      </c>
      <c r="P127" s="5">
        <f>P126+N127</f>
        <v/>
      </c>
      <c r="Q127" s="5" t="inlineStr">
        <is>
          <t>Break and Retest</t>
        </is>
      </c>
      <c r="R127" s="5" t="inlineStr">
        <is>
          <t>Imported from Tradovate</t>
        </is>
      </c>
      <c r="S127" s="5" t="inlineStr">
        <is>
          <t>MNQ</t>
        </is>
      </c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>
        <v>135</v>
      </c>
      <c r="B128" s="22" t="n">
        <v>46268</v>
      </c>
      <c r="C128" s="10" t="n">
        <v>0.6272222222222222</v>
      </c>
      <c r="D128" s="5" t="inlineStr">
        <is>
          <t>MGC</t>
        </is>
      </c>
      <c r="E128" s="5" t="inlineStr">
        <is>
          <t>Short</t>
        </is>
      </c>
      <c r="F128" s="5" t="n">
        <v>4522.3</v>
      </c>
      <c r="G128" s="5" t="n">
        <v>4527.2</v>
      </c>
      <c r="H128" s="5" t="n">
        <v>1</v>
      </c>
      <c r="I128" s="5" t="n">
        <v>4527.2</v>
      </c>
      <c r="J128" s="5" t="n">
        <v>4521.3</v>
      </c>
      <c r="K128" s="8">
        <f>IF(AND(I128&lt;&gt;"",J128&lt;&gt;"",F128&lt;&gt;""), (J128-F128)/(F128-I128), "")</f>
        <v/>
      </c>
      <c r="L128" s="8">
        <f>IF(AND(F128&lt;&gt;"",G128&lt;&gt;"",I128&lt;&gt;""), (G128-F128)/(F128-I128), "")</f>
        <v/>
      </c>
      <c r="M128" s="5">
        <f>IF(N128&gt;0,"Win",IF(N128&lt;0,"Loss",""))</f>
        <v/>
      </c>
      <c r="N128" s="16">
        <f>IF(AND(F128&lt;&gt;"",G128&lt;&gt;"",H128&lt;&gt;"",D128&lt;&gt;""), IF(E128="Long", (G128-F128)*H128*VLOOKUP(D128,Multipliers!A:B,2,FALSE), (F128-G128)*H128*VLOOKUP(D128,Multipliers!A:B,2,FALSE)), "")</f>
        <v/>
      </c>
      <c r="O128" s="5">
        <f>IF(AND(N128&lt;&gt;"",F128&lt;&gt;"",H128&lt;&gt;"",D128&lt;&gt;""), N128/(F128*H128*VLOOKUP(D128,Multipliers!A:B,2,FALSE)), "")</f>
        <v/>
      </c>
      <c r="P128" s="5">
        <f>P127+N128</f>
        <v/>
      </c>
      <c r="Q128" s="5" t="inlineStr">
        <is>
          <t>Break and Retest</t>
        </is>
      </c>
      <c r="R128" s="5" t="inlineStr">
        <is>
          <t>Imported from Tradovate</t>
        </is>
      </c>
      <c r="S128" s="5" t="inlineStr">
        <is>
          <t>MGC</t>
        </is>
      </c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>
        <v>136</v>
      </c>
      <c r="B129" s="22" t="n">
        <v>46268</v>
      </c>
      <c r="C129" s="10" t="n">
        <v>0.9261574074074074</v>
      </c>
      <c r="D129" s="5" t="inlineStr">
        <is>
          <t>MGC</t>
        </is>
      </c>
      <c r="E129" s="5" t="inlineStr">
        <is>
          <t>Long</t>
        </is>
      </c>
      <c r="F129" s="5" t="n">
        <v>4525.7</v>
      </c>
      <c r="G129" s="5" t="n">
        <v>4520.9</v>
      </c>
      <c r="H129" s="5" t="n">
        <v>1</v>
      </c>
      <c r="I129" s="5" t="n">
        <v>4520.9</v>
      </c>
      <c r="J129" s="5" t="n">
        <v>4537.9</v>
      </c>
      <c r="K129" s="8">
        <f>IF(AND(I129&lt;&gt;"",J129&lt;&gt;"",F129&lt;&gt;""), (J129-F129)/(F129-I129), "")</f>
        <v/>
      </c>
      <c r="L129" s="8">
        <f>IF(AND(F129&lt;&gt;"",G129&lt;&gt;"",I129&lt;&gt;""), (G129-F129)/(F129-I129), "")</f>
        <v/>
      </c>
      <c r="M129" s="5">
        <f>IF(N129&gt;0,"Win",IF(N129&lt;0,"Loss",""))</f>
        <v/>
      </c>
      <c r="N129" s="16">
        <f>IF(AND(F129&lt;&gt;"",G129&lt;&gt;"",H129&lt;&gt;"",D129&lt;&gt;""), IF(E129="Long", (G129-F129)*H129*VLOOKUP(D129,Multipliers!A:B,2,FALSE), (F129-G129)*H129*VLOOKUP(D129,Multipliers!A:B,2,FALSE)), "")</f>
        <v/>
      </c>
      <c r="O129" s="5">
        <f>IF(AND(N129&lt;&gt;"",F129&lt;&gt;"",H129&lt;&gt;"",D129&lt;&gt;""), N129/(F129*H129*VLOOKUP(D129,Multipliers!A:B,2,FALSE)), "")</f>
        <v/>
      </c>
      <c r="P129" s="5">
        <f>P128+N129</f>
        <v/>
      </c>
      <c r="Q129" s="5" t="inlineStr">
        <is>
          <t>Break and Retest</t>
        </is>
      </c>
      <c r="R129" s="5" t="inlineStr">
        <is>
          <t>Imported from Tradovate</t>
        </is>
      </c>
      <c r="S129" s="5" t="inlineStr">
        <is>
          <t>MGC</t>
        </is>
      </c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>
        <v>137</v>
      </c>
      <c r="B130" s="22" t="n">
        <v>46268</v>
      </c>
      <c r="C130" s="10" t="n">
        <v>0.9483680555555556</v>
      </c>
      <c r="D130" s="5" t="inlineStr">
        <is>
          <t>MGC</t>
        </is>
      </c>
      <c r="E130" s="5" t="inlineStr">
        <is>
          <t>Long</t>
        </is>
      </c>
      <c r="F130" s="5" t="n">
        <v>4518.4</v>
      </c>
      <c r="G130" s="5" t="n">
        <v>4522</v>
      </c>
      <c r="H130" s="5" t="n">
        <v>2</v>
      </c>
      <c r="I130" s="5" t="n">
        <v>4513.6</v>
      </c>
      <c r="J130" s="5" t="n">
        <v>4522</v>
      </c>
      <c r="K130" s="8">
        <f>IF(AND(I130&lt;&gt;"",J130&lt;&gt;"",F130&lt;&gt;""), (J130-F130)/(F130-I130), "")</f>
        <v/>
      </c>
      <c r="L130" s="8">
        <f>IF(AND(F130&lt;&gt;"",G130&lt;&gt;"",I130&lt;&gt;""), (G130-F130)/(F130-I130), "")</f>
        <v/>
      </c>
      <c r="M130" s="5">
        <f>IF(N130&gt;0,"Win",IF(N130&lt;0,"Loss",""))</f>
        <v/>
      </c>
      <c r="N130" s="16">
        <f>IF(AND(F130&lt;&gt;"",G130&lt;&gt;"",H130&lt;&gt;"",D130&lt;&gt;""), IF(E130="Long", (G130-F130)*H130*VLOOKUP(D130,Multipliers!A:B,2,FALSE), (F130-G130)*H130*VLOOKUP(D130,Multipliers!A:B,2,FALSE)), "")</f>
        <v/>
      </c>
      <c r="O130" s="5">
        <f>IF(AND(N130&lt;&gt;"",F130&lt;&gt;"",H130&lt;&gt;"",D130&lt;&gt;""), N130/(F130*H130*VLOOKUP(D130,Multipliers!A:B,2,FALSE)), "")</f>
        <v/>
      </c>
      <c r="P130" s="5">
        <f>P129+N130</f>
        <v/>
      </c>
      <c r="Q130" s="5" t="inlineStr">
        <is>
          <t>Break and Retest</t>
        </is>
      </c>
      <c r="R130" s="5" t="inlineStr">
        <is>
          <t>Imported from Tradovate</t>
        </is>
      </c>
      <c r="S130" s="5" t="inlineStr">
        <is>
          <t>MGC</t>
        </is>
      </c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  <row r="113">
      <c r="A113" t="inlineStr">
        <is>
          <t>2026-09-01</t>
        </is>
      </c>
      <c r="B113" t="inlineStr">
        <is>
          <t>22:52</t>
        </is>
      </c>
      <c r="C113" t="inlineStr">
        <is>
          <t>MGC</t>
        </is>
      </c>
      <c r="D113" t="inlineStr">
        <is>
          <t>Short</t>
        </is>
      </c>
      <c r="E113" t="n">
        <v>204</v>
      </c>
      <c r="F113" t="inlineStr">
        <is>
          <t>down</t>
        </is>
      </c>
      <c r="G113" t="inlineStr">
        <is>
          <t>down</t>
        </is>
      </c>
      <c r="H113" t="inlineStr">
        <is>
          <t>down</t>
        </is>
      </c>
      <c r="I113" t="inlineStr">
        <is>
          <t>down</t>
        </is>
      </c>
      <c r="J113" t="n">
        <v>46.3</v>
      </c>
      <c r="K113" t="inlineStr">
        <is>
          <t>bear</t>
        </is>
      </c>
      <c r="L113" t="inlineStr">
        <is>
          <t>+</t>
        </is>
      </c>
      <c r="M113" t="n">
        <v>21.5</v>
      </c>
      <c r="N113" t="n">
        <v>7.25</v>
      </c>
      <c r="O113" t="n">
        <v>4387.31</v>
      </c>
      <c r="P113" t="inlineStr">
        <is>
          <t>below</t>
        </is>
      </c>
      <c r="Q113" t="n">
        <v>4409.61</v>
      </c>
      <c r="R113" t="n">
        <v>1.05</v>
      </c>
      <c r="S113" t="n">
        <v>-2106</v>
      </c>
      <c r="T113" t="n">
        <v>36</v>
      </c>
      <c r="U113" t="inlineStr">
        <is>
          <t>shallow</t>
        </is>
      </c>
      <c r="V113" t="inlineStr">
        <is>
          <t>Good</t>
        </is>
      </c>
      <c r="W113" t="n">
        <v>2</v>
      </c>
      <c r="X113" t="inlineStr">
        <is>
          <t>Round</t>
        </is>
      </c>
      <c r="Y113" t="inlineStr">
        <is>
          <t>bearish engulfing</t>
        </is>
      </c>
      <c r="Z113" t="n">
        <v>0.39</v>
      </c>
      <c r="AA113" t="inlineStr">
        <is>
          <t>Yes</t>
        </is>
      </c>
      <c r="AB11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23:18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 rate</t>
        </is>
      </c>
      <c r="B5" t="inlineStr">
        <is>
          <t>56.2%</t>
        </is>
      </c>
    </row>
    <row r="6">
      <c r="A6" t="inlineStr">
        <is>
          <t>Total P&amp;L</t>
        </is>
      </c>
      <c r="B6" t="n">
        <v>3213</v>
      </c>
    </row>
    <row r="7">
      <c r="A7" t="inlineStr">
        <is>
          <t>Profit factor</t>
        </is>
      </c>
      <c r="B7" t="n">
        <v>1.37</v>
      </c>
    </row>
    <row r="8">
      <c r="A8" t="inlineStr">
        <is>
          <t>Expectancy / trade</t>
        </is>
      </c>
      <c r="B8" t="n">
        <v>28.69</v>
      </c>
    </row>
    <row r="9">
      <c r="A9" t="inlineStr">
        <is>
          <t>Avg win</t>
        </is>
      </c>
      <c r="B9" t="n">
        <v>190.37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1.95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107</v>
      </c>
      <c r="C19" t="inlineStr">
        <is>
          <t>55%</t>
        </is>
      </c>
      <c r="D19" t="n">
        <v>2754</v>
      </c>
      <c r="E19" t="n">
        <v>25.74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63</v>
      </c>
      <c r="C27" t="inlineStr">
        <is>
          <t>59%</t>
        </is>
      </c>
      <c r="D27" t="n">
        <v>2221</v>
      </c>
      <c r="E27" t="n">
        <v>35.25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56</v>
      </c>
      <c r="C33" t="inlineStr">
        <is>
          <t>61%</t>
        </is>
      </c>
      <c r="D33" t="n">
        <v>156.5</v>
      </c>
      <c r="E33" t="n">
        <v>2.79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10</v>
      </c>
      <c r="C50" t="inlineStr">
        <is>
          <t>30%</t>
        </is>
      </c>
      <c r="D50" t="n">
        <v>1788</v>
      </c>
      <c r="E50" t="n">
        <v>178.8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30</v>
      </c>
      <c r="C58" t="inlineStr">
        <is>
          <t>57%</t>
        </is>
      </c>
      <c r="D58" t="n">
        <v>501</v>
      </c>
      <c r="E58" t="n">
        <v>16.7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9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1.08)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Bottom line</t>
        </is>
      </c>
    </row>
    <row r="4">
      <c r="A4" s="14" t="inlineStr"/>
    </row>
    <row r="5">
      <c r="A5" s="14" t="inlineStr">
        <is>
          <t>You're net profitable (+$3,213 over 112 trades, PF 1.37, expectancy $28.70/trade), but the edge is thin and it's being taxed by execution discipline, not setup selection. The single biggest structural problem: you target **1.95R** but realize **0.48R** on average — you're capturing roughly a quarter of the reward you're actually risking for. Fix that gap before anything else; it dwarfs every other leak in this data.</t>
        </is>
      </c>
    </row>
    <row r="6">
      <c r="A6" s="14" t="inlineStr"/>
    </row>
    <row r="7">
      <c r="A7" s="14" t="inlineStr">
        <is>
          <t>## What's actually working — press it</t>
        </is>
      </c>
    </row>
    <row r="8">
      <c r="A8" s="14" t="inlineStr"/>
    </row>
    <row r="9">
      <c r="A9" s="14" t="inlineStr">
        <is>
          <t>- **"Pullback grade: Good"** (n=36, 69% win, expectancy **$148**, total **$5,340**) is your best filter by far. This should be a hard entry criterion, not a nice-to-have.</t>
        </is>
      </c>
    </row>
    <row r="10">
      <c r="A10" s="14" t="inlineStr">
        <is>
          <t>- **"Entered at a key level"** (n=80, expectancy $65, total $5,183) vs. **"Not at a key level"** (n=32, expectancy **‑$62**, total **‑$1,970**) — this is a clean, large-sample split. Key-level entries are carrying the account; off-level entries are bleeding it.</t>
        </is>
      </c>
    </row>
    <row r="11">
      <c r="A11" s="14" t="inlineStr">
        <is>
          <t>- **With the 1H trend** ($56 expectancy, $3,877 total) vs. **against/unclear 1H trend** (‑$15 expectancy, ‑$664 total), and **ADX ≥25 trending** ($70 expectancy) vs. **ADX &lt;20 chop** (‑$33 expectancy, ‑$1,350 total) — you have a real edge trading with higher-timeframe trend in trending conditions, and a real leak fading into chop.</t>
        </is>
      </c>
    </row>
    <row r="12">
      <c r="A12" s="14" t="inlineStr">
        <is>
          <t>- MGC is outperforming MNQ (expectancy $35 vs $20) and is worth the larger allocation you're already giving it (63 vs 49 trades).</t>
        </is>
      </c>
    </row>
    <row r="13">
      <c r="A13" s="14" t="inlineStr">
        <is>
          <t>- Note: "Supertrends aligned" and "right side of VWAP" show flat-to-slightly-negative expectancy in your data — don't lean on those two as filters, they're not adding anything for you right now.</t>
        </is>
      </c>
    </row>
    <row r="14">
      <c r="A14" s="14" t="inlineStr"/>
    </row>
    <row r="15">
      <c r="A15" s="14" t="inlineStr">
        <is>
          <t>## What's costing you — ranked by dollars</t>
        </is>
      </c>
    </row>
    <row r="16">
      <c r="A16" s="14" t="inlineStr"/>
    </row>
    <row r="17">
      <c r="A17" s="14" t="inlineStr">
        <is>
          <t>1. **19:00 hour: ‑$1,471 across 7 trades** (57% win rate but net deeply negative — a few large losers are wiping out the wins). This is your worst single time block by a wide margin. Before anything else, figure out what you're doing differently at 19:00 and consider a hard no-trade rule there until you do.</t>
        </is>
      </c>
    </row>
    <row r="18">
      <c r="A18" s="14" t="inlineStr">
        <is>
          <t>2. **Exit discipline gap (0.48R realized vs 1.95R targeted).** The flags confirm both sides of this: "winner cut short" (e.g., MGC 08/27 took 0.11R of a 2.44R target) and "stop overrun" (two trades finishing worse than ‑1R, meaning stops moved or got blown through). You're capping upside and not capping downside — the worst combination.</t>
        </is>
      </c>
    </row>
    <row r="19">
      <c r="A19" s="14" t="inlineStr">
        <is>
          <t>3. **Trading against your own entry checklist.** "Weak pullback grade" (‑$2,164 total, n=56 — half your trades), "not at a key level" (‑$1,970), and "candle against trade" (‑$1,848, only 38% win rate) are your three biggest raw dollar drags. These aren't small samples or noise — they're half your trade log telling you the same thing: when the setup isn't clean, you still take it.</t>
        </is>
      </c>
    </row>
    <row r="20">
      <c r="A20" s="14" t="inlineStr">
        <is>
          <t>4. **Shorts are underperforming longs badly**: shorts win more often (61% vs 52%) but produce almost nothing (expectancy $2.79 vs $54.58 for longs, $156 vs $3,056 total). You're likely taking profit too early or letting losers run further on the short side — worth reviewing your short trade management specifically, not your short trade selection.</t>
        </is>
      </c>
    </row>
    <row r="21">
      <c r="A21" s="14" t="inlineStr">
        <is>
          <t>5. **Monday is your only clearly losing day** (‑$387, 42% win rate) against strongly positive Thu/Fri/Sun (all &gt;63% win rate). Tuesday is your highest-volume day (30 trades) but weakest positive edge relative to Thu/Fri/Sun — you may be over-trading Tuesday out of habit rather than opportunity.</t>
        </is>
      </c>
    </row>
    <row r="22">
      <c r="A22" s="14" t="inlineStr"/>
    </row>
    <row r="23">
      <c r="A23" s="14" t="inlineStr">
        <is>
          <t>## The dangerous pattern: overtrading → revenge → oversizing, stacked on the same days</t>
        </is>
      </c>
    </row>
    <row r="24">
      <c r="A24" s="14" t="inlineStr"/>
    </row>
    <row r="25">
      <c r="A25" s="14" t="inlineStr">
        <is>
          <t>08/11, 08/12, 08/26, 08/31, and today (09/01) all show &gt;6 trades with clustered revenge entries. The clearest example is **08/31**: both MGC and MNQ printed near-doji days (body 2% and 10% of range — textbook chop/ADX&lt;20 conditions, exactly where your data says you lose money), yet you took **17 trades**, your highest-volume day in the set, with five separate revenge-trade flags. Net result for that day, walking through the trade log, is negative.</t>
        </is>
      </c>
    </row>
    <row r="26">
      <c r="A26" s="14" t="inlineStr"/>
    </row>
    <row r="27">
      <c r="A27" s="14" t="inlineStr">
        <is>
          <t>Even more concerning: on **08/11** you took a revenge short at size 10 four minutes after a loss, then a revenge short at size 20 eleven minutes after another loss — in an instrument (MGC) where your normal size is 1–6 contracts. Position size CV is 1.08 (very high dispersion), and while the "Oversized" tag currently shows positive expectancy ($116) — meaning size-ups haven't hurt you yet — that's variance, not skill, and it's exactly the kind of pattern that produces a $1,310 max single loss and a $1,750 drawdown. It hasn't blown you up yet. It will eventually, because size is scaling *up* right when your emotional control is scaling *down*.</t>
        </is>
      </c>
    </row>
    <row r="28">
      <c r="A28" s="14" t="inlineStr"/>
    </row>
    <row r="29">
      <c r="A29" s="14" t="inlineStr">
        <is>
          <t>I checked the news calendar — the revenge-trade timestamps (mostly evening/overnight) don't line up with the high-impact release times (CPI, PPI, FOMC Minutes, PCE, Payrolls all hit 08:30–10:00 ET), so this isn't a news-reaction problem. It's a self-discipline problem on chop days.</t>
        </is>
      </c>
    </row>
    <row r="30">
      <c r="A30" s="14" t="inlineStr"/>
    </row>
    <row r="31">
      <c r="A31" s="14" t="inlineStr">
        <is>
          <t>## Concrete rules for next week</t>
        </is>
      </c>
    </row>
    <row r="32">
      <c r="A32" s="14" t="inlineStr"/>
    </row>
    <row r="33">
      <c r="A33" s="14" t="inlineStr">
        <is>
          <t>1. **Hard stop at 6 trades/day.** You've already flagged this threshold yourself; enforce it mechanically.</t>
        </is>
      </c>
    </row>
    <row r="34">
      <c r="A34" s="14" t="inlineStr">
        <is>
          <t>2. **No new position within 15 minutes of a loss, full stop** — this alone would have prevented most of the flagged revenge trades.</t>
        </is>
      </c>
    </row>
    <row r="35">
      <c r="A35" s="14" t="inlineStr">
        <is>
          <t>3. **Size cap: never exceed your median size (looks like ~3 contracts on MGC, ~3-5 on MNQ) after a loss.** If anything, cut size in half post-loss until you've had a winner.</t>
        </is>
      </c>
    </row>
    <row r="36">
      <c r="A36" s="14" t="inlineStr">
        <is>
          <t>4. **Pre-trade checklist gate**: only take the trade if pullback grade is Good/A+, price is at a key level, and you're with the 1H trend. If two of those three are missing, skip it — that's exactly the combination separating your winners from your losers in this data.</t>
        </is>
      </c>
    </row>
    <row r="37">
      <c r="A37" s="14" t="inlineStr">
        <is>
          <t>5. **Investigate 19:00 specifically** — pull those 7 trades and figure out what's different (fatigue, low liquidity, a specific setup that doesn't work there). Until you know, don't trade that hour.</t>
        </is>
      </c>
    </row>
    <row r="38">
      <c r="A38" s="14" t="inlineStr">
        <is>
          <t>6. **Manage winners to your stated 1.95R target, or at least to 1R, before touching the stop.** Whatever your current "take profit" impulse is, add friction to it — a 2-minute rule before closing a winner, or move to breakeven and let it run rather than manually closing early.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2026-09-04T03:22:15Z</dcterms:modified>
  <cp:lastModifiedBy>Abdul Basit</cp:lastModifiedBy>
</cp:coreProperties>
</file>