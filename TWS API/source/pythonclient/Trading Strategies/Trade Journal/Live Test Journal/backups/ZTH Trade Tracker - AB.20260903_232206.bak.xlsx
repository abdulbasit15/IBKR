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xmlns:r="http://schemas.openxmlformats.org/officeDocument/2006/relationships" name="Trade Tracker - Eval" sheetId="1" state="visible" r:id="rId1"/>
    <sheet xmlns:r="http://schemas.openxmlformats.org/officeDocument/2006/relationships" name="Multipliers" sheetId="2" state="visible" r:id="rId2"/>
    <sheet xmlns:r="http://schemas.openxmlformats.org/officeDocument/2006/relationships" name="Tag Options" sheetId="3" state="visible" r:id="rId3"/>
    <sheet xmlns:r="http://schemas.openxmlformats.org/officeDocument/2006/relationships" name="Trading Rules" sheetId="4" state="visible" r:id="rId4"/>
    <sheet xmlns:r="http://schemas.openxmlformats.org/officeDocument/2006/relationships" name="Indicators" sheetId="5" state="visible" r:id="rId5"/>
    <sheet xmlns:r="http://schemas.openxmlformats.org/officeDocument/2006/relationships" name="Economic News" sheetId="6" state="visible" r:id="rId6"/>
    <sheet xmlns:r="http://schemas.openxmlformats.org/officeDocument/2006/relationships" name="Analysis" sheetId="7" state="visible" r:id="rId7"/>
    <sheet xmlns:r="http://schemas.openxmlformats.org/officeDocument/2006/relationships" name="AI Suggestion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4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111827"/>
      <sz val="13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6B7280"/>
      <sz val="11"/>
    </font>
    <font>
      <b val="1"/>
      <color rgb="00FFFFFF"/>
    </font>
    <font>
      <b val="1"/>
      <color rgb="00111827"/>
      <sz val="13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10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1" fillId="6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x/soX7jXbm/" TargetMode="External" Id="rId1"/><Relationship Type="http://schemas.openxmlformats.org/officeDocument/2006/relationships/hyperlink" Target="https://www.tradingview.com/x/Hz1BKRjK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8"/>
  <sheetViews>
    <sheetView workbookViewId="0">
      <pane ySplit="1" topLeftCell="A28" activePane="bottomLeft" state="frozen"/>
      <selection pane="bottomLeft" activeCell="N47" sqref="N47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inlineStr">
        <is>
          <t xml:space="preserve">ZTH </t>
        </is>
      </c>
      <c r="B1" s="2" t="inlineStr">
        <is>
          <t>Date</t>
        </is>
      </c>
      <c r="C1" s="2" t="inlineStr">
        <is>
          <t>Time</t>
        </is>
      </c>
      <c r="D1" s="2" t="inlineStr">
        <is>
          <t>Asset Traded</t>
        </is>
      </c>
      <c r="E1" s="2" t="inlineStr">
        <is>
          <t>Direction</t>
        </is>
      </c>
      <c r="F1" s="2" t="inlineStr">
        <is>
          <t>Entry Price</t>
        </is>
      </c>
      <c r="G1" s="2" t="inlineStr">
        <is>
          <t>Exit Price</t>
        </is>
      </c>
      <c r="H1" s="2" t="inlineStr">
        <is>
          <t>Position Size</t>
        </is>
      </c>
      <c r="I1" s="2" t="inlineStr">
        <is>
          <t>Stop Loss</t>
        </is>
      </c>
      <c r="J1" s="2" t="inlineStr">
        <is>
          <t>Take Profit</t>
        </is>
      </c>
      <c r="K1" s="4" t="inlineStr">
        <is>
          <t>RR Targeted</t>
        </is>
      </c>
      <c r="L1" s="4" t="inlineStr">
        <is>
          <t>RR Realized</t>
        </is>
      </c>
      <c r="M1" s="2" t="inlineStr">
        <is>
          <t>Win/Loss</t>
        </is>
      </c>
      <c r="N1" s="15" t="inlineStr">
        <is>
          <t>P&amp;L Amount</t>
        </is>
      </c>
      <c r="O1" s="2" t="inlineStr">
        <is>
          <t>P&amp;L %</t>
        </is>
      </c>
      <c r="P1" s="2" t="inlineStr">
        <is>
          <t>Cumulative P&amp;L</t>
        </is>
      </c>
      <c r="Q1" s="2" t="inlineStr">
        <is>
          <t>Trade Setup</t>
        </is>
      </c>
      <c r="R1" s="2" t="inlineStr">
        <is>
          <t>Notes</t>
        </is>
      </c>
      <c r="S1" s="2" t="inlineStr">
        <is>
          <t>Intrument Level</t>
        </is>
      </c>
      <c r="T1" s="2" t="inlineStr">
        <is>
          <t>Level Screenshot</t>
        </is>
      </c>
      <c r="U1" s="2" t="inlineStr">
        <is>
          <t>Trade Screenshot</t>
        </is>
      </c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7</v>
      </c>
      <c r="B2" s="6" t="n">
        <v>46251</v>
      </c>
      <c r="C2" s="10" t="n">
        <v>0.4131944444444444</v>
      </c>
      <c r="D2" s="5" t="inlineStr">
        <is>
          <t>MNQ</t>
        </is>
      </c>
      <c r="E2" s="5" t="inlineStr">
        <is>
          <t>Long</t>
        </is>
      </c>
      <c r="F2" s="7" t="n">
        <v>30240.75</v>
      </c>
      <c r="G2" s="7" t="n">
        <v>30220</v>
      </c>
      <c r="H2" s="5" t="n">
        <v>3</v>
      </c>
      <c r="I2" s="7" t="n">
        <v>30220.75</v>
      </c>
      <c r="J2" s="7" t="n">
        <v>30280.75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n"/>
      <c r="S2" s="5" t="inlineStr">
        <is>
          <t>MNQ</t>
        </is>
      </c>
      <c r="T2" s="5" t="inlineStr">
        <is>
          <t>https://www.tradingview.com/x/ygjyjXNE/</t>
        </is>
      </c>
      <c r="U2" s="5" t="inlineStr">
        <is>
          <t>https://www.tradingview.com/x/pqKL41ZW/</t>
        </is>
      </c>
      <c r="V2" s="5" t="inlineStr">
        <is>
          <t>Cut winner early, 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8</v>
      </c>
      <c r="B3" s="6" t="n">
        <v>46251</v>
      </c>
      <c r="C3" s="10" t="n">
        <v>0.4229166666666667</v>
      </c>
      <c r="D3" s="5" t="inlineStr">
        <is>
          <t>MGC</t>
        </is>
      </c>
      <c r="E3" s="5" t="inlineStr">
        <is>
          <t>Long</t>
        </is>
      </c>
      <c r="F3" s="7" t="n">
        <v>4461.4</v>
      </c>
      <c r="G3" s="7" t="n">
        <v>4473.4</v>
      </c>
      <c r="H3" s="5" t="n">
        <v>2</v>
      </c>
      <c r="I3" s="7" t="n">
        <v>4455.4</v>
      </c>
      <c r="J3" s="7" t="n">
        <v>4473.4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n"/>
      <c r="S3" s="5" t="inlineStr">
        <is>
          <t>MGC</t>
        </is>
      </c>
      <c r="T3" s="12" t="inlineStr">
        <is>
          <t>https://www.tradingview.com/x/soX7jXbm/</t>
        </is>
      </c>
      <c r="U3" s="12" t="inlineStr">
        <is>
          <t xml:space="preserve">https://www.tradingview.com/x/Hz1BKRjK/ </t>
        </is>
      </c>
      <c r="V3" s="5" t="inlineStr">
        <is>
          <t>Oversized, 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9</v>
      </c>
      <c r="B4" s="6" t="n">
        <v>46251</v>
      </c>
      <c r="C4" s="10" t="n">
        <v>0.49375</v>
      </c>
      <c r="D4" s="5" t="inlineStr">
        <is>
          <t>MNQ</t>
        </is>
      </c>
      <c r="E4" s="5" t="inlineStr">
        <is>
          <t>Short</t>
        </is>
      </c>
      <c r="F4" s="7" t="n">
        <v>30237.75</v>
      </c>
      <c r="G4" s="7" t="n">
        <v>30221.5</v>
      </c>
      <c r="H4" s="5" t="n">
        <v>3</v>
      </c>
      <c r="I4" s="7" t="n">
        <v>30257.75</v>
      </c>
      <c r="J4" s="7" t="n">
        <v>30221.5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n"/>
      <c r="S4" s="5" t="inlineStr">
        <is>
          <t>MNQ</t>
        </is>
      </c>
      <c r="T4" s="5" t="n"/>
      <c r="U4" s="5" t="inlineStr">
        <is>
          <t>https://www.tradingview.com/x/pqKL41ZW/</t>
        </is>
      </c>
      <c r="V4" s="5" t="inlineStr">
        <is>
          <t>Oversized,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10</v>
      </c>
      <c r="B5" s="13" t="n">
        <v>46245</v>
      </c>
      <c r="C5" s="10" t="n">
        <v>0.8108217592592593</v>
      </c>
      <c r="D5" s="5" t="inlineStr">
        <is>
          <t>MGC</t>
        </is>
      </c>
      <c r="E5" s="5" t="inlineStr">
        <is>
          <t>Long</t>
        </is>
      </c>
      <c r="F5" s="7" t="n">
        <v>4429.1</v>
      </c>
      <c r="G5" s="7" t="n">
        <v>4430.1</v>
      </c>
      <c r="H5" s="5" t="n">
        <v>3</v>
      </c>
      <c r="I5" s="7" t="n">
        <v>4423.4</v>
      </c>
      <c r="J5" s="7" t="n">
        <v>4431.5</v>
      </c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MGC</t>
        </is>
      </c>
      <c r="T5" s="5" t="n"/>
      <c r="U5" s="5" t="n"/>
      <c r="V5" s="5" t="inlineStr">
        <is>
          <t>Oversized, Revenge trade, 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11</v>
      </c>
      <c r="B6" s="13" t="n">
        <v>46245</v>
      </c>
      <c r="C6" s="10" t="n">
        <v>0.8119444444444445</v>
      </c>
      <c r="D6" s="5" t="inlineStr">
        <is>
          <t>MGC</t>
        </is>
      </c>
      <c r="E6" s="5" t="inlineStr">
        <is>
          <t>Short</t>
        </is>
      </c>
      <c r="F6" s="7" t="n">
        <v>4431.6</v>
      </c>
      <c r="G6" s="7" t="n">
        <v>4430.5</v>
      </c>
      <c r="H6" s="5" t="n">
        <v>10</v>
      </c>
      <c r="I6" s="7" t="n"/>
      <c r="J6" s="7" t="n">
        <v>4430.5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MGC</t>
        </is>
      </c>
      <c r="T6" s="5" t="n"/>
      <c r="U6" s="5" t="n"/>
      <c r="V6" s="5" t="inlineStr">
        <is>
          <t>Oversized, 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12</v>
      </c>
      <c r="B7" s="13" t="n">
        <v>46245</v>
      </c>
      <c r="C7" s="10" t="n">
        <v>0.8128356481481481</v>
      </c>
      <c r="D7" s="5" t="inlineStr">
        <is>
          <t>MGC</t>
        </is>
      </c>
      <c r="E7" s="5" t="inlineStr">
        <is>
          <t>Long</t>
        </is>
      </c>
      <c r="F7" s="7" t="n">
        <v>4430.6</v>
      </c>
      <c r="G7" s="7" t="n">
        <v>4426.2</v>
      </c>
      <c r="H7" s="5" t="n">
        <v>10</v>
      </c>
      <c r="I7" s="7" t="n">
        <v>4423.4</v>
      </c>
      <c r="J7" s="7" t="n">
        <v>4431.5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MGC</t>
        </is>
      </c>
      <c r="T7" s="5" t="n"/>
      <c r="U7" s="5" t="n"/>
      <c r="V7" s="5" t="inlineStr">
        <is>
          <t>Oversized, 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13</v>
      </c>
      <c r="B8" s="13" t="n">
        <v>46245</v>
      </c>
      <c r="C8" s="10" t="n">
        <v>0.8156481481481481</v>
      </c>
      <c r="D8" s="5" t="inlineStr">
        <is>
          <t>MGC</t>
        </is>
      </c>
      <c r="E8" s="5" t="inlineStr">
        <is>
          <t>Short</t>
        </is>
      </c>
      <c r="F8" s="7" t="n">
        <v>4427</v>
      </c>
      <c r="G8" s="7" t="n">
        <v>4440.1</v>
      </c>
      <c r="H8" s="5" t="n">
        <v>10</v>
      </c>
      <c r="I8" s="7" t="n"/>
      <c r="J8" s="7" t="n">
        <v>4426.8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Oversized, 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14</v>
      </c>
      <c r="B9" s="13" t="n">
        <v>46245</v>
      </c>
      <c r="C9" s="10" t="n">
        <v>0.8551736111111111</v>
      </c>
      <c r="D9" s="5" t="inlineStr">
        <is>
          <t>MGC</t>
        </is>
      </c>
      <c r="E9" s="5" t="inlineStr">
        <is>
          <t>Long</t>
        </is>
      </c>
      <c r="F9" s="7" t="n">
        <v>4440.1</v>
      </c>
      <c r="G9" s="7" t="n">
        <v>4443.8</v>
      </c>
      <c r="H9" s="5" t="n">
        <v>10</v>
      </c>
      <c r="I9" s="7" t="n"/>
      <c r="J9" s="7" t="n">
        <v>4443.8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MGC</t>
        </is>
      </c>
      <c r="T9" s="5" t="n"/>
      <c r="U9" s="5" t="n"/>
      <c r="V9" s="5" t="inlineStr">
        <is>
          <t>Oversized,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15</v>
      </c>
      <c r="B10" s="13" t="n">
        <v>46245</v>
      </c>
      <c r="C10" s="10" t="n">
        <v>0.8861574074074074</v>
      </c>
      <c r="D10" s="5" t="inlineStr">
        <is>
          <t>MGC</t>
        </is>
      </c>
      <c r="E10" s="5" t="inlineStr">
        <is>
          <t>Long</t>
        </is>
      </c>
      <c r="F10" s="7" t="n">
        <v>4457.166667</v>
      </c>
      <c r="G10" s="7" t="n">
        <v>4457.8</v>
      </c>
      <c r="H10" s="5" t="n">
        <v>30</v>
      </c>
      <c r="I10" s="7" t="n"/>
      <c r="J10" s="7" t="n">
        <v>4472.1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MGC</t>
        </is>
      </c>
      <c r="T10" s="5" t="n"/>
      <c r="U10" s="5" t="n"/>
      <c r="V10" s="5" t="inlineStr">
        <is>
          <t>Oversized,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16</v>
      </c>
      <c r="B11" s="13" t="n">
        <v>46245</v>
      </c>
      <c r="C11" s="10" t="n">
        <v>0.9446412037037037</v>
      </c>
      <c r="D11" s="5" t="inlineStr">
        <is>
          <t>MGC</t>
        </is>
      </c>
      <c r="E11" s="5" t="inlineStr">
        <is>
          <t>Long</t>
        </is>
      </c>
      <c r="F11" s="7" t="n">
        <v>4461.8</v>
      </c>
      <c r="G11" s="7" t="n">
        <v>4469</v>
      </c>
      <c r="H11" s="5" t="n">
        <v>30</v>
      </c>
      <c r="I11" s="7" t="n"/>
      <c r="J11" s="7" t="n">
        <v>4474.1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MGC</t>
        </is>
      </c>
      <c r="T11" s="5" t="n"/>
      <c r="U11" s="5" t="n"/>
      <c r="V11" s="5" t="inlineStr">
        <is>
          <t>Oversized, 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17</v>
      </c>
      <c r="B12" s="13" t="n">
        <v>46245</v>
      </c>
      <c r="C12" s="10" t="n">
        <v>0.9586574074074075</v>
      </c>
      <c r="D12" s="5" t="inlineStr">
        <is>
          <t>MGC</t>
        </is>
      </c>
      <c r="E12" s="5" t="inlineStr">
        <is>
          <t>Long</t>
        </is>
      </c>
      <c r="F12" s="7" t="n">
        <v>4472.3</v>
      </c>
      <c r="G12" s="7" t="n">
        <v>4470.9</v>
      </c>
      <c r="H12" s="5" t="n">
        <v>20</v>
      </c>
      <c r="I12" s="7" t="n"/>
      <c r="J12" s="7" t="n">
        <v>4475.9</v>
      </c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MGC</t>
        </is>
      </c>
      <c r="T12" s="5" t="n"/>
      <c r="U12" s="5" t="n"/>
      <c r="V12" s="5" t="inlineStr">
        <is>
          <t>Oversized, 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18</v>
      </c>
      <c r="B13" s="13" t="n">
        <v>46245</v>
      </c>
      <c r="C13" s="10" t="n">
        <v>0.9666550925925926</v>
      </c>
      <c r="D13" s="5" t="inlineStr">
        <is>
          <t>MGC</t>
        </is>
      </c>
      <c r="E13" s="5" t="inlineStr">
        <is>
          <t>Long</t>
        </is>
      </c>
      <c r="F13" s="7" t="n">
        <v>4473.9</v>
      </c>
      <c r="G13" s="7" t="n">
        <v>4464.8</v>
      </c>
      <c r="H13" s="5" t="n">
        <v>10</v>
      </c>
      <c r="I13" s="7" t="n"/>
      <c r="J13" s="7" t="n"/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MGC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19</v>
      </c>
      <c r="B14" s="13" t="n">
        <v>46245</v>
      </c>
      <c r="C14" s="10" t="n">
        <v>0.9762615740740741</v>
      </c>
      <c r="D14" s="5" t="inlineStr">
        <is>
          <t>MGC</t>
        </is>
      </c>
      <c r="E14" s="5" t="inlineStr">
        <is>
          <t>Long</t>
        </is>
      </c>
      <c r="F14" s="7" t="n">
        <v>4467.3</v>
      </c>
      <c r="G14" s="7" t="n">
        <v>4465.9</v>
      </c>
      <c r="H14" s="5" t="n">
        <v>10</v>
      </c>
      <c r="I14" s="7" t="n"/>
      <c r="J14" s="7" t="n"/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MGC</t>
        </is>
      </c>
      <c r="T14" s="5" t="n"/>
      <c r="U14" s="5" t="n"/>
      <c r="V14" s="5" t="inlineStr">
        <is>
          <t>Oversized, 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20</v>
      </c>
      <c r="B15" s="13" t="n">
        <v>46245</v>
      </c>
      <c r="C15" s="10" t="n">
        <v>0.9837037037037037</v>
      </c>
      <c r="D15" s="5" t="inlineStr">
        <is>
          <t>MGC</t>
        </is>
      </c>
      <c r="E15" s="5" t="inlineStr">
        <is>
          <t>Short</t>
        </is>
      </c>
      <c r="F15" s="7" t="n">
        <v>4461.05</v>
      </c>
      <c r="G15" s="7" t="n">
        <v>4458.6</v>
      </c>
      <c r="H15" s="5" t="n">
        <v>20</v>
      </c>
      <c r="I15" s="7" t="n"/>
      <c r="J15" s="7" t="n">
        <v>4458.6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MGC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21</v>
      </c>
      <c r="B16" s="13" t="n">
        <v>46246</v>
      </c>
      <c r="C16" s="10" t="n">
        <v>0.3835879629629629</v>
      </c>
      <c r="D16" s="5" t="inlineStr">
        <is>
          <t>MNQ</t>
        </is>
      </c>
      <c r="E16" s="5" t="inlineStr">
        <is>
          <t>Long</t>
        </is>
      </c>
      <c r="F16" s="7" t="n">
        <v>29931.25</v>
      </c>
      <c r="G16" s="7" t="n">
        <v>29936</v>
      </c>
      <c r="H16" s="5" t="n">
        <v>5</v>
      </c>
      <c r="I16" s="7" t="n"/>
      <c r="J16" s="7" t="n">
        <v>29936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MNQ</t>
        </is>
      </c>
      <c r="T16" s="5" t="n"/>
      <c r="U16" s="5" t="n"/>
      <c r="V16" s="5" t="inlineStr">
        <is>
          <t>Oversized, 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22</v>
      </c>
      <c r="B17" s="13" t="n">
        <v>46246</v>
      </c>
      <c r="C17" s="10" t="n">
        <v>0.3932523148148148</v>
      </c>
      <c r="D17" s="5" t="inlineStr">
        <is>
          <t>MGC</t>
        </is>
      </c>
      <c r="E17" s="5" t="inlineStr">
        <is>
          <t>Short</t>
        </is>
      </c>
      <c r="F17" s="7" t="n">
        <v>4475.7</v>
      </c>
      <c r="G17" s="7" t="n">
        <v>4474</v>
      </c>
      <c r="H17" s="5" t="n">
        <v>10</v>
      </c>
      <c r="I17" s="7" t="n"/>
      <c r="J17" s="7" t="n">
        <v>4474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MGC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23</v>
      </c>
      <c r="B18" s="13" t="n">
        <v>46246</v>
      </c>
      <c r="C18" s="10" t="n">
        <v>0.4015393518518519</v>
      </c>
      <c r="D18" s="5" t="inlineStr">
        <is>
          <t>MNQ</t>
        </is>
      </c>
      <c r="E18" s="5" t="inlineStr">
        <is>
          <t>Short</t>
        </is>
      </c>
      <c r="F18" s="7" t="n">
        <v>29915.75</v>
      </c>
      <c r="G18" s="7" t="n">
        <v>29881</v>
      </c>
      <c r="H18" s="5" t="n">
        <v>1</v>
      </c>
      <c r="I18" s="7" t="n"/>
      <c r="J18" s="7" t="n">
        <v>29881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MNQ</t>
        </is>
      </c>
      <c r="T18" s="5" t="n"/>
      <c r="U18" s="5" t="n"/>
      <c r="V18" s="5" t="inlineStr">
        <is>
          <t>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24</v>
      </c>
      <c r="B19" s="13" t="n">
        <v>46246</v>
      </c>
      <c r="C19" s="10" t="n">
        <v>0.4109837962962963</v>
      </c>
      <c r="D19" s="5" t="inlineStr">
        <is>
          <t>MGC</t>
        </is>
      </c>
      <c r="E19" s="5" t="inlineStr">
        <is>
          <t>Long</t>
        </is>
      </c>
      <c r="F19" s="7" t="n">
        <v>4490</v>
      </c>
      <c r="G19" s="7" t="n">
        <v>4485.4</v>
      </c>
      <c r="H19" s="5" t="n">
        <v>10</v>
      </c>
      <c r="I19" s="7" t="n"/>
      <c r="J19" s="7" t="n"/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MGC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25</v>
      </c>
      <c r="B20" s="13" t="n">
        <v>46246</v>
      </c>
      <c r="C20" s="10" t="n">
        <v>0.4551967592592592</v>
      </c>
      <c r="D20" s="5" t="inlineStr">
        <is>
          <t>MNQ</t>
        </is>
      </c>
      <c r="E20" s="5" t="inlineStr">
        <is>
          <t>Long</t>
        </is>
      </c>
      <c r="F20" s="7" t="n">
        <v>29863</v>
      </c>
      <c r="G20" s="7" t="n">
        <v>29878.5</v>
      </c>
      <c r="H20" s="5" t="n">
        <v>3</v>
      </c>
      <c r="I20" s="7" t="n">
        <v>29833</v>
      </c>
      <c r="J20" s="7" t="n">
        <v>29878.5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MNQ</t>
        </is>
      </c>
      <c r="T20" s="5" t="n"/>
      <c r="U20" s="5" t="n"/>
      <c r="V20" s="5" t="inlineStr">
        <is>
          <t>Blew stop,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26</v>
      </c>
      <c r="B21" s="13" t="n">
        <v>46246</v>
      </c>
      <c r="C21" s="10" t="n">
        <v>0.473912037037037</v>
      </c>
      <c r="D21" s="5" t="inlineStr">
        <is>
          <t>MNQ</t>
        </is>
      </c>
      <c r="E21" s="5" t="inlineStr">
        <is>
          <t>Long</t>
        </is>
      </c>
      <c r="F21" s="7" t="n">
        <v>29854</v>
      </c>
      <c r="G21" s="7" t="n">
        <v>29879.75</v>
      </c>
      <c r="H21" s="5" t="n">
        <v>3</v>
      </c>
      <c r="I21" s="7" t="n">
        <v>29834.5</v>
      </c>
      <c r="J21" s="7" t="n">
        <v>29894.5</v>
      </c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MNQ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27</v>
      </c>
      <c r="B22" s="13" t="n">
        <v>46246</v>
      </c>
      <c r="C22" s="10" t="n">
        <v>0.480625</v>
      </c>
      <c r="D22" s="5" t="inlineStr">
        <is>
          <t>MNQ</t>
        </is>
      </c>
      <c r="E22" s="5" t="inlineStr">
        <is>
          <t>Long</t>
        </is>
      </c>
      <c r="F22" s="7" t="n">
        <v>29855.75</v>
      </c>
      <c r="G22" s="7" t="n">
        <v>29833</v>
      </c>
      <c r="H22" s="5" t="n">
        <v>3</v>
      </c>
      <c r="I22" s="7" t="n">
        <v>29834.5</v>
      </c>
      <c r="J22" s="7" t="n">
        <v>29894.5</v>
      </c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MNQ</t>
        </is>
      </c>
      <c r="T22" s="5" t="n"/>
      <c r="U22" s="5" t="n"/>
      <c r="V22" s="5" t="n"/>
      <c r="W22" s="5" t="n"/>
      <c r="X22" s="5" t="n"/>
      <c r="Y22" s="5" t="n"/>
      <c r="Z22" s="5" t="n"/>
      <c r="AA22" s="5" t="n"/>
    </row>
    <row r="23" ht="15.75" customHeight="1">
      <c r="A23" s="5" t="n">
        <v>28</v>
      </c>
      <c r="B23" s="13" t="n">
        <v>46246</v>
      </c>
      <c r="C23" s="10" t="n">
        <v>0.4982523148148148</v>
      </c>
      <c r="D23" s="5" t="inlineStr">
        <is>
          <t>MNQ</t>
        </is>
      </c>
      <c r="E23" s="5" t="inlineStr">
        <is>
          <t>Short</t>
        </is>
      </c>
      <c r="F23" s="7" t="n">
        <v>29838.25</v>
      </c>
      <c r="G23" s="7" t="n">
        <v>29862.25</v>
      </c>
      <c r="H23" s="5" t="n">
        <v>3</v>
      </c>
      <c r="I23" s="7" t="n">
        <v>29858.5</v>
      </c>
      <c r="J23" s="7" t="n">
        <v>29823.5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MNQ</t>
        </is>
      </c>
      <c r="T23" s="5" t="n"/>
      <c r="U23" s="5" t="n"/>
      <c r="V23" s="5" t="n"/>
      <c r="W23" s="5" t="n"/>
      <c r="X23" s="5" t="n"/>
      <c r="Y23" s="5" t="n"/>
      <c r="Z23" s="5" t="n"/>
      <c r="AA23" s="5" t="n"/>
    </row>
    <row r="24" ht="15.75" customHeight="1">
      <c r="A24" s="5" t="n">
        <v>29</v>
      </c>
      <c r="B24" s="13" t="n">
        <v>46246</v>
      </c>
      <c r="C24" s="10" t="n">
        <v>0.5917824074074074</v>
      </c>
      <c r="D24" s="5" t="inlineStr">
        <is>
          <t>MGC</t>
        </is>
      </c>
      <c r="E24" s="5" t="inlineStr">
        <is>
          <t>Short</t>
        </is>
      </c>
      <c r="F24" s="5" t="n">
        <v>4465.4</v>
      </c>
      <c r="G24" s="5" t="n">
        <v>4471.9</v>
      </c>
      <c r="H24" s="5" t="n">
        <v>3</v>
      </c>
      <c r="I24" s="7" t="n">
        <v>4471.8</v>
      </c>
      <c r="J24" s="7" t="n">
        <v>4458.5</v>
      </c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n"/>
      <c r="W24" s="5" t="n"/>
      <c r="X24" s="5" t="n"/>
      <c r="Y24" s="5" t="n"/>
      <c r="Z24" s="5" t="n"/>
      <c r="AA24" s="5" t="n"/>
    </row>
    <row r="25" ht="15.75" customHeight="1">
      <c r="A25" s="5" t="n">
        <v>30</v>
      </c>
      <c r="B25" s="13" t="n">
        <v>46247</v>
      </c>
      <c r="C25" s="10" t="n">
        <v>0.3686689814814815</v>
      </c>
      <c r="D25" s="5" t="inlineStr">
        <is>
          <t>MGC</t>
        </is>
      </c>
      <c r="E25" s="5" t="inlineStr">
        <is>
          <t>Long</t>
        </is>
      </c>
      <c r="F25" s="5" t="n">
        <v>4450.95</v>
      </c>
      <c r="G25" s="5" t="n">
        <v>4448.1</v>
      </c>
      <c r="H25" s="5" t="n">
        <v>2</v>
      </c>
      <c r="I25" s="5" t="n">
        <v>4444.4</v>
      </c>
      <c r="J25" s="7" t="n">
        <v>4451.8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MGC</t>
        </is>
      </c>
      <c r="T25" s="5" t="n"/>
      <c r="U25" s="5" t="n"/>
      <c r="V25" s="5" t="n"/>
      <c r="W25" s="5" t="n"/>
      <c r="X25" s="5" t="n"/>
      <c r="Y25" s="5" t="n"/>
      <c r="Z25" s="5" t="n"/>
      <c r="AA25" s="5" t="n"/>
    </row>
    <row r="26" ht="15.75" customHeight="1">
      <c r="A26" s="5" t="n">
        <v>31</v>
      </c>
      <c r="B26" s="13" t="n">
        <v>46247</v>
      </c>
      <c r="C26" s="10" t="n">
        <v>0.407337962962963</v>
      </c>
      <c r="D26" s="5" t="inlineStr">
        <is>
          <t>MNQ</t>
        </is>
      </c>
      <c r="E26" s="5" t="inlineStr">
        <is>
          <t>Long</t>
        </is>
      </c>
      <c r="F26" s="5" t="n">
        <v>30089.5</v>
      </c>
      <c r="G26" s="5" t="n">
        <v>30127</v>
      </c>
      <c r="H26" s="5" t="n">
        <v>5</v>
      </c>
      <c r="I26" s="5" t="n">
        <v>30067</v>
      </c>
      <c r="J26" s="7" t="n">
        <v>30127</v>
      </c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6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>
        <is>
          <t>Break and Retest</t>
        </is>
      </c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inlineStr">
        <is>
          <t>Revenge trade</t>
        </is>
      </c>
      <c r="W26" s="5" t="n"/>
      <c r="X26" s="5" t="n"/>
      <c r="Y26" s="5" t="n"/>
      <c r="Z26" s="5" t="n"/>
      <c r="AA26" s="5" t="n"/>
    </row>
    <row r="27" ht="15.75" customHeight="1">
      <c r="A27" s="5" t="n">
        <v>32</v>
      </c>
      <c r="B27" s="13" t="n">
        <v>46247</v>
      </c>
      <c r="C27" s="10" t="n">
        <v>0.4751041666666667</v>
      </c>
      <c r="D27" s="5" t="inlineStr">
        <is>
          <t>MGC</t>
        </is>
      </c>
      <c r="E27" s="5" t="inlineStr">
        <is>
          <t>Short</t>
        </is>
      </c>
      <c r="F27" s="5" t="n">
        <v>4427.5</v>
      </c>
      <c r="G27" s="5" t="n">
        <v>4418</v>
      </c>
      <c r="H27" s="5" t="n">
        <v>3</v>
      </c>
      <c r="I27" s="5" t="n"/>
      <c r="J27" s="7" t="n">
        <v>4418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6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>
        <is>
          <t>Break and Retest</t>
        </is>
      </c>
      <c r="R27" s="5" t="inlineStr">
        <is>
          <t>Imported from Tradovate</t>
        </is>
      </c>
      <c r="S27" s="5" t="inlineStr">
        <is>
          <t>MGC</t>
        </is>
      </c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>
        <v>33</v>
      </c>
      <c r="B28" s="13" t="n">
        <v>46247</v>
      </c>
      <c r="C28" s="10" t="n">
        <v>0.9516203703703704</v>
      </c>
      <c r="D28" s="5" t="inlineStr">
        <is>
          <t>MGC</t>
        </is>
      </c>
      <c r="E28" s="5" t="inlineStr">
        <is>
          <t>Long</t>
        </is>
      </c>
      <c r="F28" s="5" t="n">
        <v>4371.8</v>
      </c>
      <c r="G28" s="5" t="n">
        <v>4369.6</v>
      </c>
      <c r="H28" s="5" t="n">
        <v>3</v>
      </c>
      <c r="I28" s="5" t="n"/>
      <c r="J28" s="7" t="n"/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6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>
        <is>
          <t>Break and Retest</t>
        </is>
      </c>
      <c r="R28" s="5" t="inlineStr">
        <is>
          <t>Imported from Tradovate</t>
        </is>
      </c>
      <c r="S28" s="5" t="inlineStr">
        <is>
          <t>MGC</t>
        </is>
      </c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>
        <v>34</v>
      </c>
      <c r="B29" s="13" t="n">
        <v>46247</v>
      </c>
      <c r="C29" s="10" t="n">
        <v>0.9580092592592593</v>
      </c>
      <c r="D29" s="5" t="inlineStr">
        <is>
          <t>MGC</t>
        </is>
      </c>
      <c r="E29" s="5" t="inlineStr">
        <is>
          <t>Short</t>
        </is>
      </c>
      <c r="F29" s="5" t="n">
        <v>4370.5</v>
      </c>
      <c r="G29" s="5" t="n">
        <v>4377</v>
      </c>
      <c r="H29" s="5" t="n">
        <v>3</v>
      </c>
      <c r="I29" s="5" t="n">
        <v>4377</v>
      </c>
      <c r="J29" s="7" t="n">
        <v>4369.3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6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>
        <is>
          <t>Break and Retest</t>
        </is>
      </c>
      <c r="R29" s="5" t="inlineStr">
        <is>
          <t>Imported from Tradovate</t>
        </is>
      </c>
      <c r="S29" s="5" t="inlineStr">
        <is>
          <t>MGC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35</v>
      </c>
      <c r="B30" s="13" t="n">
        <v>46248</v>
      </c>
      <c r="C30" s="10" t="n">
        <v>0.4076736111111111</v>
      </c>
      <c r="D30" s="5" t="inlineStr">
        <is>
          <t>MNQ</t>
        </is>
      </c>
      <c r="E30" s="5" t="inlineStr">
        <is>
          <t>Long</t>
        </is>
      </c>
      <c r="F30" s="5" t="n">
        <v>30233</v>
      </c>
      <c r="G30" s="5" t="n">
        <v>30255.75</v>
      </c>
      <c r="H30" s="5" t="n">
        <v>3</v>
      </c>
      <c r="I30" s="5" t="n"/>
      <c r="J30" s="7" t="n">
        <v>30272</v>
      </c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6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>
        <is>
          <t>Break and Retest</t>
        </is>
      </c>
      <c r="R30" s="5" t="inlineStr">
        <is>
          <t>Imported from Tradovate</t>
        </is>
      </c>
      <c r="S30" s="5" t="inlineStr">
        <is>
          <t>MNQ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36</v>
      </c>
      <c r="B31" s="13" t="n">
        <v>46248</v>
      </c>
      <c r="C31" s="10" t="n">
        <v>0.4152546296296296</v>
      </c>
      <c r="D31" s="5" t="inlineStr">
        <is>
          <t>MNQ</t>
        </is>
      </c>
      <c r="E31" s="5" t="inlineStr">
        <is>
          <t>Long</t>
        </is>
      </c>
      <c r="F31" s="5" t="n">
        <v>30221</v>
      </c>
      <c r="G31" s="5" t="n">
        <v>30225.5</v>
      </c>
      <c r="H31" s="5" t="n">
        <v>3</v>
      </c>
      <c r="I31" s="5" t="n">
        <v>30201</v>
      </c>
      <c r="J31" s="7" t="n">
        <v>30225.5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6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>
        <is>
          <t>Break and Retest</t>
        </is>
      </c>
      <c r="R31" s="5" t="inlineStr">
        <is>
          <t>Imported from Tradovate</t>
        </is>
      </c>
      <c r="S31" s="5" t="inlineStr">
        <is>
          <t>MNQ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37</v>
      </c>
      <c r="B32" s="13" t="n">
        <v>46248</v>
      </c>
      <c r="C32" s="10" t="n">
        <v>0.4988888888888889</v>
      </c>
      <c r="D32" s="5" t="inlineStr">
        <is>
          <t>MNQ</t>
        </is>
      </c>
      <c r="E32" s="5" t="inlineStr">
        <is>
          <t>Short</t>
        </is>
      </c>
      <c r="F32" s="5" t="n">
        <v>30072.5</v>
      </c>
      <c r="G32" s="5" t="n">
        <v>30099.5</v>
      </c>
      <c r="H32" s="5" t="n">
        <v>3</v>
      </c>
      <c r="I32" s="5" t="n">
        <v>30099.5</v>
      </c>
      <c r="J32" s="7" t="n">
        <v>30058.25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6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>
        <is>
          <t>Break and Retest</t>
        </is>
      </c>
      <c r="R32" s="5" t="inlineStr">
        <is>
          <t>Imported from Tradovate</t>
        </is>
      </c>
      <c r="S32" s="5" t="inlineStr">
        <is>
          <t>MNQ</t>
        </is>
      </c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>
        <v>38</v>
      </c>
      <c r="B33" s="13" t="n">
        <v>46248</v>
      </c>
      <c r="C33" s="10" t="n">
        <v>0.5287037037037037</v>
      </c>
      <c r="D33" s="5" t="inlineStr">
        <is>
          <t>MNQ</t>
        </is>
      </c>
      <c r="E33" s="5" t="inlineStr">
        <is>
          <t>Short</t>
        </is>
      </c>
      <c r="F33" s="5" t="n">
        <v>30068.5</v>
      </c>
      <c r="G33" s="5" t="n">
        <v>30064</v>
      </c>
      <c r="H33" s="5" t="n">
        <v>3</v>
      </c>
      <c r="I33" s="5" t="n">
        <v>30088.5</v>
      </c>
      <c r="J33" s="7" t="n">
        <v>30064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6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>
        <is>
          <t>Break and Retest</t>
        </is>
      </c>
      <c r="R33" s="5" t="inlineStr">
        <is>
          <t>Imported from Tradovate</t>
        </is>
      </c>
      <c r="S33" s="5" t="inlineStr">
        <is>
          <t>MNQ</t>
        </is>
      </c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>
        <v>39</v>
      </c>
      <c r="B34" s="13" t="n">
        <v>46248</v>
      </c>
      <c r="C34" s="10" t="n">
        <v>0.5321296296296296</v>
      </c>
      <c r="D34" s="5" t="inlineStr">
        <is>
          <t>MNQ</t>
        </is>
      </c>
      <c r="E34" s="5" t="inlineStr">
        <is>
          <t>Long</t>
        </is>
      </c>
      <c r="F34" s="5" t="n">
        <v>30067</v>
      </c>
      <c r="G34" s="5" t="n">
        <v>30071.25</v>
      </c>
      <c r="H34" s="5" t="n">
        <v>5</v>
      </c>
      <c r="I34" s="5" t="n">
        <v>30047.75</v>
      </c>
      <c r="J34" s="7" t="n">
        <v>30074.5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6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>
        <is>
          <t>Break and Retest</t>
        </is>
      </c>
      <c r="R34" s="5" t="inlineStr">
        <is>
          <t>Imported from Tradovate</t>
        </is>
      </c>
      <c r="S34" s="5" t="inlineStr">
        <is>
          <t>MNQ</t>
        </is>
      </c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>
        <v>40</v>
      </c>
      <c r="B35" s="13" t="n">
        <v>46248</v>
      </c>
      <c r="C35" s="10" t="n">
        <v>0.5350231481481481</v>
      </c>
      <c r="D35" s="5" t="inlineStr">
        <is>
          <t>MNQ</t>
        </is>
      </c>
      <c r="E35" s="5" t="inlineStr">
        <is>
          <t>Long</t>
        </is>
      </c>
      <c r="F35" s="5" t="n">
        <v>30064.5</v>
      </c>
      <c r="G35" s="5" t="n">
        <v>30068</v>
      </c>
      <c r="H35" s="5" t="n">
        <v>5</v>
      </c>
      <c r="I35" s="5" t="n"/>
      <c r="J35" s="7" t="n">
        <v>30074.5</v>
      </c>
      <c r="K35" s="8">
        <f>IF(AND(I35&lt;&gt;"",J35&lt;&gt;"",F35&lt;&gt;""), (J35-F35)/(F35-I35), "")</f>
        <v/>
      </c>
      <c r="L35" s="8">
        <f>IF(AND(F35&lt;&gt;"",G35&lt;&gt;"",I35&lt;&gt;""), (G35-F35)/(F35-I35), "")</f>
        <v/>
      </c>
      <c r="M35" s="5">
        <f>IF(N35&gt;0,"Win",IF(N35&lt;0,"Loss",""))</f>
        <v/>
      </c>
      <c r="N35" s="16">
        <f>IF(AND(F35&lt;&gt;"",G35&lt;&gt;"",H35&lt;&gt;"",D35&lt;&gt;""), IF(E35="Long", (G35-F35)*H35*VLOOKUP(D35,Multipliers!A:B,2,FALSE), (F35-G35)*H35*VLOOKUP(D35,Multipliers!A:B,2,FALSE)), "")</f>
        <v/>
      </c>
      <c r="O35" s="9">
        <f>IF(AND(N35&lt;&gt;"",F35&lt;&gt;"",H35&lt;&gt;"",D35&lt;&gt;""), N35/(F35*H35*VLOOKUP(D35,Multipliers!A:B,2,FALSE)), "")</f>
        <v/>
      </c>
      <c r="P35" s="5">
        <f>P34+N35</f>
        <v/>
      </c>
      <c r="Q35" s="5" t="inlineStr">
        <is>
          <t>Break and Retest</t>
        </is>
      </c>
      <c r="R35" s="5" t="inlineStr">
        <is>
          <t>Imported from Tradovate</t>
        </is>
      </c>
      <c r="S35" s="5" t="inlineStr">
        <is>
          <t>MNQ</t>
        </is>
      </c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>
        <v>41</v>
      </c>
      <c r="B36" s="13" t="n">
        <v>46252</v>
      </c>
      <c r="C36" s="10" t="n">
        <v>0.4170601851851852</v>
      </c>
      <c r="D36" s="5" t="inlineStr">
        <is>
          <t>MGC</t>
        </is>
      </c>
      <c r="E36" s="5" t="inlineStr">
        <is>
          <t>Short</t>
        </is>
      </c>
      <c r="F36" s="5" t="n">
        <v>4454.7</v>
      </c>
      <c r="G36" s="5" t="n">
        <v>4460</v>
      </c>
      <c r="H36" s="5" t="n">
        <v>3</v>
      </c>
      <c r="I36" s="5" t="n">
        <v>4459.9</v>
      </c>
      <c r="J36" s="7" t="n">
        <v>4454</v>
      </c>
      <c r="K36" s="8">
        <f>IF(AND(I36&lt;&gt;"",J36&lt;&gt;"",F36&lt;&gt;""), (J36-F36)/(F36-I36), "")</f>
        <v/>
      </c>
      <c r="L36" s="8">
        <f>IF(AND(F36&lt;&gt;"",G36&lt;&gt;"",I36&lt;&gt;""), (G36-F36)/(F36-I36), "")</f>
        <v/>
      </c>
      <c r="M36" s="5">
        <f>IF(N36&gt;0,"Win",IF(N36&lt;0,"Loss",""))</f>
        <v/>
      </c>
      <c r="N36" s="16">
        <f>IF(AND(F36&lt;&gt;"",G36&lt;&gt;"",H36&lt;&gt;"",D36&lt;&gt;""), IF(E36="Long", (G36-F36)*H36*VLOOKUP(D36,Multipliers!A:B,2,FALSE), (F36-G36)*H36*VLOOKUP(D36,Multipliers!A:B,2,FALSE)), "")</f>
        <v/>
      </c>
      <c r="O36" s="9">
        <f>IF(AND(N36&lt;&gt;"",F36&lt;&gt;"",H36&lt;&gt;"",D36&lt;&gt;""), N36/(F36*H36*VLOOKUP(D36,Multipliers!A:B,2,FALSE)), "")</f>
        <v/>
      </c>
      <c r="P36" s="5">
        <f>P35+N36</f>
        <v/>
      </c>
      <c r="Q36" s="5" t="inlineStr">
        <is>
          <t>Break and Retest</t>
        </is>
      </c>
      <c r="R36" s="5" t="inlineStr">
        <is>
          <t>Imported from Tradovate</t>
        </is>
      </c>
      <c r="S36" s="5" t="inlineStr">
        <is>
          <t>MGC</t>
        </is>
      </c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>
        <v>42</v>
      </c>
      <c r="B37" s="13" t="n">
        <v>46252</v>
      </c>
      <c r="C37" s="10" t="n">
        <v>0.4225347222222222</v>
      </c>
      <c r="D37" s="5" t="inlineStr">
        <is>
          <t>MGC</t>
        </is>
      </c>
      <c r="E37" s="5" t="inlineStr">
        <is>
          <t>Long</t>
        </is>
      </c>
      <c r="F37" s="5" t="n">
        <v>4454.2</v>
      </c>
      <c r="G37" s="5" t="n">
        <v>4448.2</v>
      </c>
      <c r="H37" s="5" t="n">
        <v>3</v>
      </c>
      <c r="I37" s="5" t="n">
        <v>4448.2</v>
      </c>
      <c r="J37" s="7" t="n">
        <v>4467</v>
      </c>
      <c r="K37" s="8">
        <f>IF(AND(I37&lt;&gt;"",J37&lt;&gt;"",F37&lt;&gt;""), (J37-F37)/(F37-I37), "")</f>
        <v/>
      </c>
      <c r="L37" s="8">
        <f>IF(AND(F37&lt;&gt;"",G37&lt;&gt;"",I37&lt;&gt;""), (G37-F37)/(F37-I37), "")</f>
        <v/>
      </c>
      <c r="M37" s="5">
        <f>IF(N37&gt;0,"Win",IF(N37&lt;0,"Loss",""))</f>
        <v/>
      </c>
      <c r="N37" s="16">
        <f>IF(AND(F37&lt;&gt;"",G37&lt;&gt;"",H37&lt;&gt;"",D37&lt;&gt;""), IF(E37="Long", (G37-F37)*H37*VLOOKUP(D37,Multipliers!A:B,2,FALSE), (F37-G37)*H37*VLOOKUP(D37,Multipliers!A:B,2,FALSE)), "")</f>
        <v/>
      </c>
      <c r="O37" s="9">
        <f>IF(AND(N37&lt;&gt;"",F37&lt;&gt;"",H37&lt;&gt;"",D37&lt;&gt;""), N37/(F37*H37*VLOOKUP(D37,Multipliers!A:B,2,FALSE)), "")</f>
        <v/>
      </c>
      <c r="P37" s="5">
        <f>P36+N37</f>
        <v/>
      </c>
      <c r="Q37" s="5" t="inlineStr">
        <is>
          <t>Break and Retest</t>
        </is>
      </c>
      <c r="R37" s="5" t="inlineStr">
        <is>
          <t>Imported from Tradovate</t>
        </is>
      </c>
      <c r="S37" s="5" t="inlineStr">
        <is>
          <t>MGC</t>
        </is>
      </c>
      <c r="T37" s="5" t="n"/>
      <c r="U37" s="5" t="n"/>
      <c r="V37" s="5" t="inlineStr">
        <is>
          <t>Revenge trade</t>
        </is>
      </c>
      <c r="W37" s="5" t="n"/>
      <c r="X37" s="5" t="n"/>
      <c r="Y37" s="5" t="n"/>
      <c r="Z37" s="5" t="n"/>
      <c r="AA37" s="5" t="n"/>
    </row>
    <row r="38" ht="15.75" customHeight="1">
      <c r="A38" s="5" t="n">
        <v>43</v>
      </c>
      <c r="B38" s="13" t="n">
        <v>46252</v>
      </c>
      <c r="C38" s="10" t="n">
        <v>0.4283217592592592</v>
      </c>
      <c r="D38" s="5" t="inlineStr">
        <is>
          <t>MNQ</t>
        </is>
      </c>
      <c r="E38" s="5" t="inlineStr">
        <is>
          <t>Short</t>
        </is>
      </c>
      <c r="F38" s="5" t="n">
        <v>29614</v>
      </c>
      <c r="G38" s="5" t="n">
        <v>29634</v>
      </c>
      <c r="H38" s="5" t="n">
        <v>2</v>
      </c>
      <c r="I38" s="5" t="n">
        <v>29634</v>
      </c>
      <c r="J38" s="5" t="n">
        <v>29574</v>
      </c>
      <c r="K38" s="8">
        <f>IF(AND(I38&lt;&gt;"",J38&lt;&gt;"",F38&lt;&gt;""), (J38-F38)/(F38-I38), "")</f>
        <v/>
      </c>
      <c r="L38" s="8">
        <f>IF(AND(F38&lt;&gt;"",G38&lt;&gt;"",I38&lt;&gt;""), (G38-F38)/(F38-I38), "")</f>
        <v/>
      </c>
      <c r="M38" s="5">
        <f>IF(N38&gt;0,"Win",IF(N38&lt;0,"Loss",""))</f>
        <v/>
      </c>
      <c r="N38" s="16">
        <f>IF(AND(F38&lt;&gt;"",G38&lt;&gt;"",H38&lt;&gt;"",D38&lt;&gt;""), IF(E38="Long", (G38-F38)*H38*VLOOKUP(D38,Multipliers!A:B,2,FALSE), (F38-G38)*H38*VLOOKUP(D38,Multipliers!A:B,2,FALSE)), "")</f>
        <v/>
      </c>
      <c r="O38" s="9">
        <f>IF(AND(N38&lt;&gt;"",F38&lt;&gt;"",H38&lt;&gt;"",D38&lt;&gt;""), N38/(F38*H38*VLOOKUP(D38,Multipliers!A:B,2,FALSE)), "")</f>
        <v/>
      </c>
      <c r="P38" s="5">
        <f>P37+N38</f>
        <v/>
      </c>
      <c r="Q38" s="5" t="inlineStr">
        <is>
          <t>Break and Retest</t>
        </is>
      </c>
      <c r="R38" s="5" t="inlineStr">
        <is>
          <t>Imported from Tradovate</t>
        </is>
      </c>
      <c r="S38" s="5" t="inlineStr">
        <is>
          <t>MNQ</t>
        </is>
      </c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>
        <v>44</v>
      </c>
      <c r="B39" s="13" t="n">
        <v>46252</v>
      </c>
      <c r="C39" s="10" t="n">
        <v>0.4317824074074074</v>
      </c>
      <c r="D39" s="5" t="inlineStr">
        <is>
          <t>MNQ</t>
        </is>
      </c>
      <c r="E39" s="5" t="inlineStr">
        <is>
          <t>Short</t>
        </is>
      </c>
      <c r="F39" s="5" t="n">
        <v>29607.5</v>
      </c>
      <c r="G39" s="5" t="n">
        <v>29656.75</v>
      </c>
      <c r="H39" s="5" t="n">
        <v>3</v>
      </c>
      <c r="I39" s="5" t="n">
        <v>29649</v>
      </c>
      <c r="J39" s="5" t="n">
        <v>29552</v>
      </c>
      <c r="K39" s="8">
        <f>IF(AND(I39&lt;&gt;"",J39&lt;&gt;"",F39&lt;&gt;""), (J39-F39)/(F39-I39), "")</f>
        <v/>
      </c>
      <c r="L39" s="8">
        <f>IF(AND(F39&lt;&gt;"",G39&lt;&gt;"",I39&lt;&gt;""), (G39-F39)/(F39-I39), "")</f>
        <v/>
      </c>
      <c r="M39" s="5">
        <f>IF(N39&gt;0,"Win",IF(N39&lt;0,"Loss",""))</f>
        <v/>
      </c>
      <c r="N39" s="16">
        <f>IF(AND(F39&lt;&gt;"",G39&lt;&gt;"",H39&lt;&gt;"",D39&lt;&gt;""), IF(E39="Long", (G39-F39)*H39*VLOOKUP(D39,Multipliers!A:B,2,FALSE), (F39-G39)*H39*VLOOKUP(D39,Multipliers!A:B,2,FALSE)), "")</f>
        <v/>
      </c>
      <c r="O39" s="9">
        <f>IF(AND(N39&lt;&gt;"",F39&lt;&gt;"",H39&lt;&gt;"",D39&lt;&gt;""), N39/(F39*H39*VLOOKUP(D39,Multipliers!A:B,2,FALSE)), "")</f>
        <v/>
      </c>
      <c r="P39" s="5">
        <f>P38+N39</f>
        <v/>
      </c>
      <c r="Q39" s="5" t="inlineStr">
        <is>
          <t>Break and Retest</t>
        </is>
      </c>
      <c r="R39" s="5" t="inlineStr">
        <is>
          <t>Imported from Tradovate</t>
        </is>
      </c>
      <c r="S39" s="5" t="inlineStr">
        <is>
          <t>MNQ</t>
        </is>
      </c>
      <c r="T39" s="5" t="n"/>
      <c r="U39" s="5" t="n"/>
      <c r="V39" s="5" t="inlineStr">
        <is>
          <t>Blew stop, Revenge trade</t>
        </is>
      </c>
      <c r="W39" s="5" t="n"/>
      <c r="X39" s="5" t="n"/>
      <c r="Y39" s="5" t="n"/>
      <c r="Z39" s="5" t="n"/>
      <c r="AA39" s="5" t="n"/>
    </row>
    <row r="40" ht="15.75" customHeight="1">
      <c r="A40" s="5" t="n">
        <v>45</v>
      </c>
      <c r="B40" s="13" t="n">
        <v>46252</v>
      </c>
      <c r="C40" s="10" t="n">
        <v>0.4505902777777778</v>
      </c>
      <c r="D40" s="5" t="inlineStr">
        <is>
          <t>MGC</t>
        </is>
      </c>
      <c r="E40" s="5" t="inlineStr">
        <is>
          <t>Short</t>
        </is>
      </c>
      <c r="F40" s="5" t="n">
        <v>4444.2</v>
      </c>
      <c r="G40" s="5" t="n">
        <v>4434.5</v>
      </c>
      <c r="H40" s="5" t="n">
        <v>2</v>
      </c>
      <c r="I40" s="5" t="n">
        <v>4447.8</v>
      </c>
      <c r="J40" s="5" t="n">
        <v>4434.5</v>
      </c>
      <c r="K40" s="8">
        <f>IF(AND(I40&lt;&gt;"",J40&lt;&gt;"",F40&lt;&gt;""), (J40-F40)/(F40-I40), "")</f>
        <v/>
      </c>
      <c r="L40" s="8">
        <f>IF(AND(F40&lt;&gt;"",G40&lt;&gt;"",I40&lt;&gt;""), (G40-F40)/(F40-I40), "")</f>
        <v/>
      </c>
      <c r="M40" s="5">
        <f>IF(N40&gt;0,"Win",IF(N40&lt;0,"Loss",""))</f>
        <v/>
      </c>
      <c r="N40" s="16">
        <f>IF(AND(F40&lt;&gt;"",G40&lt;&gt;"",H40&lt;&gt;"",D40&lt;&gt;""), IF(E40="Long", (G40-F40)*H40*VLOOKUP(D40,Multipliers!A:B,2,FALSE), (F40-G40)*H40*VLOOKUP(D40,Multipliers!A:B,2,FALSE)), "")</f>
        <v/>
      </c>
      <c r="O40" s="9">
        <f>IF(AND(N40&lt;&gt;"",F40&lt;&gt;"",H40&lt;&gt;"",D40&lt;&gt;""), N40/(F40*H40*VLOOKUP(D40,Multipliers!A:B,2,FALSE)), "")</f>
        <v/>
      </c>
      <c r="P40" s="5">
        <f>P39+N40</f>
        <v/>
      </c>
      <c r="Q40" s="5" t="inlineStr">
        <is>
          <t>Break and Retest</t>
        </is>
      </c>
      <c r="R40" s="5" t="inlineStr">
        <is>
          <t>Imported from Tradovate</t>
        </is>
      </c>
      <c r="S40" s="5" t="inlineStr">
        <is>
          <t>MGC</t>
        </is>
      </c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>
        <v>46</v>
      </c>
      <c r="B41" s="13" t="n">
        <v>46253</v>
      </c>
      <c r="C41" s="10" t="n">
        <v>0.4052314814814815</v>
      </c>
      <c r="D41" s="5" t="inlineStr">
        <is>
          <t>MNQ</t>
        </is>
      </c>
      <c r="E41" s="5" t="inlineStr">
        <is>
          <t>Short</t>
        </is>
      </c>
      <c r="F41" s="5" t="n">
        <v>29615.5</v>
      </c>
      <c r="G41" s="5" t="n">
        <v>29544.25</v>
      </c>
      <c r="H41" s="5" t="n">
        <v>3</v>
      </c>
      <c r="I41" s="5" t="n"/>
      <c r="J41" s="5" t="n">
        <v>29549</v>
      </c>
      <c r="K41" s="8">
        <f>IF(AND(I41&lt;&gt;"",J41&lt;&gt;"",F41&lt;&gt;""), (J41-F41)/(F41-I41), "")</f>
        <v/>
      </c>
      <c r="L41" s="8">
        <f>IF(AND(F41&lt;&gt;"",G41&lt;&gt;"",I41&lt;&gt;""), (G41-F41)/(F41-I41), "")</f>
        <v/>
      </c>
      <c r="M41" s="5">
        <f>IF(N41&gt;0,"Win",IF(N41&lt;0,"Loss",""))</f>
        <v/>
      </c>
      <c r="N41" s="16">
        <f>IF(AND(F41&lt;&gt;"",G41&lt;&gt;"",H41&lt;&gt;"",D41&lt;&gt;""), IF(E41="Long", (G41-F41)*H41*VLOOKUP(D41,Multipliers!A:B,2,FALSE), (F41-G41)*H41*VLOOKUP(D41,Multipliers!A:B,2,FALSE)), "")</f>
        <v/>
      </c>
      <c r="O41" s="9">
        <f>IF(AND(N41&lt;&gt;"",F41&lt;&gt;"",H41&lt;&gt;"",D41&lt;&gt;""), N41/(F41*H41*VLOOKUP(D41,Multipliers!A:B,2,FALSE)), "")</f>
        <v/>
      </c>
      <c r="P41" s="5">
        <f>P40+N41</f>
        <v/>
      </c>
      <c r="Q41" s="5" t="inlineStr">
        <is>
          <t>Break and Retest</t>
        </is>
      </c>
      <c r="R41" s="5" t="inlineStr">
        <is>
          <t>Imported from Tradovate</t>
        </is>
      </c>
      <c r="S41" s="5" t="inlineStr">
        <is>
          <t>MNQ</t>
        </is>
      </c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>
        <v>47</v>
      </c>
      <c r="B42" s="13" t="n">
        <v>46253</v>
      </c>
      <c r="C42" s="10" t="n">
        <v>0.5233564814814815</v>
      </c>
      <c r="D42" s="5" t="inlineStr">
        <is>
          <t>MNQ</t>
        </is>
      </c>
      <c r="E42" s="5" t="inlineStr">
        <is>
          <t>Short</t>
        </is>
      </c>
      <c r="F42" s="5" t="n">
        <v>29614.75</v>
      </c>
      <c r="G42" s="5" t="n">
        <v>29607</v>
      </c>
      <c r="H42" s="5" t="n">
        <v>3</v>
      </c>
      <c r="I42" s="5" t="n">
        <v>29638.75</v>
      </c>
      <c r="J42" s="5" t="n">
        <v>29607</v>
      </c>
      <c r="K42" s="8">
        <f>IF(AND(I42&lt;&gt;"",J42&lt;&gt;"",F42&lt;&gt;""), (J42-F42)/(F42-I42), "")</f>
        <v/>
      </c>
      <c r="L42" s="8">
        <f>IF(AND(F42&lt;&gt;"",G42&lt;&gt;"",I42&lt;&gt;""), (G42-F42)/(F42-I42), "")</f>
        <v/>
      </c>
      <c r="M42" s="5">
        <f>IF(N42&gt;0,"Win",IF(N42&lt;0,"Loss",""))</f>
        <v/>
      </c>
      <c r="N42" s="16">
        <f>IF(AND(F42&lt;&gt;"",G42&lt;&gt;"",H42&lt;&gt;"",D42&lt;&gt;""), IF(E42="Long", (G42-F42)*H42*VLOOKUP(D42,Multipliers!A:B,2,FALSE), (F42-G42)*H42*VLOOKUP(D42,Multipliers!A:B,2,FALSE)), "")</f>
        <v/>
      </c>
      <c r="O42" s="9">
        <f>IF(AND(N42&lt;&gt;"",F42&lt;&gt;"",H42&lt;&gt;"",D42&lt;&gt;""), N42/(F42*H42*VLOOKUP(D42,Multipliers!A:B,2,FALSE)), "")</f>
        <v/>
      </c>
      <c r="P42" s="5">
        <f>P41+N42</f>
        <v/>
      </c>
      <c r="Q42" s="5" t="inlineStr">
        <is>
          <t>Break and Retest</t>
        </is>
      </c>
      <c r="R42" s="5" t="inlineStr">
        <is>
          <t>Imported from Tradovate</t>
        </is>
      </c>
      <c r="S42" s="5" t="inlineStr">
        <is>
          <t>MNQ</t>
        </is>
      </c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>
        <v>48</v>
      </c>
      <c r="B43" s="13" t="n">
        <v>46253</v>
      </c>
      <c r="C43" s="10" t="n">
        <v>0.6075347222222223</v>
      </c>
      <c r="D43" s="5" t="inlineStr">
        <is>
          <t>MGC</t>
        </is>
      </c>
      <c r="E43" s="5" t="inlineStr">
        <is>
          <t>Short</t>
        </is>
      </c>
      <c r="F43" s="5" t="n">
        <v>4539.5</v>
      </c>
      <c r="G43" s="5" t="n">
        <v>4546.4</v>
      </c>
      <c r="H43" s="5" t="n">
        <v>3</v>
      </c>
      <c r="I43" s="5" t="n">
        <v>4545.5</v>
      </c>
      <c r="J43" s="5" t="n">
        <v>4537.6</v>
      </c>
      <c r="K43" s="8">
        <f>IF(AND(I43&lt;&gt;"",J43&lt;&gt;"",F43&lt;&gt;""), (J43-F43)/(F43-I43), "")</f>
        <v/>
      </c>
      <c r="L43" s="8">
        <f>IF(AND(F43&lt;&gt;"",G43&lt;&gt;"",I43&lt;&gt;""), (G43-F43)/(F43-I43), "")</f>
        <v/>
      </c>
      <c r="M43" s="5">
        <f>IF(N43&gt;0,"Win",IF(N43&lt;0,"Loss",""))</f>
        <v/>
      </c>
      <c r="N43" s="16">
        <f>IF(AND(F43&lt;&gt;"",G43&lt;&gt;"",H43&lt;&gt;"",D43&lt;&gt;""), IF(E43="Long", (G43-F43)*H43*VLOOKUP(D43,Multipliers!A:B,2,FALSE), (F43-G43)*H43*VLOOKUP(D43,Multipliers!A:B,2,FALSE)), "")</f>
        <v/>
      </c>
      <c r="O43" s="9">
        <f>IF(AND(N43&lt;&gt;"",F43&lt;&gt;"",H43&lt;&gt;"",D43&lt;&gt;""), N43/(F43*H43*VLOOKUP(D43,Multipliers!A:B,2,FALSE)), "")</f>
        <v/>
      </c>
      <c r="P43" s="5">
        <f>P42+N43</f>
        <v/>
      </c>
      <c r="Q43" s="5" t="inlineStr">
        <is>
          <t>Break and Retest</t>
        </is>
      </c>
      <c r="R43" s="5" t="inlineStr">
        <is>
          <t>Imported from Tradovate</t>
        </is>
      </c>
      <c r="S43" s="5" t="inlineStr">
        <is>
          <t>MGC</t>
        </is>
      </c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>
        <v>49</v>
      </c>
      <c r="B44" s="13" t="n">
        <v>46253</v>
      </c>
      <c r="C44" s="10" t="n">
        <v>0.6256597222222222</v>
      </c>
      <c r="D44" s="5" t="inlineStr">
        <is>
          <t>MNQ</t>
        </is>
      </c>
      <c r="E44" s="5" t="inlineStr">
        <is>
          <t>Short</t>
        </is>
      </c>
      <c r="F44" s="5" t="n">
        <v>29544.5</v>
      </c>
      <c r="G44" s="5" t="n">
        <v>29564.5</v>
      </c>
      <c r="H44" s="5" t="n">
        <v>3</v>
      </c>
      <c r="I44" s="5" t="n">
        <v>29564.5</v>
      </c>
      <c r="J44" s="5" t="n">
        <v>29540</v>
      </c>
      <c r="K44" s="8">
        <f>IF(AND(I44&lt;&gt;"",J44&lt;&gt;"",F44&lt;&gt;""), (J44-F44)/(F44-I44), "")</f>
        <v/>
      </c>
      <c r="L44" s="8">
        <f>IF(AND(F44&lt;&gt;"",G44&lt;&gt;"",I44&lt;&gt;""), (G44-F44)/(F44-I44), "")</f>
        <v/>
      </c>
      <c r="M44" s="5">
        <f>IF(N44&gt;0,"Win",IF(N44&lt;0,"Loss",""))</f>
        <v/>
      </c>
      <c r="N44" s="16">
        <f>IF(AND(F44&lt;&gt;"",G44&lt;&gt;"",H44&lt;&gt;"",D44&lt;&gt;""), IF(E44="Long", (G44-F44)*H44*VLOOKUP(D44,Multipliers!A:B,2,FALSE), (F44-G44)*H44*VLOOKUP(D44,Multipliers!A:B,2,FALSE)), "")</f>
        <v/>
      </c>
      <c r="O44" s="9">
        <f>IF(AND(N44&lt;&gt;"",F44&lt;&gt;"",H44&lt;&gt;"",D44&lt;&gt;""), N44/(F44*H44*VLOOKUP(D44,Multipliers!A:B,2,FALSE)), "")</f>
        <v/>
      </c>
      <c r="P44" s="5">
        <f>P43+N44</f>
        <v/>
      </c>
      <c r="Q44" s="5" t="inlineStr">
        <is>
          <t>Break and Retest</t>
        </is>
      </c>
      <c r="R44" s="5" t="inlineStr">
        <is>
          <t>Imported from Tradovate</t>
        </is>
      </c>
      <c r="S44" s="5" t="inlineStr">
        <is>
          <t>MNQ</t>
        </is>
      </c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>
        <v>50</v>
      </c>
      <c r="B45" s="13" t="n">
        <v>46254</v>
      </c>
      <c r="C45" s="10" t="n">
        <v>0.4109953703703704</v>
      </c>
      <c r="D45" s="5" t="inlineStr">
        <is>
          <t>MGC</t>
        </is>
      </c>
      <c r="E45" s="5" t="inlineStr">
        <is>
          <t>Long</t>
        </is>
      </c>
      <c r="F45" s="5" t="n">
        <v>4538.74</v>
      </c>
      <c r="G45" s="5" t="n">
        <v>4551.86</v>
      </c>
      <c r="H45" s="5" t="n">
        <v>5</v>
      </c>
      <c r="I45" s="5" t="n">
        <v>4530.8</v>
      </c>
      <c r="J45" s="5" t="n">
        <v>4555.5</v>
      </c>
      <c r="K45" s="8">
        <f>IF(AND(I45&lt;&gt;"",J45&lt;&gt;"",F45&lt;&gt;""), (J45-F45)/(F45-I45), "")</f>
        <v/>
      </c>
      <c r="L45" s="8">
        <f>IF(AND(F45&lt;&gt;"",G45&lt;&gt;"",I45&lt;&gt;""), (G45-F45)/(F45-I45), "")</f>
        <v/>
      </c>
      <c r="M45" s="5">
        <f>IF(N45&gt;0,"Win",IF(N45&lt;0,"Loss",""))</f>
        <v/>
      </c>
      <c r="N45" s="16">
        <f>IF(AND(F45&lt;&gt;"",G45&lt;&gt;"",H45&lt;&gt;"",D45&lt;&gt;""), IF(E45="Long", (G45-F45)*H45*VLOOKUP(D45,Multipliers!A:B,2,FALSE), (F45-G45)*H45*VLOOKUP(D45,Multipliers!A:B,2,FALSE)), "")</f>
        <v/>
      </c>
      <c r="O45" s="9">
        <f>IF(AND(N45&lt;&gt;"",F45&lt;&gt;"",H45&lt;&gt;"",D45&lt;&gt;""), N45/(F45*H45*VLOOKUP(D45,Multipliers!A:B,2,FALSE)), "")</f>
        <v/>
      </c>
      <c r="P45" s="5">
        <f>P44+N45</f>
        <v/>
      </c>
      <c r="Q45" s="5" t="inlineStr">
        <is>
          <t>Break and Retest</t>
        </is>
      </c>
      <c r="R45" s="5" t="inlineStr">
        <is>
          <t>Imported from Tradovate</t>
        </is>
      </c>
      <c r="S45" s="5" t="inlineStr">
        <is>
          <t>MGC</t>
        </is>
      </c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>
        <v>51</v>
      </c>
      <c r="B46" s="13" t="n">
        <v>46254</v>
      </c>
      <c r="C46" s="10" t="n">
        <v>0.420150462962963</v>
      </c>
      <c r="D46" s="5" t="inlineStr">
        <is>
          <t>MNQ</t>
        </is>
      </c>
      <c r="E46" s="5" t="inlineStr">
        <is>
          <t>Long</t>
        </is>
      </c>
      <c r="F46" s="5" t="n">
        <v>29329.5</v>
      </c>
      <c r="G46" s="5" t="n">
        <v>29323.25</v>
      </c>
      <c r="H46" s="5" t="n">
        <v>2</v>
      </c>
      <c r="I46" s="5" t="n">
        <v>29323.5</v>
      </c>
      <c r="J46" s="5" t="n">
        <v>29383.5</v>
      </c>
      <c r="K46" s="8">
        <f>IF(AND(I46&lt;&gt;"",J46&lt;&gt;"",F46&lt;&gt;""), (J46-F46)/(F46-I46), "")</f>
        <v/>
      </c>
      <c r="L46" s="8">
        <f>IF(AND(F46&lt;&gt;"",G46&lt;&gt;"",I46&lt;&gt;""), (G46-F46)/(F46-I46), "")</f>
        <v/>
      </c>
      <c r="M46" s="5">
        <f>IF(N46&gt;0,"Win",IF(N46&lt;0,"Loss",""))</f>
        <v/>
      </c>
      <c r="N46" s="16">
        <f>IF(AND(F46&lt;&gt;"",G46&lt;&gt;"",H46&lt;&gt;"",D46&lt;&gt;""), IF(E46="Long", (G46-F46)*H46*VLOOKUP(D46,Multipliers!A:B,2,FALSE), (F46-G46)*H46*VLOOKUP(D46,Multipliers!A:B,2,FALSE)), "")</f>
        <v/>
      </c>
      <c r="O46" s="9">
        <f>IF(AND(N46&lt;&gt;"",F46&lt;&gt;"",H46&lt;&gt;"",D46&lt;&gt;""), N46/(F46*H46*VLOOKUP(D46,Multipliers!A:B,2,FALSE)), "")</f>
        <v/>
      </c>
      <c r="P46" s="5">
        <f>P45+N46</f>
        <v/>
      </c>
      <c r="Q46" s="5" t="inlineStr">
        <is>
          <t>Break and Retest</t>
        </is>
      </c>
      <c r="R46" s="5" t="inlineStr">
        <is>
          <t>Imported from Tradovate</t>
        </is>
      </c>
      <c r="S46" s="5" t="inlineStr">
        <is>
          <t>MNQ</t>
        </is>
      </c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>
        <v>52</v>
      </c>
      <c r="B47" s="13" t="n">
        <v>46255</v>
      </c>
      <c r="C47" s="10" t="n">
        <v>0.411412037037037</v>
      </c>
      <c r="D47" s="5" t="inlineStr">
        <is>
          <t>MGC</t>
        </is>
      </c>
      <c r="E47" s="5" t="inlineStr">
        <is>
          <t>Long</t>
        </is>
      </c>
      <c r="F47" s="5" t="n">
        <v>4638.6</v>
      </c>
      <c r="G47" s="5" t="n">
        <v>4656.666667</v>
      </c>
      <c r="H47" s="5" t="n">
        <v>3</v>
      </c>
      <c r="I47" s="5" t="n">
        <v>4632</v>
      </c>
      <c r="J47" s="5" t="n">
        <v>4660</v>
      </c>
      <c r="K47" s="8">
        <f>IF(AND(I47&lt;&gt;"",J47&lt;&gt;"",F47&lt;&gt;""), (J47-F47)/(F47-I47), "")</f>
        <v/>
      </c>
      <c r="L47" s="8">
        <f>IF(AND(F47&lt;&gt;"",G47&lt;&gt;"",I47&lt;&gt;""), (G47-F47)/(F47-I47), "")</f>
        <v/>
      </c>
      <c r="M47" s="5">
        <f>IF(N47&gt;0,"Win",IF(N47&lt;0,"Loss",""))</f>
        <v/>
      </c>
      <c r="N47" s="16">
        <f>IF(AND(F47&lt;&gt;"",G47&lt;&gt;"",H47&lt;&gt;"",D47&lt;&gt;""), IF(E47="Long", (G47-F47)*H47*VLOOKUP(D47,Multipliers!A:B,2,FALSE), (F47-G47)*H47*VLOOKUP(D47,Multipliers!A:B,2,FALSE)), "")</f>
        <v/>
      </c>
      <c r="O47" s="9">
        <f>IF(AND(N47&lt;&gt;"",F47&lt;&gt;"",H47&lt;&gt;"",D47&lt;&gt;""), N47/(F47*H47*VLOOKUP(D47,Multipliers!A:B,2,FALSE)), "")</f>
        <v/>
      </c>
      <c r="P47" s="5">
        <f>P46+N47</f>
        <v/>
      </c>
      <c r="Q47" s="5" t="inlineStr">
        <is>
          <t>Break and Retest</t>
        </is>
      </c>
      <c r="R47" s="5" t="inlineStr">
        <is>
          <t>Imported from Tradovate</t>
        </is>
      </c>
      <c r="S47" s="5" t="inlineStr">
        <is>
          <t>MGC</t>
        </is>
      </c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>
        <v>53</v>
      </c>
      <c r="B48" s="13" t="n">
        <v>46257</v>
      </c>
      <c r="C48" s="10" t="n">
        <v>0.8163078703703703</v>
      </c>
      <c r="D48" s="5" t="inlineStr">
        <is>
          <t>MGC</t>
        </is>
      </c>
      <c r="E48" s="5" t="inlineStr">
        <is>
          <t>Long</t>
        </is>
      </c>
      <c r="F48" s="5" t="n">
        <v>4640.8</v>
      </c>
      <c r="G48" s="5" t="n">
        <v>4634.6</v>
      </c>
      <c r="H48" s="5" t="n">
        <v>1</v>
      </c>
      <c r="I48" s="5" t="n">
        <v>4634.8</v>
      </c>
      <c r="J48" s="5" t="n">
        <v>4652.8</v>
      </c>
      <c r="K48" s="8">
        <f>IF(AND(I48&lt;&gt;"",J48&lt;&gt;"",F48&lt;&gt;""), (J48-F48)/(F48-I48), "")</f>
        <v/>
      </c>
      <c r="L48" s="8">
        <f>IF(AND(F48&lt;&gt;"",G48&lt;&gt;"",I48&lt;&gt;""), (G48-F48)/(F48-I48), "")</f>
        <v/>
      </c>
      <c r="M48" s="5">
        <f>IF(N48&gt;0,"Win",IF(N48&lt;0,"Loss",""))</f>
        <v/>
      </c>
      <c r="N48" s="16">
        <f>IF(AND(F48&lt;&gt;"",G48&lt;&gt;"",H48&lt;&gt;"",D48&lt;&gt;""), IF(E48="Long", (G48-F48)*H48*VLOOKUP(D48,Multipliers!A:B,2,FALSE), (F48-G48)*H48*VLOOKUP(D48,Multipliers!A:B,2,FALSE)), "")</f>
        <v/>
      </c>
      <c r="O48" s="9">
        <f>IF(AND(N48&lt;&gt;"",F48&lt;&gt;"",H48&lt;&gt;"",D48&lt;&gt;""), N48/(F48*H48*VLOOKUP(D48,Multipliers!A:B,2,FALSE)), "")</f>
        <v/>
      </c>
      <c r="P48" s="5">
        <f>P47+N48</f>
        <v/>
      </c>
      <c r="Q48" s="5" t="inlineStr">
        <is>
          <t>Break and Retest</t>
        </is>
      </c>
      <c r="R48" s="5" t="inlineStr">
        <is>
          <t>Imported from Tradovate</t>
        </is>
      </c>
      <c r="S48" s="5" t="inlineStr">
        <is>
          <t>MGC</t>
        </is>
      </c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>
        <v>54</v>
      </c>
      <c r="B49" s="13" t="n">
        <v>46257</v>
      </c>
      <c r="C49" s="10" t="n">
        <v>0.8239236111111111</v>
      </c>
      <c r="D49" s="5" t="inlineStr">
        <is>
          <t>MGC</t>
        </is>
      </c>
      <c r="E49" s="5" t="inlineStr">
        <is>
          <t>Long</t>
        </is>
      </c>
      <c r="F49" s="5" t="n">
        <v>4631.1</v>
      </c>
      <c r="G49" s="5" t="n">
        <v>4643.1</v>
      </c>
      <c r="H49" s="5" t="n">
        <v>1</v>
      </c>
      <c r="I49" s="5" t="n">
        <v>4625.1</v>
      </c>
      <c r="J49" s="5" t="n">
        <v>4643.1</v>
      </c>
      <c r="K49" s="8">
        <f>IF(AND(I49&lt;&gt;"",J49&lt;&gt;"",F49&lt;&gt;""), (J49-F49)/(F49-I49), "")</f>
        <v/>
      </c>
      <c r="L49" s="8">
        <f>IF(AND(F49&lt;&gt;"",G49&lt;&gt;"",I49&lt;&gt;""), (G49-F49)/(F49-I49), "")</f>
        <v/>
      </c>
      <c r="M49" s="5">
        <f>IF(N49&gt;0,"Win",IF(N49&lt;0,"Loss",""))</f>
        <v/>
      </c>
      <c r="N49" s="16">
        <f>IF(AND(F49&lt;&gt;"",G49&lt;&gt;"",H49&lt;&gt;"",D49&lt;&gt;""), IF(E49="Long", (G49-F49)*H49*VLOOKUP(D49,Multipliers!A:B,2,FALSE), (F49-G49)*H49*VLOOKUP(D49,Multipliers!A:B,2,FALSE)), "")</f>
        <v/>
      </c>
      <c r="O49" s="9">
        <f>IF(AND(N49&lt;&gt;"",F49&lt;&gt;"",H49&lt;&gt;"",D49&lt;&gt;""), N49/(F49*H49*VLOOKUP(D49,Multipliers!A:B,2,FALSE)), "")</f>
        <v/>
      </c>
      <c r="P49" s="5">
        <f>P48+N49</f>
        <v/>
      </c>
      <c r="Q49" s="5" t="inlineStr">
        <is>
          <t>Break and Retest</t>
        </is>
      </c>
      <c r="R49" s="5" t="inlineStr">
        <is>
          <t>Imported from Tradovate</t>
        </is>
      </c>
      <c r="S49" s="5" t="inlineStr">
        <is>
          <t>MGC</t>
        </is>
      </c>
      <c r="T49" s="5" t="n"/>
      <c r="U49" s="5" t="n"/>
      <c r="V49" s="5" t="inlineStr">
        <is>
          <t>Revenge trade</t>
        </is>
      </c>
      <c r="W49" s="5" t="n"/>
      <c r="X49" s="5" t="n"/>
      <c r="Y49" s="5" t="n"/>
      <c r="Z49" s="5" t="n"/>
      <c r="AA49" s="5" t="n"/>
    </row>
    <row r="50" ht="15.75" customHeight="1">
      <c r="A50" s="5" t="n">
        <v>55</v>
      </c>
      <c r="B50" s="13" t="n">
        <v>46257</v>
      </c>
      <c r="C50" s="10" t="n">
        <v>0.8499305555555555</v>
      </c>
      <c r="D50" s="5" t="inlineStr">
        <is>
          <t>MGC</t>
        </is>
      </c>
      <c r="E50" s="5" t="inlineStr">
        <is>
          <t>Long</t>
        </is>
      </c>
      <c r="F50" s="5" t="n">
        <v>4642.3</v>
      </c>
      <c r="G50" s="5" t="n">
        <v>4636.2</v>
      </c>
      <c r="H50" s="5" t="n">
        <v>1</v>
      </c>
      <c r="I50" s="5" t="n">
        <v>4636.3</v>
      </c>
      <c r="J50" s="5" t="n">
        <v>4654.3</v>
      </c>
      <c r="K50" s="8">
        <f>IF(AND(I50&lt;&gt;"",J50&lt;&gt;"",F50&lt;&gt;""), (J50-F50)/(F50-I50), "")</f>
        <v/>
      </c>
      <c r="L50" s="8">
        <f>IF(AND(F50&lt;&gt;"",G50&lt;&gt;"",I50&lt;&gt;""), (G50-F50)/(F50-I50), "")</f>
        <v/>
      </c>
      <c r="M50" s="5">
        <f>IF(N50&gt;0,"Win",IF(N50&lt;0,"Loss",""))</f>
        <v/>
      </c>
      <c r="N50" s="16">
        <f>IF(AND(F50&lt;&gt;"",G50&lt;&gt;"",H50&lt;&gt;"",D50&lt;&gt;""), IF(E50="Long", (G50-F50)*H50*VLOOKUP(D50,Multipliers!A:B,2,FALSE), (F50-G50)*H50*VLOOKUP(D50,Multipliers!A:B,2,FALSE)), "")</f>
        <v/>
      </c>
      <c r="O50" s="9">
        <f>IF(AND(N50&lt;&gt;"",F50&lt;&gt;"",H50&lt;&gt;"",D50&lt;&gt;""), N50/(F50*H50*VLOOKUP(D50,Multipliers!A:B,2,FALSE)), "")</f>
        <v/>
      </c>
      <c r="P50" s="5">
        <f>P49+N50</f>
        <v/>
      </c>
      <c r="Q50" s="5" t="inlineStr">
        <is>
          <t>Break and Retest</t>
        </is>
      </c>
      <c r="R50" s="5" t="inlineStr">
        <is>
          <t>Imported from Tradovate</t>
        </is>
      </c>
      <c r="S50" s="5" t="inlineStr">
        <is>
          <t>MGC</t>
        </is>
      </c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>
        <v>56</v>
      </c>
      <c r="B51" s="13" t="n">
        <v>46257</v>
      </c>
      <c r="C51" s="10" t="n">
        <v>0.8532175925925926</v>
      </c>
      <c r="D51" s="5" t="inlineStr">
        <is>
          <t>MGC</t>
        </is>
      </c>
      <c r="E51" s="5" t="inlineStr">
        <is>
          <t>Long</t>
        </is>
      </c>
      <c r="F51" s="5" t="n">
        <v>4630.1</v>
      </c>
      <c r="G51" s="5" t="n">
        <v>4641.55</v>
      </c>
      <c r="H51" s="5" t="n">
        <v>2</v>
      </c>
      <c r="I51" s="5" t="n">
        <v>4620.8</v>
      </c>
      <c r="J51" s="5" t="n">
        <v>4643.1</v>
      </c>
      <c r="K51" s="8">
        <f>IF(AND(I51&lt;&gt;"",J51&lt;&gt;"",F51&lt;&gt;""), (J51-F51)/(F51-I51), "")</f>
        <v/>
      </c>
      <c r="L51" s="8">
        <f>IF(AND(F51&lt;&gt;"",G51&lt;&gt;"",I51&lt;&gt;""), (G51-F51)/(F51-I51), "")</f>
        <v/>
      </c>
      <c r="M51" s="5">
        <f>IF(N51&gt;0,"Win",IF(N51&lt;0,"Loss",""))</f>
        <v/>
      </c>
      <c r="N51" s="16">
        <f>IF(AND(F51&lt;&gt;"",G51&lt;&gt;"",H51&lt;&gt;"",D51&lt;&gt;""), IF(E51="Long", (G51-F51)*H51*VLOOKUP(D51,Multipliers!A:B,2,FALSE), (F51-G51)*H51*VLOOKUP(D51,Multipliers!A:B,2,FALSE)), "")</f>
        <v/>
      </c>
      <c r="O51" s="9">
        <f>IF(AND(N51&lt;&gt;"",F51&lt;&gt;"",H51&lt;&gt;"",D51&lt;&gt;""), N51/(F51*H51*VLOOKUP(D51,Multipliers!A:B,2,FALSE)), "")</f>
        <v/>
      </c>
      <c r="P51" s="5">
        <f>P50+N51</f>
        <v/>
      </c>
      <c r="Q51" s="5" t="inlineStr">
        <is>
          <t>Break and Retest</t>
        </is>
      </c>
      <c r="R51" s="5" t="inlineStr">
        <is>
          <t>Imported from Tradovate</t>
        </is>
      </c>
      <c r="S51" s="5" t="inlineStr">
        <is>
          <t>MGC</t>
        </is>
      </c>
      <c r="T51" s="5" t="n"/>
      <c r="U51" s="5" t="n"/>
      <c r="V51" s="5" t="inlineStr">
        <is>
          <t>Revenge trade</t>
        </is>
      </c>
      <c r="W51" s="5" t="n"/>
      <c r="X51" s="5" t="n"/>
      <c r="Y51" s="5" t="n"/>
      <c r="Z51" s="5" t="n"/>
      <c r="AA51" s="5" t="n"/>
    </row>
    <row r="52" ht="15.75" customHeight="1">
      <c r="A52" s="5" t="n">
        <v>57</v>
      </c>
      <c r="B52" s="13" t="n">
        <v>46257</v>
      </c>
      <c r="C52" s="10" t="n">
        <v>0.9566550925925926</v>
      </c>
      <c r="D52" s="5" t="inlineStr">
        <is>
          <t>MGC</t>
        </is>
      </c>
      <c r="E52" s="5" t="inlineStr">
        <is>
          <t>Long</t>
        </is>
      </c>
      <c r="F52" s="5" t="n">
        <v>4663.7</v>
      </c>
      <c r="G52" s="5" t="n">
        <v>4657.4</v>
      </c>
      <c r="H52" s="5" t="n">
        <v>1</v>
      </c>
      <c r="I52" s="5" t="n">
        <v>4657.7</v>
      </c>
      <c r="J52" s="5" t="n">
        <v>4675.7</v>
      </c>
      <c r="K52" s="8">
        <f>IF(AND(I52&lt;&gt;"",J52&lt;&gt;"",F52&lt;&gt;""), (J52-F52)/(F52-I52), "")</f>
        <v/>
      </c>
      <c r="L52" s="8">
        <f>IF(AND(F52&lt;&gt;"",G52&lt;&gt;"",I52&lt;&gt;""), (G52-F52)/(F52-I52), "")</f>
        <v/>
      </c>
      <c r="M52" s="5">
        <f>IF(N52&gt;0,"Win",IF(N52&lt;0,"Loss",""))</f>
        <v/>
      </c>
      <c r="N52" s="16">
        <f>IF(AND(F52&lt;&gt;"",G52&lt;&gt;"",H52&lt;&gt;"",D52&lt;&gt;""), IF(E52="Long", (G52-F52)*H52*VLOOKUP(D52,Multipliers!A:B,2,FALSE), (F52-G52)*H52*VLOOKUP(D52,Multipliers!A:B,2,FALSE)), "")</f>
        <v/>
      </c>
      <c r="O52" s="9">
        <f>IF(AND(N52&lt;&gt;"",F52&lt;&gt;"",H52&lt;&gt;"",D52&lt;&gt;""), N52/(F52*H52*VLOOKUP(D52,Multipliers!A:B,2,FALSE)), "")</f>
        <v/>
      </c>
      <c r="P52" s="5">
        <f>P51+N52</f>
        <v/>
      </c>
      <c r="Q52" s="5" t="inlineStr">
        <is>
          <t>Break and Retest</t>
        </is>
      </c>
      <c r="R52" s="5" t="inlineStr">
        <is>
          <t>Imported from Tradovate</t>
        </is>
      </c>
      <c r="S52" s="5" t="inlineStr">
        <is>
          <t>MGC</t>
        </is>
      </c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>
        <v>58</v>
      </c>
      <c r="B53" s="13" t="n">
        <v>46258</v>
      </c>
      <c r="C53" s="10" t="n">
        <v>0.01273148148148148</v>
      </c>
      <c r="D53" s="5" t="inlineStr">
        <is>
          <t>MGC</t>
        </is>
      </c>
      <c r="E53" s="5" t="inlineStr">
        <is>
          <t>Long</t>
        </is>
      </c>
      <c r="F53" s="5" t="n">
        <v>4695.333333</v>
      </c>
      <c r="G53" s="5" t="n">
        <v>4695.866667</v>
      </c>
      <c r="H53" s="5" t="n">
        <v>3</v>
      </c>
      <c r="I53" s="5" t="n">
        <v>4688.5</v>
      </c>
      <c r="J53" s="5" t="n">
        <v>4696.2</v>
      </c>
      <c r="K53" s="8">
        <f>IF(AND(I53&lt;&gt;"",J53&lt;&gt;"",F53&lt;&gt;""), (J53-F53)/(F53-I53), "")</f>
        <v/>
      </c>
      <c r="L53" s="8">
        <f>IF(AND(F53&lt;&gt;"",G53&lt;&gt;"",I53&lt;&gt;""), (G53-F53)/(F53-I53), "")</f>
        <v/>
      </c>
      <c r="M53" s="5">
        <f>IF(N53&gt;0,"Win",IF(N53&lt;0,"Loss",""))</f>
        <v/>
      </c>
      <c r="N53" s="16">
        <f>IF(AND(F53&lt;&gt;"",G53&lt;&gt;"",H53&lt;&gt;"",D53&lt;&gt;""), IF(E53="Long", (G53-F53)*H53*VLOOKUP(D53,Multipliers!A:B,2,FALSE), (F53-G53)*H53*VLOOKUP(D53,Multipliers!A:B,2,FALSE)), "")</f>
        <v/>
      </c>
      <c r="O53" s="9">
        <f>IF(AND(N53&lt;&gt;"",F53&lt;&gt;"",H53&lt;&gt;"",D53&lt;&gt;""), N53/(F53*H53*VLOOKUP(D53,Multipliers!A:B,2,FALSE)), "")</f>
        <v/>
      </c>
      <c r="P53" s="5">
        <f>P52+N53</f>
        <v/>
      </c>
      <c r="Q53" s="5" t="inlineStr">
        <is>
          <t>Break and Retest</t>
        </is>
      </c>
      <c r="R53" s="5" t="inlineStr">
        <is>
          <t>Imported from Tradovate</t>
        </is>
      </c>
      <c r="S53" s="5" t="inlineStr">
        <is>
          <t>MGC</t>
        </is>
      </c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>
        <v>59</v>
      </c>
      <c r="B54" s="13" t="n">
        <v>46258</v>
      </c>
      <c r="C54" s="10" t="n">
        <v>0.402349537037037</v>
      </c>
      <c r="D54" s="5" t="inlineStr">
        <is>
          <t>MGC</t>
        </is>
      </c>
      <c r="E54" s="5" t="inlineStr">
        <is>
          <t>Long</t>
        </is>
      </c>
      <c r="F54" s="5" t="n">
        <v>4725.3</v>
      </c>
      <c r="G54" s="5" t="n">
        <v>4719.3</v>
      </c>
      <c r="H54" s="5" t="n">
        <v>2</v>
      </c>
      <c r="I54" s="5" t="n">
        <v>4719.3</v>
      </c>
      <c r="J54" s="5" t="n">
        <v>4742.7</v>
      </c>
      <c r="K54" s="8">
        <f>IF(AND(I54&lt;&gt;"",J54&lt;&gt;"",F54&lt;&gt;""), (J54-F54)/(F54-I54), "")</f>
        <v/>
      </c>
      <c r="L54" s="8">
        <f>IF(AND(F54&lt;&gt;"",G54&lt;&gt;"",I54&lt;&gt;""), (G54-F54)/(F54-I54), "")</f>
        <v/>
      </c>
      <c r="M54" s="5">
        <f>IF(N54&gt;0,"Win",IF(N54&lt;0,"Loss",""))</f>
        <v/>
      </c>
      <c r="N54" s="16">
        <f>IF(AND(F54&lt;&gt;"",G54&lt;&gt;"",H54&lt;&gt;"",D54&lt;&gt;""), IF(E54="Long", (G54-F54)*H54*VLOOKUP(D54,Multipliers!A:B,2,FALSE), (F54-G54)*H54*VLOOKUP(D54,Multipliers!A:B,2,FALSE)), "")</f>
        <v/>
      </c>
      <c r="O54" s="9">
        <f>IF(AND(N54&lt;&gt;"",F54&lt;&gt;"",H54&lt;&gt;"",D54&lt;&gt;""), N54/(F54*H54*VLOOKUP(D54,Multipliers!A:B,2,FALSE)), "")</f>
        <v/>
      </c>
      <c r="P54" s="5">
        <f>P53+N54</f>
        <v/>
      </c>
      <c r="Q54" s="5" t="inlineStr">
        <is>
          <t>Break and Retest</t>
        </is>
      </c>
      <c r="R54" s="5" t="inlineStr">
        <is>
          <t>Imported from Tradovate</t>
        </is>
      </c>
      <c r="S54" s="5" t="inlineStr">
        <is>
          <t>MGC</t>
        </is>
      </c>
      <c r="T54" s="5" t="n"/>
      <c r="U54" s="5" t="n"/>
      <c r="V54" s="5" t="inlineStr">
        <is>
          <t>Revenge trade</t>
        </is>
      </c>
      <c r="W54" s="5" t="inlineStr">
        <is>
          <t>FOMO, Ranging, Outside session</t>
        </is>
      </c>
      <c r="X54" s="5" t="n"/>
      <c r="Y54" s="5" t="n"/>
      <c r="Z54" s="5" t="n"/>
      <c r="AA54" s="5" t="n"/>
    </row>
    <row r="55" ht="15.75" customHeight="1">
      <c r="A55" s="5" t="n">
        <v>60</v>
      </c>
      <c r="B55" s="13" t="n">
        <v>46258</v>
      </c>
      <c r="C55" s="10" t="n">
        <v>0.4570601851851852</v>
      </c>
      <c r="D55" s="5" t="inlineStr">
        <is>
          <t>MNQ</t>
        </is>
      </c>
      <c r="E55" s="5" t="inlineStr">
        <is>
          <t>Long</t>
        </is>
      </c>
      <c r="F55" s="5" t="n">
        <v>29081.5</v>
      </c>
      <c r="G55" s="5" t="n">
        <v>29063.75</v>
      </c>
      <c r="H55" s="5" t="n">
        <v>3</v>
      </c>
      <c r="I55" s="5" t="n">
        <v>29063.75</v>
      </c>
      <c r="J55" s="5" t="n">
        <v>29085.25</v>
      </c>
      <c r="K55" s="8">
        <f>IF(AND(I55&lt;&gt;"",J55&lt;&gt;"",F55&lt;&gt;""), (J55-F55)/(F55-I55), "")</f>
        <v/>
      </c>
      <c r="L55" s="8">
        <f>IF(AND(F55&lt;&gt;"",G55&lt;&gt;"",I55&lt;&gt;""), (G55-F55)/(F55-I55), "")</f>
        <v/>
      </c>
      <c r="M55" s="5">
        <f>IF(N55&gt;0,"Win",IF(N55&lt;0,"Loss",""))</f>
        <v/>
      </c>
      <c r="N55" s="16">
        <f>IF(AND(F55&lt;&gt;"",G55&lt;&gt;"",H55&lt;&gt;"",D55&lt;&gt;""), IF(E55="Long", (G55-F55)*H55*VLOOKUP(D55,Multipliers!A:B,2,FALSE), (F55-G55)*H55*VLOOKUP(D55,Multipliers!A:B,2,FALSE)), "")</f>
        <v/>
      </c>
      <c r="O55" s="9">
        <f>IF(AND(N55&lt;&gt;"",F55&lt;&gt;"",H55&lt;&gt;"",D55&lt;&gt;""), N55/(F55*H55*VLOOKUP(D55,Multipliers!A:B,2,FALSE)), "")</f>
        <v/>
      </c>
      <c r="P55" s="5">
        <f>P54+N55</f>
        <v/>
      </c>
      <c r="Q55" s="5" t="inlineStr">
        <is>
          <t>Break and Retest</t>
        </is>
      </c>
      <c r="R55" s="5" t="inlineStr">
        <is>
          <t>Imported from Tradovate</t>
        </is>
      </c>
      <c r="S55" s="5" t="inlineStr">
        <is>
          <t>MNQ</t>
        </is>
      </c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>
        <v>61</v>
      </c>
      <c r="B56" s="13" t="n">
        <v>46258</v>
      </c>
      <c r="C56" s="10" t="n">
        <v>0.4674074074074074</v>
      </c>
      <c r="D56" s="5" t="inlineStr">
        <is>
          <t>MNQ</t>
        </is>
      </c>
      <c r="E56" s="5" t="inlineStr">
        <is>
          <t>Short</t>
        </is>
      </c>
      <c r="F56" s="5" t="n">
        <v>29068.75</v>
      </c>
      <c r="G56" s="5" t="n">
        <v>29092.75</v>
      </c>
      <c r="H56" s="5" t="n">
        <v>5</v>
      </c>
      <c r="I56" s="5" t="n">
        <v>29101.5</v>
      </c>
      <c r="J56" s="5" t="n">
        <v>29044.25</v>
      </c>
      <c r="K56" s="8">
        <f>IF(AND(I56&lt;&gt;"",J56&lt;&gt;"",F56&lt;&gt;""), (J56-F56)/(F56-I56), "")</f>
        <v/>
      </c>
      <c r="L56" s="8">
        <f>IF(AND(F56&lt;&gt;"",G56&lt;&gt;"",I56&lt;&gt;""), (G56-F56)/(F56-I56), "")</f>
        <v/>
      </c>
      <c r="M56" s="5">
        <f>IF(N56&gt;0,"Win",IF(N56&lt;0,"Loss",""))</f>
        <v/>
      </c>
      <c r="N56" s="16">
        <f>IF(AND(F56&lt;&gt;"",G56&lt;&gt;"",H56&lt;&gt;"",D56&lt;&gt;""), IF(E56="Long", (G56-F56)*H56*VLOOKUP(D56,Multipliers!A:B,2,FALSE), (F56-G56)*H56*VLOOKUP(D56,Multipliers!A:B,2,FALSE)), "")</f>
        <v/>
      </c>
      <c r="O56" s="9">
        <f>IF(AND(N56&lt;&gt;"",F56&lt;&gt;"",H56&lt;&gt;"",D56&lt;&gt;""), N56/(F56*H56*VLOOKUP(D56,Multipliers!A:B,2,FALSE)), "")</f>
        <v/>
      </c>
      <c r="P56" s="5">
        <f>P55+N56</f>
        <v/>
      </c>
      <c r="Q56" s="5" t="inlineStr">
        <is>
          <t>Break and Retest</t>
        </is>
      </c>
      <c r="R56" s="5" t="inlineStr">
        <is>
          <t>Imported from Tradovate</t>
        </is>
      </c>
      <c r="S56" s="5" t="inlineStr">
        <is>
          <t>MNQ</t>
        </is>
      </c>
      <c r="T56" s="5" t="n"/>
      <c r="U56" s="5" t="inlineStr"/>
      <c r="V56" s="5" t="inlineStr">
        <is>
          <t>Revenge trade</t>
        </is>
      </c>
      <c r="W56" s="5" t="inlineStr"/>
      <c r="X56" s="5" t="inlineStr">
        <is>
          <t>Trending up</t>
        </is>
      </c>
      <c r="Y56" s="5" t="inlineStr"/>
      <c r="Z56" s="5" t="inlineStr"/>
      <c r="AA56" s="5" t="inlineStr"/>
    </row>
    <row r="57" ht="15.75" customHeight="1">
      <c r="A57" s="5" t="n">
        <v>62</v>
      </c>
      <c r="B57" s="13" t="n">
        <v>46259</v>
      </c>
      <c r="C57" s="10" t="n">
        <v>0.4101388888888889</v>
      </c>
      <c r="D57" s="5" t="inlineStr">
        <is>
          <t>MGC</t>
        </is>
      </c>
      <c r="E57" s="5" t="inlineStr">
        <is>
          <t>Short</t>
        </is>
      </c>
      <c r="F57" s="5" t="n">
        <v>4664</v>
      </c>
      <c r="G57" s="5" t="n">
        <v>4671.5</v>
      </c>
      <c r="H57" s="5" t="n">
        <v>3</v>
      </c>
      <c r="I57" s="5" t="n">
        <v>4671.3</v>
      </c>
      <c r="J57" s="5" t="n">
        <v>4652</v>
      </c>
      <c r="K57" s="8">
        <f>IF(AND(I57&lt;&gt;"",J57&lt;&gt;"",F57&lt;&gt;""), (J57-F57)/(F57-I57), "")</f>
        <v/>
      </c>
      <c r="L57" s="8">
        <f>IF(AND(F57&lt;&gt;"",G57&lt;&gt;"",I57&lt;&gt;""), (G57-F57)/(F57-I57), "")</f>
        <v/>
      </c>
      <c r="M57" s="5">
        <f>IF(N57&gt;0,"Win",IF(N57&lt;0,"Loss",""))</f>
        <v/>
      </c>
      <c r="N57" s="16">
        <f>IF(AND(F57&lt;&gt;"",G57&lt;&gt;"",H57&lt;&gt;"",D57&lt;&gt;""), IF(E57="Long", (G57-F57)*H57*VLOOKUP(D57,Multipliers!A:B,2,FALSE), (F57-G57)*H57*VLOOKUP(D57,Multipliers!A:B,2,FALSE)), "")</f>
        <v/>
      </c>
      <c r="O57" s="9">
        <f>IF(AND(N57&lt;&gt;"",F57&lt;&gt;"",H57&lt;&gt;"",D57&lt;&gt;""), N57/(F57*H57*VLOOKUP(D57,Multipliers!A:B,2,FALSE)), "")</f>
        <v/>
      </c>
      <c r="P57" s="5">
        <f>P56+N57</f>
        <v/>
      </c>
      <c r="Q57" s="5" t="inlineStr">
        <is>
          <t>Break and Retest, Rejection</t>
        </is>
      </c>
      <c r="R57" s="5" t="inlineStr">
        <is>
          <t>Imported from Tradovate</t>
        </is>
      </c>
      <c r="S57" s="5" t="inlineStr">
        <is>
          <t>MGC</t>
        </is>
      </c>
      <c r="T57" s="5" t="n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</row>
    <row r="58" ht="15.75" customHeight="1">
      <c r="A58" s="5" t="n">
        <v>63</v>
      </c>
      <c r="B58" s="13" t="n">
        <v>46259</v>
      </c>
      <c r="C58" s="10" t="n">
        <v>0.4322453703703704</v>
      </c>
      <c r="D58" s="5" t="inlineStr">
        <is>
          <t>MNQ</t>
        </is>
      </c>
      <c r="E58" s="5" t="inlineStr">
        <is>
          <t>Long</t>
        </is>
      </c>
      <c r="F58" s="5" t="n">
        <v>29238.75</v>
      </c>
      <c r="G58" s="5" t="n">
        <v>29229.75</v>
      </c>
      <c r="H58" s="5" t="n">
        <v>5</v>
      </c>
      <c r="I58" s="5" t="n">
        <v>29226.25</v>
      </c>
      <c r="J58" s="5" t="n">
        <v>29286.25</v>
      </c>
      <c r="K58" s="8">
        <f>IF(AND(I58&lt;&gt;"",J58&lt;&gt;"",F58&lt;&gt;""), (J58-F58)/(F58-I58), "")</f>
        <v/>
      </c>
      <c r="L58" s="8">
        <f>IF(AND(F58&lt;&gt;"",G58&lt;&gt;"",I58&lt;&gt;""), (G58-F58)/(F58-I58), "")</f>
        <v/>
      </c>
      <c r="M58" s="5">
        <f>IF(N58&gt;0,"Win",IF(N58&lt;0,"Loss",""))</f>
        <v/>
      </c>
      <c r="N58" s="16">
        <f>IF(AND(F58&lt;&gt;"",G58&lt;&gt;"",H58&lt;&gt;"",D58&lt;&gt;""), IF(E58="Long", (G58-F58)*H58*VLOOKUP(D58,Multipliers!A:B,2,FALSE), (F58-G58)*H58*VLOOKUP(D58,Multipliers!A:B,2,FALSE)), "")</f>
        <v/>
      </c>
      <c r="O58" s="9">
        <f>IF(AND(N58&lt;&gt;"",F58&lt;&gt;"",H58&lt;&gt;"",D58&lt;&gt;""), N58/(F58*H58*VLOOKUP(D58,Multipliers!A:B,2,FALSE)), "")</f>
        <v/>
      </c>
      <c r="P58" s="5">
        <f>P57+N58</f>
        <v/>
      </c>
      <c r="Q58" s="5" t="inlineStr">
        <is>
          <t>Break and Retest</t>
        </is>
      </c>
      <c r="R58" s="5" t="inlineStr">
        <is>
          <t>Imported from Tradovate</t>
        </is>
      </c>
      <c r="S58" s="5" t="inlineStr">
        <is>
          <t>MNQ</t>
        </is>
      </c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>
        <v>64</v>
      </c>
      <c r="B59" s="13" t="n">
        <v>46259</v>
      </c>
      <c r="C59" s="10" t="n">
        <v>0.4391087962962963</v>
      </c>
      <c r="D59" s="5" t="inlineStr">
        <is>
          <t>MNQ</t>
        </is>
      </c>
      <c r="E59" s="5" t="inlineStr">
        <is>
          <t>Short</t>
        </is>
      </c>
      <c r="F59" s="5" t="n">
        <v>29245.5</v>
      </c>
      <c r="G59" s="5" t="n">
        <v>29229.416667</v>
      </c>
      <c r="H59" s="5" t="n">
        <v>3</v>
      </c>
      <c r="I59" s="5" t="n">
        <v>29278</v>
      </c>
      <c r="J59" s="5" t="n">
        <v>29175.25</v>
      </c>
      <c r="K59" s="8">
        <f>IF(AND(I59&lt;&gt;"",J59&lt;&gt;"",F59&lt;&gt;""), (J59-F59)/(F59-I59), "")</f>
        <v/>
      </c>
      <c r="L59" s="8">
        <f>IF(AND(F59&lt;&gt;"",G59&lt;&gt;"",I59&lt;&gt;""), (G59-F59)/(F59-I59), "")</f>
        <v/>
      </c>
      <c r="M59" s="5">
        <f>IF(N59&gt;0,"Win",IF(N59&lt;0,"Loss",""))</f>
        <v/>
      </c>
      <c r="N59" s="16">
        <f>IF(AND(F59&lt;&gt;"",G59&lt;&gt;"",H59&lt;&gt;"",D59&lt;&gt;""), IF(E59="Long", (G59-F59)*H59*VLOOKUP(D59,Multipliers!A:B,2,FALSE), (F59-G59)*H59*VLOOKUP(D59,Multipliers!A:B,2,FALSE)), "")</f>
        <v/>
      </c>
      <c r="O59" s="9">
        <f>IF(AND(N59&lt;&gt;"",F59&lt;&gt;"",H59&lt;&gt;"",D59&lt;&gt;""), N59/(F59*H59*VLOOKUP(D59,Multipliers!A:B,2,FALSE)), "")</f>
        <v/>
      </c>
      <c r="P59" s="5">
        <f>P58+N59</f>
        <v/>
      </c>
      <c r="Q59" s="5" t="inlineStr">
        <is>
          <t>Break and Retest</t>
        </is>
      </c>
      <c r="R59" s="5" t="inlineStr">
        <is>
          <t>Imported from Tradovate</t>
        </is>
      </c>
      <c r="S59" s="5" t="inlineStr">
        <is>
          <t>MNQ</t>
        </is>
      </c>
      <c r="T59" s="5" t="n"/>
      <c r="U59" s="5" t="n"/>
      <c r="V59" s="5" t="inlineStr">
        <is>
          <t>Cut winner early</t>
        </is>
      </c>
      <c r="W59" s="5" t="n"/>
      <c r="X59" s="5" t="n"/>
      <c r="Y59" s="5" t="n"/>
      <c r="Z59" s="5" t="n"/>
      <c r="AA59" s="5" t="n"/>
    </row>
    <row r="60" ht="15.75" customHeight="1">
      <c r="A60" s="5" t="n">
        <v>65</v>
      </c>
      <c r="B60" s="22" t="n">
        <v>46259</v>
      </c>
      <c r="C60" s="10" t="n">
        <v>0.5224537037037037</v>
      </c>
      <c r="D60" s="5" t="inlineStr">
        <is>
          <t>MGC</t>
        </is>
      </c>
      <c r="E60" s="5" t="inlineStr">
        <is>
          <t>Short</t>
        </is>
      </c>
      <c r="F60" s="5" t="n">
        <v>4699.4</v>
      </c>
      <c r="G60" s="5" t="n">
        <v>4699.1</v>
      </c>
      <c r="H60" s="5" t="n">
        <v>3</v>
      </c>
      <c r="I60" s="5" t="n">
        <v>4705.8</v>
      </c>
      <c r="J60" s="5" t="n">
        <v>4699.1</v>
      </c>
      <c r="K60" s="8">
        <f>IF(AND(I60&lt;&gt;"",J60&lt;&gt;"",F60&lt;&gt;""), (J60-F60)/(F60-I60), "")</f>
        <v/>
      </c>
      <c r="L60" s="8">
        <f>IF(AND(F60&lt;&gt;"",G60&lt;&gt;"",I60&lt;&gt;""), (G60-F60)/(F60-I60), "")</f>
        <v/>
      </c>
      <c r="M60" s="5">
        <f>IF(N60&gt;0,"Win",IF(N60&lt;0,"Loss",""))</f>
        <v/>
      </c>
      <c r="N60" s="16">
        <f>IF(AND(F60&lt;&gt;"",G60&lt;&gt;"",H60&lt;&gt;"",D60&lt;&gt;""), IF(E60="Long", (G60-F60)*H60*VLOOKUP(D60,Multipliers!A:B,2,FALSE), (F60-G60)*H60*VLOOKUP(D60,Multipliers!A:B,2,FALSE)), "")</f>
        <v/>
      </c>
      <c r="O60" s="9">
        <f>IF(AND(N60&lt;&gt;"",F60&lt;&gt;"",H60&lt;&gt;"",D60&lt;&gt;""), N60/(F60*H60*VLOOKUP(D60,Multipliers!A:B,2,FALSE)), "")</f>
        <v/>
      </c>
      <c r="P60" s="5">
        <f>P59+N60</f>
        <v/>
      </c>
      <c r="Q60" s="5" t="inlineStr">
        <is>
          <t>Break and Retest</t>
        </is>
      </c>
      <c r="R60" s="5" t="inlineStr">
        <is>
          <t>Imported from Tradovate</t>
        </is>
      </c>
      <c r="S60" s="5" t="inlineStr">
        <is>
          <t>MGC</t>
        </is>
      </c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>
        <v>66</v>
      </c>
      <c r="B61" s="22" t="n">
        <v>46259</v>
      </c>
      <c r="C61" s="10" t="n">
        <v>0.9720717592592593</v>
      </c>
      <c r="D61" s="5" t="inlineStr">
        <is>
          <t>MGC</t>
        </is>
      </c>
      <c r="E61" s="5" t="inlineStr">
        <is>
          <t>Short</t>
        </is>
      </c>
      <c r="F61" s="5" t="n">
        <v>4703.7</v>
      </c>
      <c r="G61" s="5" t="n">
        <v>4703</v>
      </c>
      <c r="H61" s="5" t="n">
        <v>5</v>
      </c>
      <c r="I61" s="5" t="n"/>
      <c r="J61" s="5" t="n">
        <v>4703</v>
      </c>
      <c r="K61" s="8">
        <f>IF(AND(I61&lt;&gt;"",J61&lt;&gt;"",F61&lt;&gt;""), (J61-F61)/(F61-I61), "")</f>
        <v/>
      </c>
      <c r="L61" s="8">
        <f>IF(AND(F61&lt;&gt;"",G61&lt;&gt;"",I61&lt;&gt;""), (G61-F61)/(F61-I61), "")</f>
        <v/>
      </c>
      <c r="M61" s="5">
        <f>IF(N61&gt;0,"Win",IF(N61&lt;0,"Loss",""))</f>
        <v/>
      </c>
      <c r="N61" s="16">
        <f>IF(AND(F61&lt;&gt;"",G61&lt;&gt;"",H61&lt;&gt;"",D61&lt;&gt;""), IF(E61="Long", (G61-F61)*H61*VLOOKUP(D61,Multipliers!A:B,2,FALSE), (F61-G61)*H61*VLOOKUP(D61,Multipliers!A:B,2,FALSE)), "")</f>
        <v/>
      </c>
      <c r="O61" s="9">
        <f>IF(AND(N61&lt;&gt;"",F61&lt;&gt;"",H61&lt;&gt;"",D61&lt;&gt;""), N61/(F61*H61*VLOOKUP(D61,Multipliers!A:B,2,FALSE)), "")</f>
        <v/>
      </c>
      <c r="P61" s="5">
        <f>P60+N61</f>
        <v/>
      </c>
      <c r="Q61" s="5" t="inlineStr">
        <is>
          <t>Break and Retest</t>
        </is>
      </c>
      <c r="R61" s="5" t="inlineStr">
        <is>
          <t>Imported from Tradovate</t>
        </is>
      </c>
      <c r="S61" s="5" t="inlineStr">
        <is>
          <t>MGC</t>
        </is>
      </c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>
        <v>67</v>
      </c>
      <c r="B62" s="22" t="n">
        <v>46260</v>
      </c>
      <c r="C62" s="10" t="n">
        <v>0.4103125</v>
      </c>
      <c r="D62" s="5" t="inlineStr">
        <is>
          <t>MGC</t>
        </is>
      </c>
      <c r="E62" s="5" t="inlineStr">
        <is>
          <t>Long</t>
        </is>
      </c>
      <c r="F62" s="5" t="n">
        <v>4679.6</v>
      </c>
      <c r="G62" s="5" t="n">
        <v>4680.3</v>
      </c>
      <c r="H62" s="5" t="n">
        <v>3</v>
      </c>
      <c r="I62" s="5" t="n">
        <v>4673.7</v>
      </c>
      <c r="J62" s="5" t="n">
        <v>4680.3</v>
      </c>
      <c r="K62" s="8">
        <f>IF(AND(I62&lt;&gt;"",J62&lt;&gt;"",F62&lt;&gt;""), (J62-F62)/(F62-I62), "")</f>
        <v/>
      </c>
      <c r="L62" s="8">
        <f>IF(AND(F62&lt;&gt;"",G62&lt;&gt;"",I62&lt;&gt;""), (G62-F62)/(F62-I62), "")</f>
        <v/>
      </c>
      <c r="M62" s="5">
        <f>IF(N62&gt;0,"Win",IF(N62&lt;0,"Loss",""))</f>
        <v/>
      </c>
      <c r="N62" s="16">
        <f>IF(AND(F62&lt;&gt;"",G62&lt;&gt;"",H62&lt;&gt;"",D62&lt;&gt;""), IF(E62="Long", (G62-F62)*H62*VLOOKUP(D62,Multipliers!A:B,2,FALSE), (F62-G62)*H62*VLOOKUP(D62,Multipliers!A:B,2,FALSE)), "")</f>
        <v/>
      </c>
      <c r="O62" s="9">
        <f>IF(AND(N62&lt;&gt;"",F62&lt;&gt;"",H62&lt;&gt;"",D62&lt;&gt;""), N62/(F62*H62*VLOOKUP(D62,Multipliers!A:B,2,FALSE)), "")</f>
        <v/>
      </c>
      <c r="P62" s="5">
        <f>P61+N62</f>
        <v/>
      </c>
      <c r="Q62" s="5" t="inlineStr">
        <is>
          <t>Break and Retest</t>
        </is>
      </c>
      <c r="R62" s="5" t="inlineStr">
        <is>
          <t>Imported from Tradovate</t>
        </is>
      </c>
      <c r="S62" s="5" t="inlineStr">
        <is>
          <t>MGC</t>
        </is>
      </c>
      <c r="T62" s="5" t="n"/>
      <c r="U62" s="5" t="n"/>
      <c r="V62" s="5" t="inlineStr">
        <is>
          <t>Overtraded</t>
        </is>
      </c>
      <c r="W62" s="5" t="n"/>
      <c r="X62" s="5" t="n"/>
      <c r="Y62" s="5" t="n"/>
      <c r="Z62" s="5" t="n"/>
      <c r="AA62" s="5" t="n"/>
    </row>
    <row r="63" ht="15.75" customHeight="1">
      <c r="A63" s="5" t="n">
        <v>68</v>
      </c>
      <c r="B63" s="22" t="n">
        <v>46260</v>
      </c>
      <c r="C63" s="10" t="n">
        <v>0.4295833333333333</v>
      </c>
      <c r="D63" s="5" t="inlineStr">
        <is>
          <t>MGC</t>
        </is>
      </c>
      <c r="E63" s="5" t="inlineStr">
        <is>
          <t>Short</t>
        </is>
      </c>
      <c r="F63" s="5" t="n">
        <v>4679.5</v>
      </c>
      <c r="G63" s="5" t="n">
        <v>4676.3</v>
      </c>
      <c r="H63" s="5" t="n">
        <v>3</v>
      </c>
      <c r="I63" s="5" t="n">
        <v>4685.5</v>
      </c>
      <c r="J63" s="5" t="n">
        <v>4676.3</v>
      </c>
      <c r="K63" s="8">
        <f>IF(AND(I63&lt;&gt;"",J63&lt;&gt;"",F63&lt;&gt;""), (J63-F63)/(F63-I63), "")</f>
        <v/>
      </c>
      <c r="L63" s="8">
        <f>IF(AND(F63&lt;&gt;"",G63&lt;&gt;"",I63&lt;&gt;""), (G63-F63)/(F63-I63), "")</f>
        <v/>
      </c>
      <c r="M63" s="5">
        <f>IF(N63&gt;0,"Win",IF(N63&lt;0,"Loss",""))</f>
        <v/>
      </c>
      <c r="N63" s="16">
        <f>IF(AND(F63&lt;&gt;"",G63&lt;&gt;"",H63&lt;&gt;"",D63&lt;&gt;""), IF(E63="Long", (G63-F63)*H63*VLOOKUP(D63,Multipliers!A:B,2,FALSE), (F63-G63)*H63*VLOOKUP(D63,Multipliers!A:B,2,FALSE)), "")</f>
        <v/>
      </c>
      <c r="O63" s="9">
        <f>IF(AND(N63&lt;&gt;"",F63&lt;&gt;"",H63&lt;&gt;"",D63&lt;&gt;""), N63/(F63*H63*VLOOKUP(D63,Multipliers!A:B,2,FALSE)), "")</f>
        <v/>
      </c>
      <c r="P63" s="5">
        <f>P62+N63</f>
        <v/>
      </c>
      <c r="Q63" s="5" t="inlineStr">
        <is>
          <t>Break and Retest</t>
        </is>
      </c>
      <c r="R63" s="5" t="inlineStr">
        <is>
          <t>Imported from Tradovate</t>
        </is>
      </c>
      <c r="S63" s="5" t="inlineStr">
        <is>
          <t>MGC</t>
        </is>
      </c>
      <c r="T63" s="5" t="n"/>
      <c r="U63" s="5" t="n"/>
      <c r="V63" s="5" t="inlineStr">
        <is>
          <t>Overtraded</t>
        </is>
      </c>
      <c r="W63" s="5" t="n"/>
      <c r="X63" s="5" t="n"/>
      <c r="Y63" s="5" t="n"/>
      <c r="Z63" s="5" t="n"/>
      <c r="AA63" s="5" t="n"/>
    </row>
    <row r="64" ht="15.75" customHeight="1">
      <c r="A64" s="5" t="n">
        <v>69</v>
      </c>
      <c r="B64" s="22" t="n">
        <v>46260</v>
      </c>
      <c r="C64" s="10" t="n">
        <v>0.4904050925925926</v>
      </c>
      <c r="D64" s="5" t="inlineStr">
        <is>
          <t>MGC</t>
        </is>
      </c>
      <c r="E64" s="5" t="inlineStr">
        <is>
          <t>Long</t>
        </is>
      </c>
      <c r="F64" s="5" t="n">
        <v>4661.7</v>
      </c>
      <c r="G64" s="5" t="n">
        <v>4656.2</v>
      </c>
      <c r="H64" s="5" t="n">
        <v>3</v>
      </c>
      <c r="I64" s="5" t="n">
        <v>4656.2</v>
      </c>
      <c r="J64" s="5" t="n">
        <v>4674.2</v>
      </c>
      <c r="K64" s="8">
        <f>IF(AND(I64&lt;&gt;"",J64&lt;&gt;"",F64&lt;&gt;""), (J64-F64)/(F64-I64), "")</f>
        <v/>
      </c>
      <c r="L64" s="8">
        <f>IF(AND(F64&lt;&gt;"",G64&lt;&gt;"",I64&lt;&gt;""), (G64-F64)/(F64-I64), "")</f>
        <v/>
      </c>
      <c r="M64" s="5">
        <f>IF(N64&gt;0,"Win",IF(N64&lt;0,"Loss",""))</f>
        <v/>
      </c>
      <c r="N64" s="16">
        <f>IF(AND(F64&lt;&gt;"",G64&lt;&gt;"",H64&lt;&gt;"",D64&lt;&gt;""), IF(E64="Long", (G64-F64)*H64*VLOOKUP(D64,Multipliers!A:B,2,FALSE), (F64-G64)*H64*VLOOKUP(D64,Multipliers!A:B,2,FALSE)), "")</f>
        <v/>
      </c>
      <c r="O64" s="9">
        <f>IF(AND(N64&lt;&gt;"",F64&lt;&gt;"",H64&lt;&gt;"",D64&lt;&gt;""), N64/(F64*H64*VLOOKUP(D64,Multipliers!A:B,2,FALSE)), "")</f>
        <v/>
      </c>
      <c r="P64" s="5">
        <f>P63+N64</f>
        <v/>
      </c>
      <c r="Q64" s="5" t="inlineStr">
        <is>
          <t>Break and Retest</t>
        </is>
      </c>
      <c r="R64" s="5" t="inlineStr">
        <is>
          <t>Imported from Tradovate</t>
        </is>
      </c>
      <c r="S64" s="5" t="inlineStr">
        <is>
          <t>MGC</t>
        </is>
      </c>
      <c r="T64" s="5" t="n"/>
      <c r="U64" s="5" t="n"/>
      <c r="V64" s="5" t="inlineStr">
        <is>
          <t>Overtraded</t>
        </is>
      </c>
      <c r="W64" s="5" t="n"/>
      <c r="X64" s="5" t="n"/>
      <c r="Y64" s="5" t="n"/>
      <c r="Z64" s="5" t="n"/>
      <c r="AA64" s="5" t="n"/>
    </row>
    <row r="65" ht="15.75" customHeight="1">
      <c r="A65" s="5" t="n">
        <v>70</v>
      </c>
      <c r="B65" s="22" t="n">
        <v>46260</v>
      </c>
      <c r="C65" s="10" t="n">
        <v>0.4968402777777778</v>
      </c>
      <c r="D65" s="5" t="inlineStr">
        <is>
          <t>MGC</t>
        </is>
      </c>
      <c r="E65" s="5" t="inlineStr">
        <is>
          <t>Short</t>
        </is>
      </c>
      <c r="F65" s="5" t="n">
        <v>4655.8</v>
      </c>
      <c r="G65" s="5" t="n">
        <v>4652.1</v>
      </c>
      <c r="H65" s="5" t="n">
        <v>5</v>
      </c>
      <c r="I65" s="5" t="n"/>
      <c r="J65" s="5" t="n">
        <v>4652.1</v>
      </c>
      <c r="K65" s="8">
        <f>IF(AND(I65&lt;&gt;"",J65&lt;&gt;"",F65&lt;&gt;""), (J65-F65)/(F65-I65), "")</f>
        <v/>
      </c>
      <c r="L65" s="8">
        <f>IF(AND(F65&lt;&gt;"",G65&lt;&gt;"",I65&lt;&gt;""), (G65-F65)/(F65-I65), "")</f>
        <v/>
      </c>
      <c r="M65" s="5">
        <f>IF(N65&gt;0,"Win",IF(N65&lt;0,"Loss",""))</f>
        <v/>
      </c>
      <c r="N65" s="16">
        <f>IF(AND(F65&lt;&gt;"",G65&lt;&gt;"",H65&lt;&gt;"",D65&lt;&gt;""), IF(E65="Long", (G65-F65)*H65*VLOOKUP(D65,Multipliers!A:B,2,FALSE), (F65-G65)*H65*VLOOKUP(D65,Multipliers!A:B,2,FALSE)), "")</f>
        <v/>
      </c>
      <c r="O65" s="9">
        <f>IF(AND(N65&lt;&gt;"",F65&lt;&gt;"",H65&lt;&gt;"",D65&lt;&gt;""), N65/(F65*H65*VLOOKUP(D65,Multipliers!A:B,2,FALSE)), "")</f>
        <v/>
      </c>
      <c r="P65" s="5">
        <f>P64+N65</f>
        <v/>
      </c>
      <c r="Q65" s="5" t="inlineStr">
        <is>
          <t>Break and Retest</t>
        </is>
      </c>
      <c r="R65" s="5" t="inlineStr">
        <is>
          <t>Imported from Tradovate</t>
        </is>
      </c>
      <c r="S65" s="5" t="inlineStr">
        <is>
          <t>MGC</t>
        </is>
      </c>
      <c r="T65" s="5" t="n"/>
      <c r="U65" s="5" t="n"/>
      <c r="V65" s="5" t="inlineStr">
        <is>
          <t>Revenge trade, Overtraded</t>
        </is>
      </c>
      <c r="W65" s="5" t="n"/>
      <c r="X65" s="5" t="n"/>
      <c r="Y65" s="5" t="n"/>
      <c r="Z65" s="5" t="n"/>
      <c r="AA65" s="5" t="n"/>
    </row>
    <row r="66" ht="15.75" customHeight="1">
      <c r="A66" s="5" t="n">
        <v>71</v>
      </c>
      <c r="B66" s="22" t="n">
        <v>46260</v>
      </c>
      <c r="C66" s="10" t="n">
        <v>0.5494791666666666</v>
      </c>
      <c r="D66" s="5" t="inlineStr">
        <is>
          <t>MGC</t>
        </is>
      </c>
      <c r="E66" s="5" t="inlineStr">
        <is>
          <t>Short</t>
        </is>
      </c>
      <c r="F66" s="5" t="n">
        <v>4649.2</v>
      </c>
      <c r="G66" s="5" t="n">
        <v>4657.7</v>
      </c>
      <c r="H66" s="5" t="n">
        <v>3</v>
      </c>
      <c r="I66" s="5" t="n">
        <v>4661</v>
      </c>
      <c r="J66" s="5" t="n">
        <v>4649.1</v>
      </c>
      <c r="K66" s="8">
        <f>IF(AND(I66&lt;&gt;"",J66&lt;&gt;"",F66&lt;&gt;""), (J66-F66)/(F66-I66), "")</f>
        <v/>
      </c>
      <c r="L66" s="8">
        <f>IF(AND(F66&lt;&gt;"",G66&lt;&gt;"",I66&lt;&gt;""), (G66-F66)/(F66-I66), "")</f>
        <v/>
      </c>
      <c r="M66" s="5">
        <f>IF(N66&gt;0,"Win",IF(N66&lt;0,"Loss",""))</f>
        <v/>
      </c>
      <c r="N66" s="16">
        <f>IF(AND(F66&lt;&gt;"",G66&lt;&gt;"",H66&lt;&gt;"",D66&lt;&gt;""), IF(E66="Long", (G66-F66)*H66*VLOOKUP(D66,Multipliers!A:B,2,FALSE), (F66-G66)*H66*VLOOKUP(D66,Multipliers!A:B,2,FALSE)), "")</f>
        <v/>
      </c>
      <c r="O66" s="9">
        <f>IF(AND(N66&lt;&gt;"",F66&lt;&gt;"",H66&lt;&gt;"",D66&lt;&gt;""), N66/(F66*H66*VLOOKUP(D66,Multipliers!A:B,2,FALSE)), "")</f>
        <v/>
      </c>
      <c r="P66" s="5">
        <f>P65+N66</f>
        <v/>
      </c>
      <c r="Q66" s="5" t="inlineStr">
        <is>
          <t>Break and Retest</t>
        </is>
      </c>
      <c r="R66" s="5" t="inlineStr">
        <is>
          <t>Imported from Tradovate</t>
        </is>
      </c>
      <c r="S66" s="5" t="inlineStr">
        <is>
          <t>MGC</t>
        </is>
      </c>
      <c r="T66" s="5" t="n"/>
      <c r="U66" s="5" t="n"/>
      <c r="V66" s="5" t="inlineStr">
        <is>
          <t>Overtraded</t>
        </is>
      </c>
      <c r="W66" s="5" t="n"/>
      <c r="X66" s="5" t="n"/>
      <c r="Y66" s="5" t="n"/>
      <c r="Z66" s="5" t="n"/>
      <c r="AA66" s="5" t="n"/>
    </row>
    <row r="67" ht="15.75" customHeight="1">
      <c r="A67" s="5" t="n">
        <v>72</v>
      </c>
      <c r="B67" s="22" t="n">
        <v>46260</v>
      </c>
      <c r="C67" s="10" t="n">
        <v>0.8296875</v>
      </c>
      <c r="D67" s="5" t="inlineStr">
        <is>
          <t>MNQ</t>
        </is>
      </c>
      <c r="E67" s="5" t="inlineStr">
        <is>
          <t>Long</t>
        </is>
      </c>
      <c r="F67" s="5" t="n">
        <v>29614.5</v>
      </c>
      <c r="G67" s="5" t="n">
        <v>29655.25</v>
      </c>
      <c r="H67" s="5" t="n">
        <v>1</v>
      </c>
      <c r="I67" s="5" t="n">
        <v>29595.25</v>
      </c>
      <c r="J67" s="5" t="n">
        <v>29655.25</v>
      </c>
      <c r="K67" s="8">
        <f>IF(AND(I67&lt;&gt;"",J67&lt;&gt;"",F67&lt;&gt;""), (J67-F67)/(F67-I67), "")</f>
        <v/>
      </c>
      <c r="L67" s="8">
        <f>IF(AND(F67&lt;&gt;"",G67&lt;&gt;"",I67&lt;&gt;""), (G67-F67)/(F67-I67), "")</f>
        <v/>
      </c>
      <c r="M67" s="5">
        <f>IF(N67&gt;0,"Win",IF(N67&lt;0,"Loss",""))</f>
        <v/>
      </c>
      <c r="N67" s="16">
        <f>IF(AND(F67&lt;&gt;"",G67&lt;&gt;"",H67&lt;&gt;"",D67&lt;&gt;""), IF(E67="Long", (G67-F67)*H67*VLOOKUP(D67,Multipliers!A:B,2,FALSE), (F67-G67)*H67*VLOOKUP(D67,Multipliers!A:B,2,FALSE)), "")</f>
        <v/>
      </c>
      <c r="O67" s="9">
        <f>IF(AND(N67&lt;&gt;"",F67&lt;&gt;"",H67&lt;&gt;"",D67&lt;&gt;""), N67/(F67*H67*VLOOKUP(D67,Multipliers!A:B,2,FALSE)), "")</f>
        <v/>
      </c>
      <c r="P67" s="5">
        <f>P66+N67</f>
        <v/>
      </c>
      <c r="Q67" s="5" t="inlineStr">
        <is>
          <t>Break and Retest</t>
        </is>
      </c>
      <c r="R67" s="5" t="inlineStr">
        <is>
          <t>Imported from Tradovate</t>
        </is>
      </c>
      <c r="S67" s="5" t="inlineStr">
        <is>
          <t>MNQ</t>
        </is>
      </c>
      <c r="T67" s="5" t="n"/>
      <c r="U67" s="5" t="n"/>
      <c r="V67" s="5" t="inlineStr">
        <is>
          <t>Overtraded</t>
        </is>
      </c>
      <c r="W67" s="5" t="n"/>
      <c r="X67" s="5" t="n"/>
      <c r="Y67" s="5" t="n"/>
      <c r="Z67" s="5" t="n"/>
      <c r="AA67" s="5" t="n"/>
    </row>
    <row r="68" ht="15.75" customHeight="1">
      <c r="A68" s="5" t="n">
        <v>73</v>
      </c>
      <c r="B68" s="22" t="n">
        <v>46260</v>
      </c>
      <c r="C68" s="10" t="n">
        <v>0.8367476851851852</v>
      </c>
      <c r="D68" s="5" t="inlineStr">
        <is>
          <t>MNQ</t>
        </is>
      </c>
      <c r="E68" s="5" t="inlineStr">
        <is>
          <t>Long</t>
        </is>
      </c>
      <c r="F68" s="5" t="n">
        <v>29613.5</v>
      </c>
      <c r="G68" s="5" t="n">
        <v>29593.25</v>
      </c>
      <c r="H68" s="5" t="n">
        <v>2</v>
      </c>
      <c r="I68" s="5" t="n">
        <v>29593.5</v>
      </c>
      <c r="J68" s="5" t="n">
        <v>29653.5</v>
      </c>
      <c r="K68" s="8">
        <f>IF(AND(I68&lt;&gt;"",J68&lt;&gt;"",F68&lt;&gt;""), (J68-F68)/(F68-I68), "")</f>
        <v/>
      </c>
      <c r="L68" s="8">
        <f>IF(AND(F68&lt;&gt;"",G68&lt;&gt;"",I68&lt;&gt;""), (G68-F68)/(F68-I68), "")</f>
        <v/>
      </c>
      <c r="M68" s="5">
        <f>IF(N68&gt;0,"Win",IF(N68&lt;0,"Loss",""))</f>
        <v/>
      </c>
      <c r="N68" s="16">
        <f>IF(AND(F68&lt;&gt;"",G68&lt;&gt;"",H68&lt;&gt;"",D68&lt;&gt;""), IF(E68="Long", (G68-F68)*H68*VLOOKUP(D68,Multipliers!A:B,2,FALSE), (F68-G68)*H68*VLOOKUP(D68,Multipliers!A:B,2,FALSE)), "")</f>
        <v/>
      </c>
      <c r="O68" s="9">
        <f>IF(AND(N68&lt;&gt;"",F68&lt;&gt;"",H68&lt;&gt;"",D68&lt;&gt;""), N68/(F68*H68*VLOOKUP(D68,Multipliers!A:B,2,FALSE)), "")</f>
        <v/>
      </c>
      <c r="P68" s="5">
        <f>P67+N68</f>
        <v/>
      </c>
      <c r="Q68" s="5" t="inlineStr">
        <is>
          <t>Break and Retest</t>
        </is>
      </c>
      <c r="R68" s="5" t="inlineStr">
        <is>
          <t>Imported from Tradovate</t>
        </is>
      </c>
      <c r="S68" s="5" t="inlineStr">
        <is>
          <t>MNQ</t>
        </is>
      </c>
      <c r="T68" s="5" t="n"/>
      <c r="U68" s="5" t="n"/>
      <c r="V68" s="5" t="inlineStr">
        <is>
          <t>Overtraded</t>
        </is>
      </c>
      <c r="W68" s="5" t="n"/>
      <c r="X68" s="5" t="n"/>
      <c r="Y68" s="5" t="n"/>
      <c r="Z68" s="5" t="n"/>
      <c r="AA68" s="5" t="n"/>
    </row>
    <row r="69" ht="15.75" customHeight="1">
      <c r="A69" s="5" t="n">
        <v>74</v>
      </c>
      <c r="B69" s="22" t="n">
        <v>46260</v>
      </c>
      <c r="C69" s="10" t="n">
        <v>0.8785763888888889</v>
      </c>
      <c r="D69" s="5" t="inlineStr">
        <is>
          <t>MNQ</t>
        </is>
      </c>
      <c r="E69" s="5" t="inlineStr">
        <is>
          <t>Long</t>
        </is>
      </c>
      <c r="F69" s="5" t="n">
        <v>29467.25</v>
      </c>
      <c r="G69" s="5" t="n">
        <v>29447.25</v>
      </c>
      <c r="H69" s="5" t="n">
        <v>3</v>
      </c>
      <c r="I69" s="5" t="n">
        <v>29429.75</v>
      </c>
      <c r="J69" s="5" t="n">
        <v>29509.75</v>
      </c>
      <c r="K69" s="8">
        <f>IF(AND(I69&lt;&gt;"",J69&lt;&gt;"",F69&lt;&gt;""), (J69-F69)/(F69-I69), "")</f>
        <v/>
      </c>
      <c r="L69" s="8">
        <f>IF(AND(F69&lt;&gt;"",G69&lt;&gt;"",I69&lt;&gt;""), (G69-F69)/(F69-I69), "")</f>
        <v/>
      </c>
      <c r="M69" s="5">
        <f>IF(N69&gt;0,"Win",IF(N69&lt;0,"Loss",""))</f>
        <v/>
      </c>
      <c r="N69" s="16">
        <f>IF(AND(F69&lt;&gt;"",G69&lt;&gt;"",H69&lt;&gt;"",D69&lt;&gt;""), IF(E69="Long", (G69-F69)*H69*VLOOKUP(D69,Multipliers!A:B,2,FALSE), (F69-G69)*H69*VLOOKUP(D69,Multipliers!A:B,2,FALSE)), "")</f>
        <v/>
      </c>
      <c r="O69" s="9">
        <f>IF(AND(N69&lt;&gt;"",F69&lt;&gt;"",H69&lt;&gt;"",D69&lt;&gt;""), N69/(F69*H69*VLOOKUP(D69,Multipliers!A:B,2,FALSE)), "")</f>
        <v/>
      </c>
      <c r="P69" s="5">
        <f>P68+N69</f>
        <v/>
      </c>
      <c r="Q69" s="5" t="inlineStr">
        <is>
          <t>Break and Retest</t>
        </is>
      </c>
      <c r="R69" s="5" t="inlineStr">
        <is>
          <t>Imported from Tradovate</t>
        </is>
      </c>
      <c r="S69" s="5" t="inlineStr">
        <is>
          <t>MNQ</t>
        </is>
      </c>
      <c r="T69" s="5" t="n"/>
      <c r="U69" s="5" t="n"/>
      <c r="V69" s="5" t="inlineStr">
        <is>
          <t>Overtraded</t>
        </is>
      </c>
      <c r="W69" s="5" t="n"/>
      <c r="X69" s="5" t="n"/>
      <c r="Y69" s="5" t="n"/>
      <c r="Z69" s="5" t="n"/>
      <c r="AA69" s="5" t="n"/>
    </row>
    <row r="70" ht="15.75" customHeight="1">
      <c r="A70" s="5" t="n">
        <v>75</v>
      </c>
      <c r="B70" s="22" t="n">
        <v>46260</v>
      </c>
      <c r="C70" s="10" t="n">
        <v>0.8864467592592593</v>
      </c>
      <c r="D70" s="5" t="inlineStr">
        <is>
          <t>MNQ</t>
        </is>
      </c>
      <c r="E70" s="5" t="inlineStr">
        <is>
          <t>Long</t>
        </is>
      </c>
      <c r="F70" s="5" t="n">
        <v>29484.354167</v>
      </c>
      <c r="G70" s="5" t="n">
        <v>29496.958333</v>
      </c>
      <c r="H70" s="5" t="n">
        <v>12</v>
      </c>
      <c r="I70" s="5" t="n">
        <v>29429.75</v>
      </c>
      <c r="J70" s="5" t="n">
        <v>29508</v>
      </c>
      <c r="K70" s="8">
        <f>IF(AND(I70&lt;&gt;"",J70&lt;&gt;"",F70&lt;&gt;""), (J70-F70)/(F70-I70), "")</f>
        <v/>
      </c>
      <c r="L70" s="8">
        <f>IF(AND(F70&lt;&gt;"",G70&lt;&gt;"",I70&lt;&gt;""), (G70-F70)/(F70-I70), "")</f>
        <v/>
      </c>
      <c r="M70" s="5">
        <f>IF(N70&gt;0,"Win",IF(N70&lt;0,"Loss",""))</f>
        <v/>
      </c>
      <c r="N70" s="16">
        <f>IF(AND(F70&lt;&gt;"",G70&lt;&gt;"",H70&lt;&gt;"",D70&lt;&gt;""), IF(E70="Long", (G70-F70)*H70*VLOOKUP(D70,Multipliers!A:B,2,FALSE), (F70-G70)*H70*VLOOKUP(D70,Multipliers!A:B,2,FALSE)), "")</f>
        <v/>
      </c>
      <c r="O70" s="9">
        <f>IF(AND(N70&lt;&gt;"",F70&lt;&gt;"",H70&lt;&gt;"",D70&lt;&gt;""), N70/(F70*H70*VLOOKUP(D70,Multipliers!A:B,2,FALSE)), "")</f>
        <v/>
      </c>
      <c r="P70" s="5">
        <f>P69+N70</f>
        <v/>
      </c>
      <c r="Q70" s="5" t="inlineStr">
        <is>
          <t>Break and Retest</t>
        </is>
      </c>
      <c r="R70" s="5" t="inlineStr">
        <is>
          <t>Imported from Tradovate</t>
        </is>
      </c>
      <c r="S70" s="5" t="inlineStr">
        <is>
          <t>MNQ</t>
        </is>
      </c>
      <c r="T70" s="5" t="n"/>
      <c r="U70" s="5" t="n"/>
      <c r="V70" s="5" t="inlineStr">
        <is>
          <t>Oversized, Revenge trade, Overtraded</t>
        </is>
      </c>
      <c r="W70" s="5" t="n"/>
      <c r="X70" s="5" t="n"/>
      <c r="Y70" s="5" t="n"/>
      <c r="Z70" s="5" t="n"/>
      <c r="AA70" s="5" t="n"/>
    </row>
    <row r="71" ht="15.75" customHeight="1">
      <c r="A71" s="5" t="n">
        <v>76</v>
      </c>
      <c r="B71" s="22" t="n">
        <v>46260</v>
      </c>
      <c r="C71" s="10" t="n">
        <v>0.8938194444444445</v>
      </c>
      <c r="D71" s="5" t="inlineStr">
        <is>
          <t>MNQ</t>
        </is>
      </c>
      <c r="E71" s="5" t="inlineStr">
        <is>
          <t>Long</t>
        </is>
      </c>
      <c r="F71" s="5" t="n">
        <v>29504.25</v>
      </c>
      <c r="G71" s="5" t="n">
        <v>29514.75</v>
      </c>
      <c r="H71" s="5" t="n">
        <v>2</v>
      </c>
      <c r="I71" s="5" t="n"/>
      <c r="J71" s="5" t="n">
        <v>29514.75</v>
      </c>
      <c r="K71" s="8">
        <f>IF(AND(I71&lt;&gt;"",J71&lt;&gt;"",F71&lt;&gt;""), (J71-F71)/(F71-I71), "")</f>
        <v/>
      </c>
      <c r="L71" s="8">
        <f>IF(AND(F71&lt;&gt;"",G71&lt;&gt;"",I71&lt;&gt;""), (G71-F71)/(F71-I71), "")</f>
        <v/>
      </c>
      <c r="M71" s="5">
        <f>IF(N71&gt;0,"Win",IF(N71&lt;0,"Loss",""))</f>
        <v/>
      </c>
      <c r="N71" s="16">
        <f>IF(AND(F71&lt;&gt;"",G71&lt;&gt;"",H71&lt;&gt;"",D71&lt;&gt;""), IF(E71="Long", (G71-F71)*H71*VLOOKUP(D71,Multipliers!A:B,2,FALSE), (F71-G71)*H71*VLOOKUP(D71,Multipliers!A:B,2,FALSE)), "")</f>
        <v/>
      </c>
      <c r="O71" s="9">
        <f>IF(AND(N71&lt;&gt;"",F71&lt;&gt;"",H71&lt;&gt;"",D71&lt;&gt;""), N71/(F71*H71*VLOOKUP(D71,Multipliers!A:B,2,FALSE)), "")</f>
        <v/>
      </c>
      <c r="P71" s="5">
        <f>P70+N71</f>
        <v/>
      </c>
      <c r="Q71" s="5" t="inlineStr">
        <is>
          <t>Break and Retest</t>
        </is>
      </c>
      <c r="R71" s="5" t="inlineStr">
        <is>
          <t>Imported from Tradovate</t>
        </is>
      </c>
      <c r="S71" s="5" t="inlineStr">
        <is>
          <t>MNQ</t>
        </is>
      </c>
      <c r="T71" s="5" t="n"/>
      <c r="U71" s="5" t="n"/>
      <c r="V71" s="5" t="inlineStr">
        <is>
          <t>Overtraded</t>
        </is>
      </c>
      <c r="W71" s="5" t="n"/>
      <c r="X71" s="5" t="n"/>
      <c r="Y71" s="5" t="n"/>
      <c r="Z71" s="5" t="n"/>
      <c r="AA71" s="5" t="n"/>
    </row>
    <row r="72" ht="15.75" customHeight="1">
      <c r="A72" s="5" t="n">
        <v>77</v>
      </c>
      <c r="B72" s="22" t="n">
        <v>46260</v>
      </c>
      <c r="C72" s="10" t="n">
        <v>0.8998263888888889</v>
      </c>
      <c r="D72" s="5" t="inlineStr">
        <is>
          <t>MNQ</t>
        </is>
      </c>
      <c r="E72" s="5" t="inlineStr">
        <is>
          <t>Long</t>
        </is>
      </c>
      <c r="F72" s="5" t="n">
        <v>29515.5</v>
      </c>
      <c r="G72" s="5" t="n">
        <v>29530.25</v>
      </c>
      <c r="H72" s="5" t="n">
        <v>3</v>
      </c>
      <c r="I72" s="5" t="n"/>
      <c r="J72" s="5" t="n">
        <v>29530.25</v>
      </c>
      <c r="K72" s="8">
        <f>IF(AND(I72&lt;&gt;"",J72&lt;&gt;"",F72&lt;&gt;""), (J72-F72)/(F72-I72), "")</f>
        <v/>
      </c>
      <c r="L72" s="8">
        <f>IF(AND(F72&lt;&gt;"",G72&lt;&gt;"",I72&lt;&gt;""), (G72-F72)/(F72-I72), "")</f>
        <v/>
      </c>
      <c r="M72" s="5">
        <f>IF(N72&gt;0,"Win",IF(N72&lt;0,"Loss",""))</f>
        <v/>
      </c>
      <c r="N72" s="16">
        <f>IF(AND(F72&lt;&gt;"",G72&lt;&gt;"",H72&lt;&gt;"",D72&lt;&gt;""), IF(E72="Long", (G72-F72)*H72*VLOOKUP(D72,Multipliers!A:B,2,FALSE), (F72-G72)*H72*VLOOKUP(D72,Multipliers!A:B,2,FALSE)), "")</f>
        <v/>
      </c>
      <c r="O72" s="9">
        <f>IF(AND(N72&lt;&gt;"",F72&lt;&gt;"",H72&lt;&gt;"",D72&lt;&gt;""), N72/(F72*H72*VLOOKUP(D72,Multipliers!A:B,2,FALSE)), "")</f>
        <v/>
      </c>
      <c r="P72" s="5">
        <f>P71+N72</f>
        <v/>
      </c>
      <c r="Q72" s="5" t="inlineStr">
        <is>
          <t>Break and Retest</t>
        </is>
      </c>
      <c r="R72" s="5" t="inlineStr">
        <is>
          <t>Imported from Tradovate</t>
        </is>
      </c>
      <c r="S72" s="5" t="inlineStr">
        <is>
          <t>MNQ</t>
        </is>
      </c>
      <c r="T72" s="5" t="n"/>
      <c r="U72" s="5" t="n"/>
      <c r="V72" s="5" t="inlineStr">
        <is>
          <t>Overtraded</t>
        </is>
      </c>
      <c r="W72" s="5" t="n"/>
      <c r="X72" s="5" t="n"/>
      <c r="Y72" s="5" t="n"/>
      <c r="Z72" s="5" t="n"/>
      <c r="AA72" s="5" t="n"/>
    </row>
    <row r="73" ht="15.75" customHeight="1">
      <c r="A73" s="5" t="n">
        <v>78</v>
      </c>
      <c r="B73" s="22" t="n">
        <v>46260</v>
      </c>
      <c r="C73" s="10" t="n">
        <v>0.9321412037037037</v>
      </c>
      <c r="D73" s="5" t="inlineStr">
        <is>
          <t>MNQ</t>
        </is>
      </c>
      <c r="E73" s="5" t="inlineStr">
        <is>
          <t>Short</t>
        </is>
      </c>
      <c r="F73" s="5" t="n">
        <v>29534</v>
      </c>
      <c r="G73" s="5" t="n">
        <v>29529</v>
      </c>
      <c r="H73" s="5" t="n">
        <v>5</v>
      </c>
      <c r="I73" s="5" t="n">
        <v>29549</v>
      </c>
      <c r="J73" s="5" t="n">
        <v>29529</v>
      </c>
      <c r="K73" s="8">
        <f>IF(AND(I73&lt;&gt;"",J73&lt;&gt;"",F73&lt;&gt;""), (J73-F73)/(F73-I73), "")</f>
        <v/>
      </c>
      <c r="L73" s="8">
        <f>IF(AND(F73&lt;&gt;"",G73&lt;&gt;"",I73&lt;&gt;""), (G73-F73)/(F73-I73), "")</f>
        <v/>
      </c>
      <c r="M73" s="5">
        <f>IF(N73&gt;0,"Win",IF(N73&lt;0,"Loss",""))</f>
        <v/>
      </c>
      <c r="N73" s="16">
        <f>IF(AND(F73&lt;&gt;"",G73&lt;&gt;"",H73&lt;&gt;"",D73&lt;&gt;""), IF(E73="Long", (G73-F73)*H73*VLOOKUP(D73,Multipliers!A:B,2,FALSE), (F73-G73)*H73*VLOOKUP(D73,Multipliers!A:B,2,FALSE)), "")</f>
        <v/>
      </c>
      <c r="O73" s="9">
        <f>IF(AND(N73&lt;&gt;"",F73&lt;&gt;"",H73&lt;&gt;"",D73&lt;&gt;""), N73/(F73*H73*VLOOKUP(D73,Multipliers!A:B,2,FALSE)), "")</f>
        <v/>
      </c>
      <c r="P73" s="5">
        <f>P72+N73</f>
        <v/>
      </c>
      <c r="Q73" s="5" t="inlineStr">
        <is>
          <t>Break and Retest</t>
        </is>
      </c>
      <c r="R73" s="5" t="inlineStr">
        <is>
          <t>Imported from Tradovate</t>
        </is>
      </c>
      <c r="S73" s="5" t="inlineStr">
        <is>
          <t>MNQ</t>
        </is>
      </c>
      <c r="T73" s="5" t="n"/>
      <c r="U73" s="5" t="n"/>
      <c r="V73" s="5" t="inlineStr">
        <is>
          <t>Overtraded</t>
        </is>
      </c>
      <c r="W73" s="5" t="n"/>
      <c r="X73" s="5" t="n"/>
      <c r="Y73" s="5" t="n"/>
      <c r="Z73" s="5" t="n"/>
      <c r="AA73" s="5" t="n"/>
    </row>
    <row r="74" ht="15.75" customHeight="1">
      <c r="A74" s="5" t="n">
        <v>79</v>
      </c>
      <c r="B74" s="22" t="n">
        <v>46261</v>
      </c>
      <c r="C74" s="10" t="n">
        <v>0.4055324074074074</v>
      </c>
      <c r="D74" s="5" t="inlineStr">
        <is>
          <t>MGC</t>
        </is>
      </c>
      <c r="E74" s="5" t="inlineStr">
        <is>
          <t>Short</t>
        </is>
      </c>
      <c r="F74" s="5" t="n">
        <v>4633.6</v>
      </c>
      <c r="G74" s="5" t="n">
        <v>4621.6</v>
      </c>
      <c r="H74" s="5" t="n">
        <v>3</v>
      </c>
      <c r="I74" s="5" t="n">
        <v>4639.6</v>
      </c>
      <c r="J74" s="5" t="n">
        <v>4621.6</v>
      </c>
      <c r="K74" s="8">
        <f>IF(AND(I74&lt;&gt;"",J74&lt;&gt;"",F74&lt;&gt;""), (J74-F74)/(F74-I74), "")</f>
        <v/>
      </c>
      <c r="L74" s="8">
        <f>IF(AND(F74&lt;&gt;"",G74&lt;&gt;"",I74&lt;&gt;""), (G74-F74)/(F74-I74), "")</f>
        <v/>
      </c>
      <c r="M74" s="5">
        <f>IF(N74&gt;0,"Win",IF(N74&lt;0,"Loss",""))</f>
        <v/>
      </c>
      <c r="N74" s="16">
        <f>IF(AND(F74&lt;&gt;"",G74&lt;&gt;"",H74&lt;&gt;"",D74&lt;&gt;""), IF(E74="Long", (G74-F74)*H74*VLOOKUP(D74,Multipliers!A:B,2,FALSE), (F74-G74)*H74*VLOOKUP(D74,Multipliers!A:B,2,FALSE)), "")</f>
        <v/>
      </c>
      <c r="O74" s="9">
        <f>IF(AND(N74&lt;&gt;"",F74&lt;&gt;"",H74&lt;&gt;"",D74&lt;&gt;""), N74/(F74*H74*VLOOKUP(D74,Multipliers!A:B,2,FALSE)), "")</f>
        <v/>
      </c>
      <c r="P74" s="5">
        <f>P73+N74</f>
        <v/>
      </c>
      <c r="Q74" s="5" t="inlineStr">
        <is>
          <t>Break and Retest</t>
        </is>
      </c>
      <c r="R74" s="5" t="inlineStr">
        <is>
          <t>Imported from Tradovate</t>
        </is>
      </c>
      <c r="S74" s="5" t="inlineStr">
        <is>
          <t>MGC</t>
        </is>
      </c>
      <c r="T74" s="5" t="n"/>
      <c r="U74" s="5" t="inlineStr">
        <is>
          <t>https://www.tradingview.com/x/ThCH9HRj/</t>
        </is>
      </c>
      <c r="V74" s="5" t="inlineStr">
        <is>
          <t>Overtraded</t>
        </is>
      </c>
      <c r="W74" s="5" t="inlineStr"/>
      <c r="X74" s="5" t="inlineStr"/>
      <c r="Y74" s="5" t="inlineStr"/>
      <c r="Z74" s="5" t="inlineStr"/>
      <c r="AA74" s="5" t="inlineStr"/>
    </row>
    <row r="75" ht="15.75" customHeight="1">
      <c r="A75" s="5" t="n">
        <v>80</v>
      </c>
      <c r="B75" s="22" t="n">
        <v>46261</v>
      </c>
      <c r="C75" s="10" t="n">
        <v>0.4289351851851852</v>
      </c>
      <c r="D75" s="5" t="inlineStr">
        <is>
          <t>MGC</t>
        </is>
      </c>
      <c r="E75" s="5" t="inlineStr">
        <is>
          <t>Short</t>
        </is>
      </c>
      <c r="F75" s="5" t="n">
        <v>4635.2</v>
      </c>
      <c r="G75" s="5" t="n">
        <v>4633.4</v>
      </c>
      <c r="H75" s="5" t="n">
        <v>3</v>
      </c>
      <c r="I75" s="5" t="n">
        <v>4641.2</v>
      </c>
      <c r="J75" s="5" t="n">
        <v>4633.4</v>
      </c>
      <c r="K75" s="8">
        <f>IF(AND(I75&lt;&gt;"",J75&lt;&gt;"",F75&lt;&gt;""), (J75-F75)/(F75-I75), "")</f>
        <v/>
      </c>
      <c r="L75" s="8">
        <f>IF(AND(F75&lt;&gt;"",G75&lt;&gt;"",I75&lt;&gt;""), (G75-F75)/(F75-I75), "")</f>
        <v/>
      </c>
      <c r="M75" s="5">
        <f>IF(N75&gt;0,"Win",IF(N75&lt;0,"Loss",""))</f>
        <v/>
      </c>
      <c r="N75" s="16">
        <f>IF(AND(F75&lt;&gt;"",G75&lt;&gt;"",H75&lt;&gt;"",D75&lt;&gt;""), IF(E75="Long", (G75-F75)*H75*VLOOKUP(D75,Multipliers!A:B,2,FALSE), (F75-G75)*H75*VLOOKUP(D75,Multipliers!A:B,2,FALSE)), "")</f>
        <v/>
      </c>
      <c r="O75" s="9">
        <f>IF(AND(N75&lt;&gt;"",F75&lt;&gt;"",H75&lt;&gt;"",D75&lt;&gt;""), N75/(F75*H75*VLOOKUP(D75,Multipliers!A:B,2,FALSE)), "")</f>
        <v/>
      </c>
      <c r="P75" s="5">
        <f>P74+N75</f>
        <v/>
      </c>
      <c r="Q75" s="5" t="inlineStr">
        <is>
          <t>Break and Retest</t>
        </is>
      </c>
      <c r="R75" s="5" t="inlineStr">
        <is>
          <t>Imported from Tradovate</t>
        </is>
      </c>
      <c r="S75" s="5" t="inlineStr">
        <is>
          <t>MGC</t>
        </is>
      </c>
      <c r="T75" s="5" t="n"/>
      <c r="U75" s="5" t="inlineStr">
        <is>
          <t>https://www.tradingview.com/x/ThCH9HRj/</t>
        </is>
      </c>
      <c r="V75" s="5" t="inlineStr"/>
      <c r="W75" s="5" t="inlineStr"/>
      <c r="X75" s="5" t="inlineStr"/>
      <c r="Y75" s="5" t="inlineStr"/>
      <c r="Z75" s="5" t="inlineStr"/>
      <c r="AA75" s="5" t="inlineStr"/>
    </row>
    <row r="76" ht="15.75" customHeight="1">
      <c r="A76" s="5" t="n">
        <v>81</v>
      </c>
      <c r="B76" s="22" t="n">
        <v>46262</v>
      </c>
      <c r="C76" s="10" t="n">
        <v>0.4231597222222222</v>
      </c>
      <c r="D76" s="5" t="inlineStr">
        <is>
          <t>MGC</t>
        </is>
      </c>
      <c r="E76" s="5" t="inlineStr">
        <is>
          <t>Short</t>
        </is>
      </c>
      <c r="F76" s="5" t="n">
        <v>4629.7</v>
      </c>
      <c r="G76" s="5" t="n">
        <v>4608.4</v>
      </c>
      <c r="H76" s="5" t="n">
        <v>2</v>
      </c>
      <c r="I76" s="5" t="n">
        <v>4635.8</v>
      </c>
      <c r="J76" s="5" t="n">
        <v>4609</v>
      </c>
      <c r="K76" s="8">
        <f>IF(AND(I76&lt;&gt;"",J76&lt;&gt;"",F76&lt;&gt;""), (J76-F76)/(F76-I76), "")</f>
        <v/>
      </c>
      <c r="L76" s="8">
        <f>IF(AND(F76&lt;&gt;"",G76&lt;&gt;"",I76&lt;&gt;""), (G76-F76)/(F76-I76), "")</f>
        <v/>
      </c>
      <c r="M76" s="5">
        <f>IF(N76&gt;0,"Win",IF(N76&lt;0,"Loss",""))</f>
        <v/>
      </c>
      <c r="N76" s="16">
        <f>IF(AND(F76&lt;&gt;"",G76&lt;&gt;"",H76&lt;&gt;"",D76&lt;&gt;""), IF(E76="Long", (G76-F76)*H76*VLOOKUP(D76,Multipliers!A:B,2,FALSE), (F76-G76)*H76*VLOOKUP(D76,Multipliers!A:B,2,FALSE)), "")</f>
        <v/>
      </c>
      <c r="O76" s="9">
        <f>IF(AND(N76&lt;&gt;"",F76&lt;&gt;"",H76&lt;&gt;"",D76&lt;&gt;""), N76/(F76*H76*VLOOKUP(D76,Multipliers!A:B,2,FALSE)), "")</f>
        <v/>
      </c>
      <c r="P76" s="5">
        <f>P75+N76</f>
        <v/>
      </c>
      <c r="Q76" s="5" t="inlineStr">
        <is>
          <t>Break and Retest</t>
        </is>
      </c>
      <c r="R76" s="5" t="inlineStr">
        <is>
          <t>Imported from Tradovate</t>
        </is>
      </c>
      <c r="S76" s="5" t="inlineStr">
        <is>
          <t>MGC</t>
        </is>
      </c>
      <c r="T76" s="5" t="n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</row>
    <row r="77" ht="15.75" customHeight="1">
      <c r="A77" s="5" t="n">
        <v>82</v>
      </c>
      <c r="B77" s="22" t="n">
        <v>46262</v>
      </c>
      <c r="C77" s="10" t="n">
        <v>0.4344212962962963</v>
      </c>
      <c r="D77" s="5" t="inlineStr">
        <is>
          <t>MNQ</t>
        </is>
      </c>
      <c r="E77" s="5" t="inlineStr">
        <is>
          <t>Short</t>
        </is>
      </c>
      <c r="F77" s="5" t="n">
        <v>29642.25</v>
      </c>
      <c r="G77" s="5" t="n">
        <v>29608.75</v>
      </c>
      <c r="H77" s="5" t="n">
        <v>2</v>
      </c>
      <c r="I77" s="5" t="n">
        <v>29684</v>
      </c>
      <c r="J77" s="5" t="n">
        <v>29608.25</v>
      </c>
      <c r="K77" s="8">
        <f>IF(AND(I77&lt;&gt;"",J77&lt;&gt;"",F77&lt;&gt;""), (J77-F77)/(F77-I77), "")</f>
        <v/>
      </c>
      <c r="L77" s="8">
        <f>IF(AND(F77&lt;&gt;"",G77&lt;&gt;"",I77&lt;&gt;""), (G77-F77)/(F77-I77), "")</f>
        <v/>
      </c>
      <c r="M77" s="5">
        <f>IF(N77&gt;0,"Win",IF(N77&lt;0,"Loss",""))</f>
        <v/>
      </c>
      <c r="N77" s="16">
        <f>IF(AND(F77&lt;&gt;"",G77&lt;&gt;"",H77&lt;&gt;"",D77&lt;&gt;""), IF(E77="Long", (G77-F77)*H77*VLOOKUP(D77,Multipliers!A:B,2,FALSE), (F77-G77)*H77*VLOOKUP(D77,Multipliers!A:B,2,FALSE)), "")</f>
        <v/>
      </c>
      <c r="O77" s="9">
        <f>IF(AND(N77&lt;&gt;"",F77&lt;&gt;"",H77&lt;&gt;"",D77&lt;&gt;""), N77/(F77*H77*VLOOKUP(D77,Multipliers!A:B,2,FALSE)), "")</f>
        <v/>
      </c>
      <c r="P77" s="5">
        <f>P76+N77</f>
        <v/>
      </c>
      <c r="Q77" s="5" t="inlineStr">
        <is>
          <t>Rejection</t>
        </is>
      </c>
      <c r="R77" s="5" t="inlineStr">
        <is>
          <t>Imported from Tradovate</t>
        </is>
      </c>
      <c r="S77" s="5" t="inlineStr">
        <is>
          <t>MNQ</t>
        </is>
      </c>
      <c r="T77" s="5" t="n"/>
      <c r="U77" s="5" t="inlineStr"/>
      <c r="V77" s="5" t="inlineStr">
        <is>
          <t>Cut winner early</t>
        </is>
      </c>
      <c r="W77" s="5" t="inlineStr"/>
      <c r="X77" s="5" t="inlineStr"/>
      <c r="Y77" s="5" t="inlineStr"/>
      <c r="Z77" s="5" t="inlineStr"/>
      <c r="AA77" s="5" t="inlineStr"/>
    </row>
    <row r="78" ht="15.75" customHeight="1">
      <c r="A78" s="5" t="n">
        <v>83</v>
      </c>
      <c r="B78" s="22" t="n">
        <v>46262</v>
      </c>
      <c r="C78" s="10" t="n">
        <v>0.4447569444444445</v>
      </c>
      <c r="D78" s="5" t="inlineStr">
        <is>
          <t>MNQ</t>
        </is>
      </c>
      <c r="E78" s="5" t="inlineStr">
        <is>
          <t>Short</t>
        </is>
      </c>
      <c r="F78" s="5" t="n">
        <v>29692.25</v>
      </c>
      <c r="G78" s="5" t="n">
        <v>29717.75</v>
      </c>
      <c r="H78" s="5" t="n">
        <v>2</v>
      </c>
      <c r="I78" s="5" t="n">
        <v>29717.5</v>
      </c>
      <c r="J78" s="5" t="n">
        <v>29647</v>
      </c>
      <c r="K78" s="8">
        <f>IF(AND(I78&lt;&gt;"",J78&lt;&gt;"",F78&lt;&gt;""), (J78-F78)/(F78-I78), "")</f>
        <v/>
      </c>
      <c r="L78" s="8">
        <f>IF(AND(F78&lt;&gt;"",G78&lt;&gt;"",I78&lt;&gt;""), (G78-F78)/(F78-I78), "")</f>
        <v/>
      </c>
      <c r="M78" s="5">
        <f>IF(N78&gt;0,"Win",IF(N78&lt;0,"Loss",""))</f>
        <v/>
      </c>
      <c r="N78" s="16">
        <f>IF(AND(F78&lt;&gt;"",G78&lt;&gt;"",H78&lt;&gt;"",D78&lt;&gt;""), IF(E78="Long", (G78-F78)*H78*VLOOKUP(D78,Multipliers!A:B,2,FALSE), (F78-G78)*H78*VLOOKUP(D78,Multipliers!A:B,2,FALSE)), "")</f>
        <v/>
      </c>
      <c r="O78" s="9">
        <f>IF(AND(N78&lt;&gt;"",F78&lt;&gt;"",H78&lt;&gt;"",D78&lt;&gt;""), N78/(F78*H78*VLOOKUP(D78,Multipliers!A:B,2,FALSE)), "")</f>
        <v/>
      </c>
      <c r="P78" s="5">
        <f>P77+N78</f>
        <v/>
      </c>
      <c r="Q78" s="5" t="inlineStr">
        <is>
          <t>Break and Retest</t>
        </is>
      </c>
      <c r="R78" s="5" t="inlineStr">
        <is>
          <t>Imported from Tradovate</t>
        </is>
      </c>
      <c r="S78" s="5" t="inlineStr">
        <is>
          <t>MNQ</t>
        </is>
      </c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>
        <v>84</v>
      </c>
      <c r="B79" s="22" t="n">
        <v>46262</v>
      </c>
      <c r="C79" s="10" t="n">
        <v>0.4671759259259259</v>
      </c>
      <c r="D79" s="5" t="inlineStr">
        <is>
          <t>MNQ</t>
        </is>
      </c>
      <c r="E79" s="5" t="inlineStr">
        <is>
          <t>Short</t>
        </is>
      </c>
      <c r="F79" s="5" t="n">
        <v>29747.5</v>
      </c>
      <c r="G79" s="5" t="n">
        <v>29749.75</v>
      </c>
      <c r="H79" s="5" t="n">
        <v>3</v>
      </c>
      <c r="I79" s="5" t="n">
        <v>29759.75</v>
      </c>
      <c r="J79" s="5" t="n"/>
      <c r="K79" s="8">
        <f>IF(AND(I79&lt;&gt;"",J79&lt;&gt;"",F79&lt;&gt;""), (J79-F79)/(F79-I79), "")</f>
        <v/>
      </c>
      <c r="L79" s="8">
        <f>IF(AND(F79&lt;&gt;"",G79&lt;&gt;"",I79&lt;&gt;""), (G79-F79)/(F79-I79), "")</f>
        <v/>
      </c>
      <c r="M79" s="5">
        <f>IF(N79&gt;0,"Win",IF(N79&lt;0,"Loss",""))</f>
        <v/>
      </c>
      <c r="N79" s="16">
        <f>IF(AND(F79&lt;&gt;"",G79&lt;&gt;"",H79&lt;&gt;"",D79&lt;&gt;""), IF(E79="Long", (G79-F79)*H79*VLOOKUP(D79,Multipliers!A:B,2,FALSE), (F79-G79)*H79*VLOOKUP(D79,Multipliers!A:B,2,FALSE)), "")</f>
        <v/>
      </c>
      <c r="O79" s="9">
        <f>IF(AND(N79&lt;&gt;"",F79&lt;&gt;"",H79&lt;&gt;"",D79&lt;&gt;""), N79/(F79*H79*VLOOKUP(D79,Multipliers!A:B,2,FALSE)), "")</f>
        <v/>
      </c>
      <c r="P79" s="5">
        <f>P78+N79</f>
        <v/>
      </c>
      <c r="Q79" s="5" t="inlineStr">
        <is>
          <t>Break and Retest</t>
        </is>
      </c>
      <c r="R79" s="5" t="inlineStr">
        <is>
          <t>Imported from Tradovate</t>
        </is>
      </c>
      <c r="S79" s="5" t="inlineStr">
        <is>
          <t>MNQ</t>
        </is>
      </c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>
        <v>85</v>
      </c>
      <c r="B80" s="22" t="n">
        <v>46262</v>
      </c>
      <c r="C80" s="10" t="n">
        <v>0.5370833333333334</v>
      </c>
      <c r="D80" s="5" t="inlineStr">
        <is>
          <t>MNQ</t>
        </is>
      </c>
      <c r="E80" s="5" t="inlineStr">
        <is>
          <t>Long</t>
        </is>
      </c>
      <c r="F80" s="5" t="n">
        <v>29537.25</v>
      </c>
      <c r="G80" s="5" t="n">
        <v>29510.25</v>
      </c>
      <c r="H80" s="5" t="n">
        <v>3</v>
      </c>
      <c r="I80" s="5" t="n">
        <v>29510.25</v>
      </c>
      <c r="J80" s="5" t="n">
        <v>29557.75</v>
      </c>
      <c r="K80" s="8">
        <f>IF(AND(I80&lt;&gt;"",J80&lt;&gt;"",F80&lt;&gt;""), (J80-F80)/(F80-I80), "")</f>
        <v/>
      </c>
      <c r="L80" s="8">
        <f>IF(AND(F80&lt;&gt;"",G80&lt;&gt;"",I80&lt;&gt;""), (G80-F80)/(F80-I80), "")</f>
        <v/>
      </c>
      <c r="M80" s="5">
        <f>IF(N80&gt;0,"Win",IF(N80&lt;0,"Loss",""))</f>
        <v/>
      </c>
      <c r="N80" s="16">
        <f>IF(AND(F80&lt;&gt;"",G80&lt;&gt;"",H80&lt;&gt;"",D80&lt;&gt;""), IF(E80="Long", (G80-F80)*H80*VLOOKUP(D80,Multipliers!A:B,2,FALSE), (F80-G80)*H80*VLOOKUP(D80,Multipliers!A:B,2,FALSE)), "")</f>
        <v/>
      </c>
      <c r="O80" s="9">
        <f>IF(AND(N80&lt;&gt;"",F80&lt;&gt;"",H80&lt;&gt;"",D80&lt;&gt;""), N80/(F80*H80*VLOOKUP(D80,Multipliers!A:B,2,FALSE)), "")</f>
        <v/>
      </c>
      <c r="P80" s="5">
        <f>P79+N80</f>
        <v/>
      </c>
      <c r="Q80" s="5" t="inlineStr">
        <is>
          <t>Break and Retest</t>
        </is>
      </c>
      <c r="R80" s="5" t="inlineStr">
        <is>
          <t>Imported from Tradovate</t>
        </is>
      </c>
      <c r="S80" s="5" t="inlineStr">
        <is>
          <t>MNQ</t>
        </is>
      </c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>
        <v>86</v>
      </c>
      <c r="B81" s="22" t="n">
        <v>46264</v>
      </c>
      <c r="C81" s="10" t="n">
        <v>0.7525925925925926</v>
      </c>
      <c r="D81" s="5" t="inlineStr">
        <is>
          <t>MGC</t>
        </is>
      </c>
      <c r="E81" s="5" t="inlineStr">
        <is>
          <t>Long</t>
        </is>
      </c>
      <c r="F81" s="5" t="n">
        <v>4499.6</v>
      </c>
      <c r="G81" s="5" t="n">
        <v>4506.233333</v>
      </c>
      <c r="H81" s="5" t="n">
        <v>3</v>
      </c>
      <c r="I81" s="5" t="n">
        <v>4482.5</v>
      </c>
      <c r="J81" s="5" t="n">
        <v>4506.5</v>
      </c>
      <c r="K81" s="8">
        <f>IF(AND(I81&lt;&gt;"",J81&lt;&gt;"",F81&lt;&gt;""), (J81-F81)/(F81-I81), "")</f>
        <v/>
      </c>
      <c r="L81" s="8">
        <f>IF(AND(F81&lt;&gt;"",G81&lt;&gt;"",I81&lt;&gt;""), (G81-F81)/(F81-I81), "")</f>
        <v/>
      </c>
      <c r="M81" s="5">
        <f>IF(N81&gt;0,"Win",IF(N81&lt;0,"Loss",""))</f>
        <v/>
      </c>
      <c r="N81" s="16">
        <f>IF(AND(F81&lt;&gt;"",G81&lt;&gt;"",H81&lt;&gt;"",D81&lt;&gt;""), IF(E81="Long", (G81-F81)*H81*VLOOKUP(D81,Multipliers!A:B,2,FALSE), (F81-G81)*H81*VLOOKUP(D81,Multipliers!A:B,2,FALSE)), "")</f>
        <v/>
      </c>
      <c r="O81" s="9">
        <f>IF(AND(N81&lt;&gt;"",F81&lt;&gt;"",H81&lt;&gt;"",D81&lt;&gt;""), N81/(F81*H81*VLOOKUP(D81,Multipliers!A:B,2,FALSE)), "")</f>
        <v/>
      </c>
      <c r="P81" s="5">
        <f>P80+N81</f>
        <v/>
      </c>
      <c r="Q81" s="5" t="inlineStr">
        <is>
          <t>Gap up</t>
        </is>
      </c>
      <c r="R81" s="5" t="inlineStr">
        <is>
          <t>Imported from Tradovate</t>
        </is>
      </c>
      <c r="S81" s="5" t="inlineStr">
        <is>
          <t>MGC</t>
        </is>
      </c>
      <c r="T81" s="5" t="n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</row>
    <row r="82" ht="15.75" customHeight="1">
      <c r="A82" s="5" t="n">
        <v>87</v>
      </c>
      <c r="B82" s="22" t="n">
        <v>46264</v>
      </c>
      <c r="C82" s="10" t="n">
        <v>0.7696064814814815</v>
      </c>
      <c r="D82" s="5" t="inlineStr">
        <is>
          <t>MGC</t>
        </is>
      </c>
      <c r="E82" s="5" t="inlineStr">
        <is>
          <t>Short</t>
        </is>
      </c>
      <c r="F82" s="5" t="n">
        <v>4508.933333</v>
      </c>
      <c r="G82" s="5" t="n">
        <v>4508.1</v>
      </c>
      <c r="H82" s="5" t="n">
        <v>3</v>
      </c>
      <c r="I82" s="5" t="n">
        <v>4521.7</v>
      </c>
      <c r="J82" s="5" t="n">
        <v>4508.2</v>
      </c>
      <c r="K82" s="8">
        <f>IF(AND(I82&lt;&gt;"",J82&lt;&gt;"",F82&lt;&gt;""), (J82-F82)/(F82-I82), "")</f>
        <v/>
      </c>
      <c r="L82" s="8">
        <f>IF(AND(F82&lt;&gt;"",G82&lt;&gt;"",I82&lt;&gt;""), (G82-F82)/(F82-I82), "")</f>
        <v/>
      </c>
      <c r="M82" s="5">
        <f>IF(N82&gt;0,"Win",IF(N82&lt;0,"Loss",""))</f>
        <v/>
      </c>
      <c r="N82" s="16">
        <f>IF(AND(F82&lt;&gt;"",G82&lt;&gt;"",H82&lt;&gt;"",D82&lt;&gt;""), IF(E82="Long", (G82-F82)*H82*VLOOKUP(D82,Multipliers!A:B,2,FALSE), (F82-G82)*H82*VLOOKUP(D82,Multipliers!A:B,2,FALSE)), "")</f>
        <v/>
      </c>
      <c r="O82" s="9">
        <f>IF(AND(N82&lt;&gt;"",F82&lt;&gt;"",H82&lt;&gt;"",D82&lt;&gt;""), N82/(F82*H82*VLOOKUP(D82,Multipliers!A:B,2,FALSE)), "")</f>
        <v/>
      </c>
      <c r="P82" s="5">
        <f>P81+N82</f>
        <v/>
      </c>
      <c r="Q82" s="5" t="inlineStr">
        <is>
          <t>ZTH Indicator</t>
        </is>
      </c>
      <c r="R82" s="5" t="inlineStr">
        <is>
          <t>Imported from Tradovate</t>
        </is>
      </c>
      <c r="S82" s="5" t="inlineStr">
        <is>
          <t>MGC</t>
        </is>
      </c>
      <c r="T82" s="5" t="n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</row>
    <row r="83" ht="15.75" customHeight="1">
      <c r="A83" s="5" t="n">
        <v>88</v>
      </c>
      <c r="B83" s="22" t="n">
        <v>46265</v>
      </c>
      <c r="C83" s="10" t="n">
        <v>0.004861111111111111</v>
      </c>
      <c r="D83" s="5" t="inlineStr">
        <is>
          <t>MGC</t>
        </is>
      </c>
      <c r="E83" s="5" t="inlineStr">
        <is>
          <t>Short</t>
        </is>
      </c>
      <c r="F83" s="5" t="n">
        <v>4468.4</v>
      </c>
      <c r="G83" s="5" t="n">
        <v>4466.833333</v>
      </c>
      <c r="H83" s="5" t="n">
        <v>3</v>
      </c>
      <c r="I83" s="5" t="n">
        <v>4472.6</v>
      </c>
      <c r="J83" s="5" t="n">
        <v>4466.7</v>
      </c>
      <c r="K83" s="8">
        <f>IF(AND(I83&lt;&gt;"",J83&lt;&gt;"",F83&lt;&gt;""), (J83-F83)/(F83-I83), "")</f>
        <v/>
      </c>
      <c r="L83" s="8">
        <f>IF(AND(F83&lt;&gt;"",G83&lt;&gt;"",I83&lt;&gt;""), (G83-F83)/(F83-I83), "")</f>
        <v/>
      </c>
      <c r="M83" s="5">
        <f>IF(N83&gt;0,"Win",IF(N83&lt;0,"Loss",""))</f>
        <v/>
      </c>
      <c r="N83" s="16">
        <f>IF(AND(F83&lt;&gt;"",G83&lt;&gt;"",H83&lt;&gt;"",D83&lt;&gt;""), IF(E83="Long", (G83-F83)*H83*VLOOKUP(D83,Multipliers!A:B,2,FALSE), (F83-G83)*H83*VLOOKUP(D83,Multipliers!A:B,2,FALSE)), "")</f>
        <v/>
      </c>
      <c r="O83" s="9">
        <f>IF(AND(N83&lt;&gt;"",F83&lt;&gt;"",H83&lt;&gt;"",D83&lt;&gt;""), N83/(F83*H83*VLOOKUP(D83,Multipliers!A:B,2,FALSE)), "")</f>
        <v/>
      </c>
      <c r="P83" s="5">
        <f>P82+N83</f>
        <v/>
      </c>
      <c r="Q83" s="5" t="inlineStr">
        <is>
          <t>Break and Retest</t>
        </is>
      </c>
      <c r="R83" s="5" t="inlineStr">
        <is>
          <t>Imported from Tradovate</t>
        </is>
      </c>
      <c r="S83" s="5" t="inlineStr">
        <is>
          <t>MGC</t>
        </is>
      </c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>
        <v>89</v>
      </c>
      <c r="B84" s="22" t="n">
        <v>46264</v>
      </c>
      <c r="C84" s="10" t="n">
        <v>0.8926157407407408</v>
      </c>
      <c r="D84" s="5" t="inlineStr">
        <is>
          <t>MGC</t>
        </is>
      </c>
      <c r="E84" s="5" t="inlineStr">
        <is>
          <t>Short</t>
        </is>
      </c>
      <c r="F84" s="5" t="n">
        <v>4495.4</v>
      </c>
      <c r="G84" s="5" t="n">
        <v>4493.3</v>
      </c>
      <c r="H84" s="5" t="n">
        <v>2</v>
      </c>
      <c r="I84" s="5" t="n">
        <v>4502.9</v>
      </c>
      <c r="J84" s="5" t="n">
        <v>4493.3</v>
      </c>
      <c r="K84" s="8">
        <f>IF(AND(I84&lt;&gt;"",J84&lt;&gt;"",F84&lt;&gt;""), (J84-F84)/(F84-I84), "")</f>
        <v/>
      </c>
      <c r="L84" s="8">
        <f>IF(AND(F84&lt;&gt;"",G84&lt;&gt;"",I84&lt;&gt;""), (G84-F84)/(F84-I84), "")</f>
        <v/>
      </c>
      <c r="M84" s="5">
        <f>IF(N84&gt;0,"Win",IF(N84&lt;0,"Loss",""))</f>
        <v/>
      </c>
      <c r="N84" s="16">
        <f>IF(AND(F84&lt;&gt;"",G84&lt;&gt;"",H84&lt;&gt;"",D84&lt;&gt;""), IF(E84="Long", (G84-F84)*H84*VLOOKUP(D84,Multipliers!A:B,2,FALSE), (F84-G84)*H84*VLOOKUP(D84,Multipliers!A:B,2,FALSE)), "")</f>
        <v/>
      </c>
      <c r="O84" s="9">
        <f>IF(AND(N84&lt;&gt;"",F84&lt;&gt;"",H84&lt;&gt;"",D84&lt;&gt;""), N84/(F84*H84*VLOOKUP(D84,Multipliers!A:B,2,FALSE)), "")</f>
        <v/>
      </c>
      <c r="P84" s="5">
        <f>P83+N84</f>
        <v/>
      </c>
      <c r="Q84" s="5" t="inlineStr">
        <is>
          <t>Break and Retest</t>
        </is>
      </c>
      <c r="R84" s="5" t="inlineStr">
        <is>
          <t>Imported from Tradovate</t>
        </is>
      </c>
      <c r="S84" s="5" t="inlineStr">
        <is>
          <t>MGC</t>
        </is>
      </c>
      <c r="T84" s="5" t="n"/>
      <c r="U84" s="5" t="n"/>
      <c r="V84" s="5" t="inlineStr">
        <is>
          <t>Oversized</t>
        </is>
      </c>
      <c r="W84" s="5" t="n"/>
      <c r="X84" s="5" t="n"/>
      <c r="Y84" s="5" t="n"/>
      <c r="Z84" s="5" t="n"/>
      <c r="AA84" s="5" t="n"/>
    </row>
    <row r="85" ht="15.75" customHeight="1">
      <c r="A85" s="5" t="n">
        <v>90</v>
      </c>
      <c r="B85" s="22" t="n">
        <v>46264</v>
      </c>
      <c r="C85" s="10" t="n">
        <v>0.9793518518518518</v>
      </c>
      <c r="D85" s="5" t="inlineStr">
        <is>
          <t>MGC</t>
        </is>
      </c>
      <c r="E85" s="5" t="inlineStr">
        <is>
          <t>Short</t>
        </is>
      </c>
      <c r="F85" s="5" t="n">
        <v>4472.833333</v>
      </c>
      <c r="G85" s="5" t="n">
        <v>4469.211111</v>
      </c>
      <c r="H85" s="5" t="n">
        <v>9</v>
      </c>
      <c r="I85" s="5" t="n">
        <v>4479.8</v>
      </c>
      <c r="J85" s="5" t="n">
        <v>4466.7</v>
      </c>
      <c r="K85" s="8">
        <f>IF(AND(I85&lt;&gt;"",J85&lt;&gt;"",F85&lt;&gt;""), (J85-F85)/(F85-I85), "")</f>
        <v/>
      </c>
      <c r="L85" s="8">
        <f>IF(AND(F85&lt;&gt;"",G85&lt;&gt;"",I85&lt;&gt;""), (G85-F85)/(F85-I85), "")</f>
        <v/>
      </c>
      <c r="M85" s="5">
        <f>IF(N85&gt;0,"Win",IF(N85&lt;0,"Loss",""))</f>
        <v/>
      </c>
      <c r="N85" s="16">
        <f>IF(AND(F85&lt;&gt;"",G85&lt;&gt;"",H85&lt;&gt;"",D85&lt;&gt;""), IF(E85="Long", (G85-F85)*H85*VLOOKUP(D85,Multipliers!A:B,2,FALSE), (F85-G85)*H85*VLOOKUP(D85,Multipliers!A:B,2,FALSE)), "")</f>
        <v/>
      </c>
      <c r="O85" s="9">
        <f>IF(AND(N85&lt;&gt;"",F85&lt;&gt;"",H85&lt;&gt;"",D85&lt;&gt;""), N85/(F85*H85*VLOOKUP(D85,Multipliers!A:B,2,FALSE)), "")</f>
        <v/>
      </c>
      <c r="P85" s="5">
        <f>P84+N85</f>
        <v/>
      </c>
      <c r="Q85" s="5" t="inlineStr">
        <is>
          <t>ZTH Indicator</t>
        </is>
      </c>
      <c r="R85" s="5" t="inlineStr">
        <is>
          <t>Imported from Tradovate</t>
        </is>
      </c>
      <c r="S85" s="5" t="inlineStr">
        <is>
          <t>MGC</t>
        </is>
      </c>
      <c r="T85" s="5" t="n"/>
      <c r="U85" s="5" t="inlineStr"/>
      <c r="V85" s="5" t="inlineStr">
        <is>
          <t>Oversized</t>
        </is>
      </c>
      <c r="W85" s="5" t="inlineStr"/>
      <c r="X85" s="5" t="inlineStr"/>
      <c r="Y85" s="5" t="inlineStr"/>
      <c r="Z85" s="5" t="inlineStr"/>
      <c r="AA85" s="5" t="inlineStr"/>
    </row>
    <row r="86" ht="15.75" customHeight="1">
      <c r="A86" s="5" t="n">
        <v>91</v>
      </c>
      <c r="B86" s="22" t="n">
        <v>46265</v>
      </c>
      <c r="C86" s="10" t="n">
        <v>0.007673611111111111</v>
      </c>
      <c r="D86" s="5" t="inlineStr">
        <is>
          <t>MGC</t>
        </is>
      </c>
      <c r="E86" s="5" t="inlineStr">
        <is>
          <t>Long</t>
        </is>
      </c>
      <c r="F86" s="5" t="n">
        <v>4466.7</v>
      </c>
      <c r="G86" s="5" t="n">
        <v>4468.233333</v>
      </c>
      <c r="H86" s="5" t="n">
        <v>3</v>
      </c>
      <c r="I86" s="5" t="n"/>
      <c r="J86" s="5" t="n">
        <v>4469</v>
      </c>
      <c r="K86" s="8">
        <f>IF(AND(I86&lt;&gt;"",J86&lt;&gt;"",F86&lt;&gt;""), (J86-F86)/(F86-I86), "")</f>
        <v/>
      </c>
      <c r="L86" s="8">
        <f>IF(AND(F86&lt;&gt;"",G86&lt;&gt;"",I86&lt;&gt;""), (G86-F86)/(F86-I86), "")</f>
        <v/>
      </c>
      <c r="M86" s="5">
        <f>IF(N86&gt;0,"Win",IF(N86&lt;0,"Loss",""))</f>
        <v/>
      </c>
      <c r="N86" s="16">
        <f>IF(AND(F86&lt;&gt;"",G86&lt;&gt;"",H86&lt;&gt;"",D86&lt;&gt;""), IF(E86="Long", (G86-F86)*H86*VLOOKUP(D86,Multipliers!A:B,2,FALSE), (F86-G86)*H86*VLOOKUP(D86,Multipliers!A:B,2,FALSE)), "")</f>
        <v/>
      </c>
      <c r="O86" s="9">
        <f>IF(AND(N86&lt;&gt;"",F86&lt;&gt;"",H86&lt;&gt;"",D86&lt;&gt;""), N86/(F86*H86*VLOOKUP(D86,Multipliers!A:B,2,FALSE)), "")</f>
        <v/>
      </c>
      <c r="P86" s="5">
        <f>P85+N86</f>
        <v/>
      </c>
      <c r="Q86" s="5" t="inlineStr">
        <is>
          <t>Break and Retest</t>
        </is>
      </c>
      <c r="R86" s="5" t="inlineStr">
        <is>
          <t>Imported from Tradovate</t>
        </is>
      </c>
      <c r="S86" s="5" t="inlineStr">
        <is>
          <t>MGC</t>
        </is>
      </c>
      <c r="T86" s="5" t="n"/>
      <c r="U86" s="5" t="n"/>
      <c r="V86" s="5" t="inlineStr">
        <is>
          <t>Overtraded</t>
        </is>
      </c>
      <c r="W86" s="5" t="n"/>
      <c r="X86" s="5" t="n"/>
      <c r="Y86" s="5" t="n"/>
      <c r="Z86" s="5" t="n"/>
      <c r="AA86" s="5" t="n"/>
    </row>
    <row r="87" ht="15.75" customHeight="1">
      <c r="A87" s="5" t="n">
        <v>93</v>
      </c>
      <c r="B87" s="22" t="n">
        <v>46265</v>
      </c>
      <c r="C87" s="10" t="n">
        <v>0.4046875</v>
      </c>
      <c r="D87" s="5" t="inlineStr">
        <is>
          <t>MNQ</t>
        </is>
      </c>
      <c r="E87" s="5" t="inlineStr">
        <is>
          <t>Short</t>
        </is>
      </c>
      <c r="F87" s="5" t="n">
        <v>29429</v>
      </c>
      <c r="G87" s="5" t="n">
        <v>29395.5</v>
      </c>
      <c r="H87" s="5" t="n">
        <v>2</v>
      </c>
      <c r="I87" s="5" t="n">
        <v>29454</v>
      </c>
      <c r="J87" s="5" t="n">
        <v>29395.5</v>
      </c>
      <c r="K87" s="8">
        <f>IF(AND(I88&lt;&gt;"",J88&lt;&gt;"",F88&lt;&gt;""), (J88-F88)/(F88-I88), "")</f>
        <v/>
      </c>
      <c r="L87" s="8">
        <f>IF(AND(F88&lt;&gt;"",G88&lt;&gt;"",I88&lt;&gt;""), (G88-F88)/(F88-I88), "")</f>
        <v/>
      </c>
      <c r="M87" s="5">
        <f>IF(N88&gt;0,"Win",IF(N88&lt;0,"Loss",""))</f>
        <v/>
      </c>
      <c r="N87" s="16">
        <f>IF(AND(F88&lt;&gt;"",G88&lt;&gt;"",H88&lt;&gt;"",D88&lt;&gt;""), IF(E88="Long", (G88-F88)*H88*VLOOKUP(D88,Multipliers!A:B,2,FALSE), (F88-G88)*H88*VLOOKUP(D88,Multipliers!A:B,2,FALSE)), "")</f>
        <v/>
      </c>
      <c r="O87" s="9">
        <f>IF(AND(N88&lt;&gt;"",F88&lt;&gt;"",H88&lt;&gt;"",D88&lt;&gt;""), N88/(F88*H88*VLOOKUP(D88,Multipliers!A:B,2,FALSE)), "")</f>
        <v/>
      </c>
      <c r="P87" s="5">
        <f>P86+N87</f>
        <v/>
      </c>
      <c r="Q87" s="5" t="inlineStr">
        <is>
          <t>Break and Retest</t>
        </is>
      </c>
      <c r="R87" s="5" t="inlineStr">
        <is>
          <t>Imported from Tradovate</t>
        </is>
      </c>
      <c r="S87" s="11" t="inlineStr">
        <is>
          <t>MNQ</t>
        </is>
      </c>
      <c r="T87" s="11" t="n"/>
      <c r="U87" s="5" t="n"/>
      <c r="V87" s="5" t="inlineStr">
        <is>
          <t>Overtraded</t>
        </is>
      </c>
      <c r="W87" s="5" t="n"/>
      <c r="X87" s="5" t="n"/>
      <c r="Y87" s="5" t="n"/>
      <c r="Z87" s="5" t="n"/>
      <c r="AA87" s="5" t="n"/>
    </row>
    <row r="88" ht="15.75" customHeight="1">
      <c r="A88" s="5" t="n">
        <v>94</v>
      </c>
      <c r="B88" s="22" t="n">
        <v>46265</v>
      </c>
      <c r="C88" s="10" t="n">
        <v>0.4141898148148148</v>
      </c>
      <c r="D88" s="5" t="inlineStr">
        <is>
          <t>MNQ</t>
        </is>
      </c>
      <c r="E88" s="5" t="inlineStr">
        <is>
          <t>Long</t>
        </is>
      </c>
      <c r="F88" s="5" t="n">
        <v>29460.75</v>
      </c>
      <c r="G88" s="5" t="n">
        <v>29439.25</v>
      </c>
      <c r="H88" s="5" t="n">
        <v>3</v>
      </c>
      <c r="I88" s="5" t="n">
        <v>29439.25</v>
      </c>
      <c r="J88" s="5" t="n">
        <v>29468</v>
      </c>
      <c r="K88" s="8">
        <f>IF(AND(I89&lt;&gt;"",J89&lt;&gt;"",F89&lt;&gt;""), (J89-F89)/(F89-I89), "")</f>
        <v/>
      </c>
      <c r="L88" s="8">
        <f>IF(AND(F89&lt;&gt;"",G89&lt;&gt;"",I89&lt;&gt;""), (G89-F89)/(F89-I89), "")</f>
        <v/>
      </c>
      <c r="M88" s="5">
        <f>IF(N89&gt;0,"Win",IF(N89&lt;0,"Loss",""))</f>
        <v/>
      </c>
      <c r="N88" s="16">
        <f>IF(AND(F89&lt;&gt;"",G89&lt;&gt;"",H89&lt;&gt;"",D89&lt;&gt;""), IF(E89="Long", (G89-F89)*H89*VLOOKUP(D89,Multipliers!A:B,2,FALSE), (F89-G89)*H89*VLOOKUP(D89,Multipliers!A:B,2,FALSE)), "")</f>
        <v/>
      </c>
      <c r="O88" s="9">
        <f>IF(AND(N89&lt;&gt;"",F89&lt;&gt;"",H89&lt;&gt;"",D89&lt;&gt;""), N89/(F89*H89*VLOOKUP(D89,Multipliers!A:B,2,FALSE)), "")</f>
        <v/>
      </c>
      <c r="P88" s="5">
        <f>P87+N88</f>
        <v/>
      </c>
      <c r="Q88" s="5" t="inlineStr">
        <is>
          <t>Break and Retest</t>
        </is>
      </c>
      <c r="R88" s="5" t="inlineStr">
        <is>
          <t>Imported from Tradovate</t>
        </is>
      </c>
      <c r="S88" s="5" t="inlineStr">
        <is>
          <t>MNQ</t>
        </is>
      </c>
      <c r="T88" s="5" t="n"/>
      <c r="U88" s="5" t="n"/>
      <c r="V88" s="5" t="inlineStr">
        <is>
          <t>Overtraded</t>
        </is>
      </c>
      <c r="W88" s="5" t="n"/>
      <c r="X88" s="5" t="n"/>
      <c r="Y88" s="5" t="n"/>
      <c r="Z88" s="5" t="n"/>
      <c r="AA88" s="5" t="n"/>
    </row>
    <row r="89" ht="15.75" customHeight="1">
      <c r="A89" s="5" t="n">
        <v>96</v>
      </c>
      <c r="B89" s="22" t="n">
        <v>46265</v>
      </c>
      <c r="C89" s="10" t="n">
        <v>0.4248032407407407</v>
      </c>
      <c r="D89" s="5" t="inlineStr">
        <is>
          <t>MNQ</t>
        </is>
      </c>
      <c r="E89" s="5" t="inlineStr">
        <is>
          <t>Short</t>
        </is>
      </c>
      <c r="F89" s="5" t="n">
        <v>29395</v>
      </c>
      <c r="G89" s="5" t="n">
        <v>29415</v>
      </c>
      <c r="H89" s="5" t="n">
        <v>3</v>
      </c>
      <c r="I89" s="5" t="n">
        <v>29415</v>
      </c>
      <c r="J89" s="5" t="n">
        <v>29394</v>
      </c>
      <c r="K89" s="8">
        <f>IF(AND(I91&lt;&gt;"",J91&lt;&gt;"",F91&lt;&gt;""), (J91-F91)/(F91-I91), "")</f>
        <v/>
      </c>
      <c r="L89" s="8">
        <f>IF(AND(F91&lt;&gt;"",G91&lt;&gt;"",I91&lt;&gt;""), (G91-F91)/(F91-I91), "")</f>
        <v/>
      </c>
      <c r="M89" s="5">
        <f>IF(N91&gt;0,"Win",IF(N91&lt;0,"Loss",""))</f>
        <v/>
      </c>
      <c r="N89" s="16">
        <f>IF(AND(F91&lt;&gt;"",G91&lt;&gt;"",H91&lt;&gt;"",D91&lt;&gt;""), IF(E91="Long", (G91-F91)*H91*VLOOKUP(D91,Multipliers!A:B,2,FALSE), (F91-G91)*H91*VLOOKUP(D91,Multipliers!A:B,2,FALSE)), "")</f>
        <v/>
      </c>
      <c r="O89" s="9">
        <f>IF(AND(N91&lt;&gt;"",F91&lt;&gt;"",H91&lt;&gt;"",D91&lt;&gt;""), N91/(F91*H91*VLOOKUP(D91,Multipliers!A:B,2,FALSE)), "")</f>
        <v/>
      </c>
      <c r="P89" s="5">
        <f>P88+N89</f>
        <v/>
      </c>
      <c r="Q89" s="5" t="inlineStr">
        <is>
          <t>Break and Retest</t>
        </is>
      </c>
      <c r="R89" s="5" t="inlineStr">
        <is>
          <t>Imported from Tradovate</t>
        </is>
      </c>
      <c r="S89" s="5" t="inlineStr">
        <is>
          <t>MNQ</t>
        </is>
      </c>
      <c r="T89" s="5" t="n"/>
      <c r="U89" s="5" t="n"/>
      <c r="V89" s="5" t="inlineStr">
        <is>
          <t>Revenge trade, Overtraded</t>
        </is>
      </c>
      <c r="W89" s="5" t="n"/>
      <c r="X89" s="5" t="n"/>
      <c r="Y89" s="5" t="n"/>
      <c r="Z89" s="5" t="n"/>
      <c r="AA89" s="5" t="n"/>
    </row>
    <row r="90" ht="15.75" customHeight="1">
      <c r="A90" s="5" t="n">
        <v>97</v>
      </c>
      <c r="B90" s="22" t="n">
        <v>46265</v>
      </c>
      <c r="C90" s="10" t="n">
        <v>0.4452083333333333</v>
      </c>
      <c r="D90" s="5" t="inlineStr">
        <is>
          <t>MNQ</t>
        </is>
      </c>
      <c r="E90" s="5" t="inlineStr">
        <is>
          <t>Long</t>
        </is>
      </c>
      <c r="F90" s="5" t="n">
        <v>29410</v>
      </c>
      <c r="G90" s="5" t="n">
        <v>29435</v>
      </c>
      <c r="H90" s="5" t="n">
        <v>5</v>
      </c>
      <c r="I90" s="5" t="n">
        <v>29400</v>
      </c>
      <c r="J90" s="5" t="n">
        <v>29435</v>
      </c>
      <c r="K90" s="8">
        <f>IF(AND(I92&lt;&gt;"",J92&lt;&gt;"",F92&lt;&gt;""), (J92-F92)/(F92-I92), "")</f>
        <v/>
      </c>
      <c r="L90" s="8">
        <f>IF(AND(F92&lt;&gt;"",G92&lt;&gt;"",I92&lt;&gt;""), (G92-F92)/(F92-I92), "")</f>
        <v/>
      </c>
      <c r="M90" s="5">
        <f>IF(N92&gt;0,"Win",IF(N92&lt;0,"Loss",""))</f>
        <v/>
      </c>
      <c r="N90" s="16">
        <f>IF(AND(F92&lt;&gt;"",G92&lt;&gt;"",H92&lt;&gt;"",D92&lt;&gt;""), IF(E92="Long", (G92-F92)*H92*VLOOKUP(D92,Multipliers!A:B,2,FALSE), (F92-G92)*H92*VLOOKUP(D92,Multipliers!A:B,2,FALSE)), "")</f>
        <v/>
      </c>
      <c r="O90" s="9">
        <f>IF(AND(N92&lt;&gt;"",F92&lt;&gt;"",H92&lt;&gt;"",D92&lt;&gt;""), N92/(F92*H92*VLOOKUP(D92,Multipliers!A:B,2,FALSE)), "")</f>
        <v/>
      </c>
      <c r="P90" s="5">
        <f>P89+N90</f>
        <v/>
      </c>
      <c r="Q90" s="5" t="inlineStr">
        <is>
          <t>Break and Retest</t>
        </is>
      </c>
      <c r="R90" s="5" t="inlineStr">
        <is>
          <t>Imported from Tradovate</t>
        </is>
      </c>
      <c r="S90" s="5" t="inlineStr">
        <is>
          <t>MNQ</t>
        </is>
      </c>
      <c r="T90" s="5" t="n"/>
      <c r="U90" s="5" t="n"/>
      <c r="V90" s="5" t="inlineStr">
        <is>
          <t>Overtraded</t>
        </is>
      </c>
      <c r="W90" s="5" t="n"/>
      <c r="X90" s="5" t="n"/>
      <c r="Y90" s="5" t="n"/>
      <c r="Z90" s="5" t="n"/>
      <c r="AA90" s="5" t="n"/>
    </row>
    <row r="91" ht="15.75" customHeight="1">
      <c r="A91" s="5" t="n">
        <v>98</v>
      </c>
      <c r="B91" s="22" t="n">
        <v>46265</v>
      </c>
      <c r="C91" s="10" t="n">
        <v>0.4496643518518518</v>
      </c>
      <c r="D91" s="5" t="inlineStr">
        <is>
          <t>MNQ</t>
        </is>
      </c>
      <c r="E91" s="5" t="inlineStr">
        <is>
          <t>Long</t>
        </is>
      </c>
      <c r="F91" s="5" t="n">
        <v>29408.5</v>
      </c>
      <c r="G91" s="5" t="n">
        <v>29399.75</v>
      </c>
      <c r="H91" s="5" t="n">
        <v>5</v>
      </c>
      <c r="I91" s="5" t="n">
        <v>29392.75</v>
      </c>
      <c r="J91" s="5" t="n">
        <v>29443.25</v>
      </c>
      <c r="K91" s="8">
        <f>IF(AND(I93&lt;&gt;"",J93&lt;&gt;"",F93&lt;&gt;""), (J93-F93)/(F93-I93), "")</f>
        <v/>
      </c>
      <c r="L91" s="8">
        <f>IF(AND(F93&lt;&gt;"",G93&lt;&gt;"",I93&lt;&gt;""), (G93-F93)/(F93-I93), "")</f>
        <v/>
      </c>
      <c r="M91" s="5">
        <f>IF(N93&gt;0,"Win",IF(N93&lt;0,"Loss",""))</f>
        <v/>
      </c>
      <c r="N91" s="16">
        <f>IF(AND(F93&lt;&gt;"",G93&lt;&gt;"",H93&lt;&gt;"",D93&lt;&gt;""), IF(E93="Long", (G93-F93)*H93*VLOOKUP(D93,Multipliers!A:B,2,FALSE), (F93-G93)*H93*VLOOKUP(D93,Multipliers!A:B,2,FALSE)), "")</f>
        <v/>
      </c>
      <c r="O91" s="9">
        <f>IF(AND(N93&lt;&gt;"",F93&lt;&gt;"",H93&lt;&gt;"",D93&lt;&gt;""), N93/(F93*H93*VLOOKUP(D93,Multipliers!A:B,2,FALSE)), "")</f>
        <v/>
      </c>
      <c r="P91" s="5">
        <f>P90+N91</f>
        <v/>
      </c>
      <c r="Q91" s="5" t="inlineStr">
        <is>
          <t>Break and Retest</t>
        </is>
      </c>
      <c r="R91" s="5" t="inlineStr">
        <is>
          <t>Imported from Tradovate</t>
        </is>
      </c>
      <c r="S91" s="5" t="inlineStr">
        <is>
          <t>MNQ</t>
        </is>
      </c>
      <c r="T91" s="5" t="n"/>
      <c r="U91" s="5" t="n"/>
      <c r="V91" s="5" t="inlineStr">
        <is>
          <t>Overtraded</t>
        </is>
      </c>
      <c r="W91" s="5" t="n"/>
      <c r="X91" s="5" t="n"/>
      <c r="Y91" s="5" t="n"/>
      <c r="Z91" s="5" t="n"/>
      <c r="AA91" s="5" t="n"/>
    </row>
    <row r="92" ht="15.75" customHeight="1">
      <c r="A92" s="5" t="n">
        <v>99</v>
      </c>
      <c r="B92" s="22" t="n">
        <v>46265</v>
      </c>
      <c r="C92" s="10" t="n">
        <v>0.4505324074074074</v>
      </c>
      <c r="D92" s="5" t="inlineStr">
        <is>
          <t>MNQ</t>
        </is>
      </c>
      <c r="E92" s="5" t="inlineStr">
        <is>
          <t>Long</t>
        </is>
      </c>
      <c r="F92" s="5" t="n">
        <v>29401.5</v>
      </c>
      <c r="G92" s="5" t="n">
        <v>29392</v>
      </c>
      <c r="H92" s="5" t="n">
        <v>3</v>
      </c>
      <c r="I92" s="5" t="n">
        <v>29392.75</v>
      </c>
      <c r="J92" s="5" t="n">
        <v>29443.25</v>
      </c>
      <c r="K92" s="8">
        <f>IF(AND(I94&lt;&gt;"",J94&lt;&gt;"",F94&lt;&gt;""), (J94-F94)/(F94-I94), "")</f>
        <v/>
      </c>
      <c r="L92" s="8">
        <f>IF(AND(F94&lt;&gt;"",G94&lt;&gt;"",I94&lt;&gt;""), (G94-F94)/(F94-I94), "")</f>
        <v/>
      </c>
      <c r="M92" s="5">
        <f>IF(N94&gt;0,"Win",IF(N94&lt;0,"Loss",""))</f>
        <v/>
      </c>
      <c r="N92" s="16">
        <f>IF(AND(F94&lt;&gt;"",G94&lt;&gt;"",H94&lt;&gt;"",D94&lt;&gt;""), IF(E94="Long", (G94-F94)*H94*VLOOKUP(D94,Multipliers!A:B,2,FALSE), (F94-G94)*H94*VLOOKUP(D94,Multipliers!A:B,2,FALSE)), "")</f>
        <v/>
      </c>
      <c r="O92" s="9">
        <f>IF(AND(N94&lt;&gt;"",F94&lt;&gt;"",H94&lt;&gt;"",D94&lt;&gt;""), N94/(F94*H94*VLOOKUP(D94,Multipliers!A:B,2,FALSE)), "")</f>
        <v/>
      </c>
      <c r="P92" s="5">
        <f>P91+N92</f>
        <v/>
      </c>
      <c r="Q92" s="5" t="inlineStr">
        <is>
          <t>Break and Retest</t>
        </is>
      </c>
      <c r="R92" s="5" t="inlineStr">
        <is>
          <t>Imported from Tradovate</t>
        </is>
      </c>
      <c r="S92" s="5" t="inlineStr">
        <is>
          <t>MNQ</t>
        </is>
      </c>
      <c r="T92" s="5" t="n"/>
      <c r="U92" s="5" t="n"/>
      <c r="V92" s="5" t="inlineStr">
        <is>
          <t>Overtraded</t>
        </is>
      </c>
      <c r="W92" s="5" t="n"/>
      <c r="X92" s="5" t="n"/>
      <c r="Y92" s="5" t="n"/>
      <c r="Z92" s="5" t="n"/>
      <c r="AA92" s="5" t="n"/>
    </row>
    <row r="93" ht="15.75" customHeight="1">
      <c r="A93" s="5" t="n">
        <v>100</v>
      </c>
      <c r="B93" s="22" t="n">
        <v>46265</v>
      </c>
      <c r="C93" s="10" t="n">
        <v>0.4174305555555556</v>
      </c>
      <c r="D93" s="5" t="inlineStr">
        <is>
          <t>MGC</t>
        </is>
      </c>
      <c r="E93" s="5" t="inlineStr">
        <is>
          <t>Short</t>
        </is>
      </c>
      <c r="F93" s="5" t="n">
        <v>4472.7</v>
      </c>
      <c r="G93" s="5" t="n">
        <v>4475.3</v>
      </c>
      <c r="H93" s="5" t="n">
        <v>3</v>
      </c>
      <c r="I93" s="5" t="n">
        <v>4479.7</v>
      </c>
      <c r="J93" s="5" t="n"/>
      <c r="K93" s="8">
        <f>IF(AND(I95&lt;&gt;"",J95&lt;&gt;"",F95&lt;&gt;""), (J95-F95)/(F95-I95), "")</f>
        <v/>
      </c>
      <c r="L93" s="8">
        <f>IF(AND(F95&lt;&gt;"",G95&lt;&gt;"",I95&lt;&gt;""), (G95-F95)/(F95-I95), "")</f>
        <v/>
      </c>
      <c r="M93" s="5">
        <f>IF(N95&gt;0,"Win",IF(N95&lt;0,"Loss",""))</f>
        <v/>
      </c>
      <c r="N93" s="16">
        <f>IF(AND(F95&lt;&gt;"",G95&lt;&gt;"",H95&lt;&gt;"",D95&lt;&gt;""), IF(E95="Long", (G95-F95)*H95*VLOOKUP(D95,Multipliers!A:B,2,FALSE), (F95-G95)*H95*VLOOKUP(D95,Multipliers!A:B,2,FALSE)), "")</f>
        <v/>
      </c>
      <c r="O93" s="9">
        <f>IF(AND(N95&lt;&gt;"",F95&lt;&gt;"",H95&lt;&gt;"",D95&lt;&gt;""), N95/(F95*H95*VLOOKUP(D95,Multipliers!A:B,2,FALSE)), "")</f>
        <v/>
      </c>
      <c r="P93" s="5">
        <f>P92+N93</f>
        <v/>
      </c>
      <c r="Q93" s="5" t="inlineStr">
        <is>
          <t>Break and Retest</t>
        </is>
      </c>
      <c r="R93" s="5" t="inlineStr">
        <is>
          <t>Imported from Tradovate</t>
        </is>
      </c>
      <c r="S93" s="5" t="inlineStr">
        <is>
          <t>MGC</t>
        </is>
      </c>
      <c r="T93" s="5" t="n"/>
      <c r="U93" s="5" t="n"/>
      <c r="V93" s="5" t="inlineStr">
        <is>
          <t>Overtraded</t>
        </is>
      </c>
      <c r="W93" s="5" t="n"/>
      <c r="X93" s="5" t="n"/>
      <c r="Y93" s="5" t="n"/>
      <c r="Z93" s="5" t="n"/>
      <c r="AA93" s="5" t="n"/>
    </row>
    <row r="94" ht="15.75" customHeight="1">
      <c r="A94" s="5" t="n">
        <v>101</v>
      </c>
      <c r="B94" s="22" t="n">
        <v>46265</v>
      </c>
      <c r="C94" s="10" t="n">
        <v>0.4366087962962963</v>
      </c>
      <c r="D94" s="5" t="inlineStr">
        <is>
          <t>MGC</t>
        </is>
      </c>
      <c r="E94" s="5" t="inlineStr">
        <is>
          <t>Short</t>
        </is>
      </c>
      <c r="F94" s="5" t="n">
        <v>4472.8</v>
      </c>
      <c r="G94" s="5" t="n">
        <v>4477</v>
      </c>
      <c r="H94" s="5" t="n">
        <v>3</v>
      </c>
      <c r="I94" s="5" t="n">
        <v>4476.9</v>
      </c>
      <c r="J94" s="5" t="n">
        <v>4464.8</v>
      </c>
      <c r="K94" s="8">
        <f>IF(AND(I96&lt;&gt;"",J96&lt;&gt;"",F96&lt;&gt;""), (J96-F96)/(F96-I96), "")</f>
        <v/>
      </c>
      <c r="L94" s="8">
        <f>IF(AND(F96&lt;&gt;"",G96&lt;&gt;"",I96&lt;&gt;""), (G96-F96)/(F96-I96), "")</f>
        <v/>
      </c>
      <c r="M94" s="5">
        <f>IF(N96&gt;0,"Win",IF(N96&lt;0,"Loss",""))</f>
        <v/>
      </c>
      <c r="N94" s="16">
        <f>IF(AND(F96&lt;&gt;"",G96&lt;&gt;"",H96&lt;&gt;"",D96&lt;&gt;""), IF(E96="Long", (G96-F96)*H96*VLOOKUP(D96,Multipliers!A:B,2,FALSE), (F96-G96)*H96*VLOOKUP(D96,Multipliers!A:B,2,FALSE)), "")</f>
        <v/>
      </c>
      <c r="O94" s="9">
        <f>IF(AND(N96&lt;&gt;"",F96&lt;&gt;"",H96&lt;&gt;"",D96&lt;&gt;""), N96/(F96*H96*VLOOKUP(D96,Multipliers!A:B,2,FALSE)), "")</f>
        <v/>
      </c>
      <c r="P94" s="5">
        <f>P93+N94</f>
        <v/>
      </c>
      <c r="Q94" s="5" t="inlineStr">
        <is>
          <t>Break and Retest</t>
        </is>
      </c>
      <c r="R94" s="5" t="inlineStr">
        <is>
          <t>Imported from Tradovate</t>
        </is>
      </c>
      <c r="S94" s="5" t="inlineStr">
        <is>
          <t>MGC</t>
        </is>
      </c>
      <c r="T94" s="5" t="n"/>
      <c r="U94" s="5" t="n"/>
      <c r="V94" s="5" t="inlineStr">
        <is>
          <t>Overtraded</t>
        </is>
      </c>
      <c r="W94" s="5" t="n"/>
      <c r="X94" s="5" t="n"/>
      <c r="Y94" s="5" t="n"/>
      <c r="Z94" s="5" t="n"/>
      <c r="AA94" s="5" t="n"/>
    </row>
    <row r="95" ht="15.75" customHeight="1">
      <c r="A95" s="5" t="n">
        <v>102</v>
      </c>
      <c r="B95" s="22" t="n">
        <v>46265</v>
      </c>
      <c r="C95" s="10" t="n">
        <v>0.4551273148148148</v>
      </c>
      <c r="D95" s="5" t="inlineStr">
        <is>
          <t>MGC</t>
        </is>
      </c>
      <c r="E95" s="5" t="inlineStr">
        <is>
          <t>Short</t>
        </is>
      </c>
      <c r="F95" s="5" t="n">
        <v>4483.6</v>
      </c>
      <c r="G95" s="5" t="n">
        <v>4478.2</v>
      </c>
      <c r="H95" s="5" t="n">
        <v>2</v>
      </c>
      <c r="I95" s="5" t="n">
        <v>4487.8</v>
      </c>
      <c r="J95" s="5" t="n">
        <v>4478.2</v>
      </c>
      <c r="K95" s="8">
        <f>IF(AND(I97&lt;&gt;"",J97&lt;&gt;"",F97&lt;&gt;""), (J97-F97)/(F97-I97), "")</f>
        <v/>
      </c>
      <c r="L95" s="8">
        <f>IF(AND(F97&lt;&gt;"",G97&lt;&gt;"",I97&lt;&gt;""), (G97-F97)/(F97-I97), "")</f>
        <v/>
      </c>
      <c r="M95" s="5">
        <f>IF(N97&gt;0,"Win",IF(N97&lt;0,"Loss",""))</f>
        <v/>
      </c>
      <c r="N95" s="16">
        <f>IF(AND(F97&lt;&gt;"",G97&lt;&gt;"",H97&lt;&gt;"",D97&lt;&gt;""), IF(E97="Long", (G97-F97)*H97*VLOOKUP(D97,Multipliers!A:B,2,FALSE), (F97-G97)*H97*VLOOKUP(D97,Multipliers!A:B,2,FALSE)), "")</f>
        <v/>
      </c>
      <c r="O95" s="9">
        <f>IF(AND(N97&lt;&gt;"",F97&lt;&gt;"",H97&lt;&gt;"",D97&lt;&gt;""), N97/(F97*H97*VLOOKUP(D97,Multipliers!A:B,2,FALSE)), "")</f>
        <v/>
      </c>
      <c r="P95" s="5">
        <f>P94+N95</f>
        <v/>
      </c>
      <c r="Q95" s="5" t="inlineStr">
        <is>
          <t>Break and Retest</t>
        </is>
      </c>
      <c r="R95" s="5" t="inlineStr">
        <is>
          <t>Imported from Tradovate</t>
        </is>
      </c>
      <c r="S95" s="5" t="inlineStr">
        <is>
          <t>MGC</t>
        </is>
      </c>
      <c r="T95" s="5" t="n"/>
      <c r="U95" s="5" t="n"/>
      <c r="V95" s="5" t="inlineStr">
        <is>
          <t>Overtraded</t>
        </is>
      </c>
      <c r="W95" s="5" t="n"/>
      <c r="X95" s="5" t="n"/>
      <c r="Y95" s="5" t="n"/>
      <c r="Z95" s="5" t="n"/>
      <c r="AA95" s="5" t="n"/>
    </row>
    <row r="96" ht="15.75" customHeight="1">
      <c r="A96" s="5" t="n">
        <v>103</v>
      </c>
      <c r="B96" s="22" t="n">
        <v>46265</v>
      </c>
      <c r="C96" s="10" t="n">
        <v>0.02815972222222222</v>
      </c>
      <c r="D96" s="5" t="inlineStr">
        <is>
          <t>MGC</t>
        </is>
      </c>
      <c r="E96" s="5" t="inlineStr">
        <is>
          <t>Short</t>
        </is>
      </c>
      <c r="F96" s="5" t="n">
        <v>4468.233333</v>
      </c>
      <c r="G96" s="5" t="n">
        <v>4473.6</v>
      </c>
      <c r="H96" s="5" t="n">
        <v>3</v>
      </c>
      <c r="I96" s="5" t="n">
        <v>4473.5</v>
      </c>
      <c r="J96" s="5" t="n">
        <v>4467.8</v>
      </c>
      <c r="K96" s="8">
        <f>IF(AND(I96&lt;&gt;"",J96&lt;&gt;"",F96&lt;&gt;""), (J96-F96)/(F96-I96), "")</f>
        <v/>
      </c>
      <c r="L96" s="8">
        <f>IF(AND(F96&lt;&gt;"",G96&lt;&gt;"",I96&lt;&gt;""), (G96-F96)/(F96-I96), "")</f>
        <v/>
      </c>
      <c r="M96" s="5">
        <f>IF(N96&gt;0,"Win",IF(N96&lt;0,"Loss",""))</f>
        <v/>
      </c>
      <c r="N96" s="16">
        <f>IF(AND(F96&lt;&gt;"",G96&lt;&gt;"",H96&lt;&gt;"",D96&lt;&gt;""), IF(E96="Long", (G96-F96)*H96*VLOOKUP(D96,Multipliers!A:B,2,FALSE), (F96-G96)*H96*VLOOKUP(D96,Multipliers!A:B,2,FALSE)), "")</f>
        <v/>
      </c>
      <c r="O96" s="9">
        <f>IF(AND(N96&lt;&gt;"",F96&lt;&gt;"",H96&lt;&gt;"",D96&lt;&gt;""), N96/(F96*H96*VLOOKUP(D96,Multipliers!A:B,2,FALSE)), "")</f>
        <v/>
      </c>
      <c r="P96" s="5">
        <f>P95+N96</f>
        <v/>
      </c>
      <c r="Q96" s="5" t="inlineStr">
        <is>
          <t>Break and Retest</t>
        </is>
      </c>
      <c r="R96" s="5" t="inlineStr">
        <is>
          <t>Imported from Tradovate</t>
        </is>
      </c>
      <c r="S96" s="5" t="inlineStr">
        <is>
          <t>MGC</t>
        </is>
      </c>
      <c r="T96" s="5" t="n"/>
      <c r="U96" s="5" t="n"/>
      <c r="V96" s="5" t="inlineStr">
        <is>
          <t>Overtraded</t>
        </is>
      </c>
      <c r="W96" s="5" t="n"/>
      <c r="X96" s="5" t="n"/>
      <c r="Y96" s="5" t="n"/>
      <c r="Z96" s="5" t="n"/>
      <c r="AA96" s="5" t="n"/>
    </row>
    <row r="97" ht="15.75" customHeight="1">
      <c r="A97" s="5" t="n">
        <v>104</v>
      </c>
      <c r="B97" s="22" t="n">
        <v>46265</v>
      </c>
      <c r="C97" s="10" t="n">
        <v>0.9342361111111112</v>
      </c>
      <c r="D97" s="5" t="inlineStr">
        <is>
          <t>MGC</t>
        </is>
      </c>
      <c r="E97" s="5" t="inlineStr">
        <is>
          <t>Long</t>
        </is>
      </c>
      <c r="F97" s="5" t="n">
        <v>4491.8</v>
      </c>
      <c r="G97" s="5" t="n">
        <v>4490.2</v>
      </c>
      <c r="H97" s="5" t="n">
        <v>1</v>
      </c>
      <c r="I97" s="5" t="n">
        <v>4490.4</v>
      </c>
      <c r="J97" s="5" t="n">
        <v>4506.4</v>
      </c>
      <c r="K97" s="8">
        <f>IF(AND(I97&lt;&gt;"",J97&lt;&gt;"",F97&lt;&gt;""), (J97-F97)/(F97-I97), "")</f>
        <v/>
      </c>
      <c r="L97" s="8">
        <f>IF(AND(F97&lt;&gt;"",G97&lt;&gt;"",I97&lt;&gt;""), (G97-F97)/(F97-I97), "")</f>
        <v/>
      </c>
      <c r="M97" s="5">
        <f>IF(N97&gt;0,"Win",IF(N97&lt;0,"Loss",""))</f>
        <v/>
      </c>
      <c r="N97" s="16">
        <f>IF(AND(F97&lt;&gt;"",G97&lt;&gt;"",H97&lt;&gt;"",D97&lt;&gt;""), IF(E97="Long", (G97-F97)*H97*VLOOKUP(D97,Multipliers!A:B,2,FALSE), (F97-G97)*H97*VLOOKUP(D97,Multipliers!A:B,2,FALSE)), "")</f>
        <v/>
      </c>
      <c r="O97" s="9">
        <f>IF(AND(N97&lt;&gt;"",F97&lt;&gt;"",H97&lt;&gt;"",D97&lt;&gt;""), N97/(F97*H97*VLOOKUP(D97,Multipliers!A:B,2,FALSE)), "")</f>
        <v/>
      </c>
      <c r="P97" s="5">
        <f>P96+N97</f>
        <v/>
      </c>
      <c r="Q97" s="5" t="inlineStr">
        <is>
          <t>Break and Retest</t>
        </is>
      </c>
      <c r="R97" s="5" t="inlineStr">
        <is>
          <t>Imported from Tradovate</t>
        </is>
      </c>
      <c r="S97" s="5" t="inlineStr">
        <is>
          <t>MGC</t>
        </is>
      </c>
      <c r="T97" s="5" t="n"/>
      <c r="U97" s="5" t="n"/>
      <c r="V97" s="5" t="inlineStr">
        <is>
          <t>Overtraded</t>
        </is>
      </c>
      <c r="W97" s="5" t="n"/>
      <c r="X97" s="5" t="n"/>
      <c r="Y97" s="5" t="n"/>
      <c r="Z97" s="5" t="n"/>
      <c r="AA97" s="5" t="n"/>
    </row>
    <row r="98" ht="15.75" customHeight="1">
      <c r="A98" s="5" t="n">
        <v>105</v>
      </c>
      <c r="B98" s="22" t="n">
        <v>46265</v>
      </c>
      <c r="C98" s="10" t="n">
        <v>0.9349537037037037</v>
      </c>
      <c r="D98" s="5" t="inlineStr">
        <is>
          <t>MGC</t>
        </is>
      </c>
      <c r="E98" s="5" t="inlineStr">
        <is>
          <t>Long</t>
        </is>
      </c>
      <c r="F98" s="5" t="n">
        <v>4490.5</v>
      </c>
      <c r="G98" s="5" t="n">
        <v>4484.5</v>
      </c>
      <c r="H98" s="5" t="n">
        <v>1</v>
      </c>
      <c r="I98" s="5" t="n">
        <v>4484.5</v>
      </c>
      <c r="J98" s="5" t="n">
        <v>4506.4</v>
      </c>
      <c r="K98" s="8">
        <f>IF(AND(I98&lt;&gt;"",J98&lt;&gt;"",F98&lt;&gt;""), (J98-F98)/(F98-I98), "")</f>
        <v/>
      </c>
      <c r="L98" s="8">
        <f>IF(AND(F98&lt;&gt;"",G98&lt;&gt;"",I98&lt;&gt;""), (G98-F98)/(F98-I98), "")</f>
        <v/>
      </c>
      <c r="M98" s="5">
        <f>IF(N98&gt;0,"Win",IF(N98&lt;0,"Loss",""))</f>
        <v/>
      </c>
      <c r="N98" s="16">
        <f>IF(AND(F98&lt;&gt;"",G98&lt;&gt;"",H98&lt;&gt;"",D98&lt;&gt;""), IF(E98="Long", (G98-F98)*H98*VLOOKUP(D98,Multipliers!A:B,2,FALSE), (F98-G98)*H98*VLOOKUP(D98,Multipliers!A:B,2,FALSE)), "")</f>
        <v/>
      </c>
      <c r="O98" s="9">
        <f>IF(AND(N98&lt;&gt;"",F98&lt;&gt;"",H98&lt;&gt;"",D98&lt;&gt;""), N98/(F98*H98*VLOOKUP(D98,Multipliers!A:B,2,FALSE)), "")</f>
        <v/>
      </c>
      <c r="P98" s="5">
        <f>P97+N98</f>
        <v/>
      </c>
      <c r="Q98" s="5" t="inlineStr">
        <is>
          <t>Break and Retest</t>
        </is>
      </c>
      <c r="R98" s="5" t="inlineStr">
        <is>
          <t>Imported from Tradovate</t>
        </is>
      </c>
      <c r="S98" s="5" t="inlineStr">
        <is>
          <t>MGC</t>
        </is>
      </c>
      <c r="T98" s="5" t="n"/>
      <c r="U98" s="5" t="n"/>
      <c r="V98" s="5" t="inlineStr">
        <is>
          <t>Revenge trade, Overtraded</t>
        </is>
      </c>
      <c r="W98" s="5" t="n"/>
      <c r="X98" s="5" t="n"/>
      <c r="Y98" s="5" t="n"/>
      <c r="Z98" s="5" t="n"/>
      <c r="AA98" s="5" t="n"/>
    </row>
    <row r="99" ht="15.75" customHeight="1">
      <c r="A99" s="5" t="n">
        <v>106</v>
      </c>
      <c r="B99" s="22" t="n">
        <v>46265</v>
      </c>
      <c r="C99" s="10" t="n">
        <v>0.9497569444444445</v>
      </c>
      <c r="D99" s="5" t="inlineStr">
        <is>
          <t>MGC</t>
        </is>
      </c>
      <c r="E99" s="5" t="inlineStr">
        <is>
          <t>Short</t>
        </is>
      </c>
      <c r="F99" s="5" t="n">
        <v>4481</v>
      </c>
      <c r="G99" s="5" t="n">
        <v>4487</v>
      </c>
      <c r="H99" s="5" t="n">
        <v>3</v>
      </c>
      <c r="I99" s="5" t="n">
        <v>4487</v>
      </c>
      <c r="J99" s="5" t="n">
        <v>4469</v>
      </c>
      <c r="K99" s="8">
        <f>IF(AND(I99&lt;&gt;"",J99&lt;&gt;"",F99&lt;&gt;""), (J99-F99)/(F99-I99), "")</f>
        <v/>
      </c>
      <c r="L99" s="8">
        <f>IF(AND(F99&lt;&gt;"",G99&lt;&gt;"",I99&lt;&gt;""), (G99-F99)/(F99-I99), "")</f>
        <v/>
      </c>
      <c r="M99" s="5">
        <f>IF(N99&gt;0,"Win",IF(N99&lt;0,"Loss",""))</f>
        <v/>
      </c>
      <c r="N99" s="16">
        <f>IF(AND(F99&lt;&gt;"",G99&lt;&gt;"",H99&lt;&gt;"",D99&lt;&gt;""), IF(E99="Long", (G99-F99)*H99*VLOOKUP(D99,Multipliers!A:B,2,FALSE), (F99-G99)*H99*VLOOKUP(D99,Multipliers!A:B,2,FALSE)), "")</f>
        <v/>
      </c>
      <c r="O99" s="9">
        <f>IF(AND(N99&lt;&gt;"",F99&lt;&gt;"",H99&lt;&gt;"",D99&lt;&gt;""), N99/(F99*H99*VLOOKUP(D99,Multipliers!A:B,2,FALSE)), "")</f>
        <v/>
      </c>
      <c r="P99" s="5">
        <f>P98+N99</f>
        <v/>
      </c>
      <c r="Q99" s="5" t="inlineStr">
        <is>
          <t>Break and Retest</t>
        </is>
      </c>
      <c r="R99" s="5" t="inlineStr">
        <is>
          <t>Imported from Tradovate</t>
        </is>
      </c>
      <c r="S99" s="5" t="inlineStr">
        <is>
          <t>MGC</t>
        </is>
      </c>
      <c r="T99" s="5" t="n"/>
      <c r="U99" s="5" t="n"/>
      <c r="V99" s="5" t="inlineStr">
        <is>
          <t>Overtraded</t>
        </is>
      </c>
      <c r="W99" s="5" t="n"/>
      <c r="X99" s="5" t="n"/>
      <c r="Y99" s="5" t="n"/>
      <c r="Z99" s="5" t="n"/>
      <c r="AA99" s="5" t="n"/>
    </row>
    <row r="100" ht="15.75" customHeight="1">
      <c r="A100" s="5" t="n">
        <v>107</v>
      </c>
      <c r="B100" s="22" t="n">
        <v>46265</v>
      </c>
      <c r="C100" s="10" t="n">
        <v>0.9588310185185185</v>
      </c>
      <c r="D100" s="5" t="inlineStr">
        <is>
          <t>MGC</t>
        </is>
      </c>
      <c r="E100" s="5" t="inlineStr">
        <is>
          <t>Short</t>
        </is>
      </c>
      <c r="F100" s="5" t="n">
        <v>4488.4</v>
      </c>
      <c r="G100" s="5" t="n">
        <v>4484.566667</v>
      </c>
      <c r="H100" s="5" t="n">
        <v>6</v>
      </c>
      <c r="I100" s="5" t="n">
        <v>4495.2</v>
      </c>
      <c r="J100" s="5" t="n">
        <v>4483</v>
      </c>
      <c r="K100" s="8">
        <f>IF(AND(I100&lt;&gt;"",J100&lt;&gt;"",F100&lt;&gt;""), (J100-F100)/(F100-I100), "")</f>
        <v/>
      </c>
      <c r="L100" s="8">
        <f>IF(AND(F100&lt;&gt;"",G100&lt;&gt;"",I100&lt;&gt;""), (G100-F100)/(F100-I100), "")</f>
        <v/>
      </c>
      <c r="M100" s="5">
        <f>IF(N100&gt;0,"Win",IF(N100&lt;0,"Loss",""))</f>
        <v/>
      </c>
      <c r="N100" s="16">
        <f>IF(AND(F100&lt;&gt;"",G100&lt;&gt;"",H100&lt;&gt;"",D100&lt;&gt;""), IF(E100="Long", (G100-F100)*H100*VLOOKUP(D100,Multipliers!A:B,2,FALSE), (F100-G100)*H100*VLOOKUP(D100,Multipliers!A:B,2,FALSE)), "")</f>
        <v/>
      </c>
      <c r="O100" s="9">
        <f>IF(AND(N100&lt;&gt;"",F100&lt;&gt;"",H100&lt;&gt;"",D100&lt;&gt;""), N100/(F100*H100*VLOOKUP(D100,Multipliers!A:B,2,FALSE)), "")</f>
        <v/>
      </c>
      <c r="P100" s="5">
        <f>P99+N100</f>
        <v/>
      </c>
      <c r="Q100" s="5" t="inlineStr">
        <is>
          <t>Break and Retest</t>
        </is>
      </c>
      <c r="R100" s="5" t="inlineStr">
        <is>
          <t>Imported from Tradovate</t>
        </is>
      </c>
      <c r="S100" s="5" t="inlineStr">
        <is>
          <t>MGC</t>
        </is>
      </c>
      <c r="T100" s="5" t="n"/>
      <c r="U100" s="5" t="n"/>
      <c r="V100" s="5" t="inlineStr">
        <is>
          <t>Revenge trade, Overtraded</t>
        </is>
      </c>
      <c r="W100" s="5" t="n"/>
      <c r="X100" s="5" t="n"/>
      <c r="Y100" s="5" t="n"/>
      <c r="Z100" s="5" t="n"/>
      <c r="AA100" s="5" t="n"/>
    </row>
    <row r="101" ht="15.75" customHeight="1">
      <c r="A101" s="5" t="n">
        <v>108</v>
      </c>
      <c r="B101" s="22" t="n">
        <v>46265</v>
      </c>
      <c r="C101" s="10" t="n">
        <v>0.9992939814814815</v>
      </c>
      <c r="D101" s="5" t="inlineStr">
        <is>
          <t>MGC</t>
        </is>
      </c>
      <c r="E101" s="5" t="inlineStr">
        <is>
          <t>Short</t>
        </is>
      </c>
      <c r="F101" s="5" t="n">
        <v>4486.7</v>
      </c>
      <c r="G101" s="5" t="n">
        <v>4484.2</v>
      </c>
      <c r="H101" s="5" t="n">
        <v>2</v>
      </c>
      <c r="I101" s="5" t="n">
        <v>4489.6</v>
      </c>
      <c r="J101" s="5" t="n">
        <v>4483.5</v>
      </c>
      <c r="K101" s="8">
        <f>IF(AND(I101&lt;&gt;"",J101&lt;&gt;"",F101&lt;&gt;""), (J101-F101)/(F101-I101), "")</f>
        <v/>
      </c>
      <c r="L101" s="8">
        <f>IF(AND(F101&lt;&gt;"",G101&lt;&gt;"",I101&lt;&gt;""), (G101-F101)/(F101-I101), "")</f>
        <v/>
      </c>
      <c r="M101" s="5">
        <f>IF(N101&gt;0,"Win",IF(N101&lt;0,"Loss",""))</f>
        <v/>
      </c>
      <c r="N101" s="16">
        <f>IF(AND(F101&lt;&gt;"",G101&lt;&gt;"",H101&lt;&gt;"",D101&lt;&gt;""), IF(E101="Long", (G101-F101)*H101*VLOOKUP(D101,Multipliers!A:B,2,FALSE), (F101-G101)*H101*VLOOKUP(D101,Multipliers!A:B,2,FALSE)), "")</f>
        <v/>
      </c>
      <c r="O101" s="9">
        <f>IF(AND(N101&lt;&gt;"",F101&lt;&gt;"",H101&lt;&gt;"",D101&lt;&gt;""), N101/(F101*H101*VLOOKUP(D101,Multipliers!A:B,2,FALSE)), "")</f>
        <v/>
      </c>
      <c r="P101" s="5">
        <f>P100+N101</f>
        <v/>
      </c>
      <c r="Q101" s="5" t="inlineStr">
        <is>
          <t>Break and Retest</t>
        </is>
      </c>
      <c r="R101" s="5" t="inlineStr">
        <is>
          <t>Imported from Tradovate</t>
        </is>
      </c>
      <c r="S101" s="5" t="inlineStr">
        <is>
          <t>MGC</t>
        </is>
      </c>
      <c r="T101" s="5" t="n"/>
      <c r="U101" s="5" t="n"/>
      <c r="V101" s="5" t="inlineStr">
        <is>
          <t>Overtraded</t>
        </is>
      </c>
      <c r="W101" s="5" t="n"/>
      <c r="X101" s="5" t="n"/>
      <c r="Y101" s="5" t="n"/>
      <c r="Z101" s="5" t="n"/>
      <c r="AA101" s="5" t="n"/>
    </row>
    <row r="102" ht="15.75" customHeight="1">
      <c r="A102" s="5" t="n">
        <v>109</v>
      </c>
      <c r="B102" s="22" t="n">
        <v>46266</v>
      </c>
      <c r="C102" s="10" t="n">
        <v>0.4359375</v>
      </c>
      <c r="D102" s="5" t="inlineStr">
        <is>
          <t>MGC</t>
        </is>
      </c>
      <c r="E102" s="5" t="inlineStr">
        <is>
          <t>Short</t>
        </is>
      </c>
      <c r="F102" s="5" t="n">
        <v>4417.466667</v>
      </c>
      <c r="G102" s="5" t="n">
        <v>4416.433333</v>
      </c>
      <c r="H102" s="5" t="n">
        <v>3</v>
      </c>
      <c r="I102" s="5" t="n">
        <v>4427.6</v>
      </c>
      <c r="J102" s="5" t="n">
        <v>4416.1</v>
      </c>
      <c r="K102" s="8">
        <f>IF(AND(I102&lt;&gt;"",J102&lt;&gt;"",F102&lt;&gt;""), (J102-F102)/(F102-I102), "")</f>
        <v/>
      </c>
      <c r="L102" s="8">
        <f>IF(AND(F102&lt;&gt;"",G102&lt;&gt;"",I102&lt;&gt;""), (G102-F102)/(F102-I102), "")</f>
        <v/>
      </c>
      <c r="M102" s="5">
        <f>IF(N102&gt;0,"Win",IF(N102&lt;0,"Loss",""))</f>
        <v/>
      </c>
      <c r="N102" s="16">
        <f>IF(AND(F102&lt;&gt;"",G102&lt;&gt;"",H102&lt;&gt;"",D102&lt;&gt;""), IF(E102="Long", (G102-F102)*H102*VLOOKUP(D102,Multipliers!A:B,2,FALSE), (F102-G102)*H102*VLOOKUP(D102,Multipliers!A:B,2,FALSE)), "")</f>
        <v/>
      </c>
      <c r="O102" s="9">
        <f>IF(AND(N102&lt;&gt;"",F102&lt;&gt;"",H102&lt;&gt;"",D102&lt;&gt;""), N102/(F102*H102*VLOOKUP(D102,Multipliers!A:B,2,FALSE)), "")</f>
        <v/>
      </c>
      <c r="P102" s="5">
        <f>P101+N102</f>
        <v/>
      </c>
      <c r="Q102" s="5" t="inlineStr">
        <is>
          <t>Break and Retest</t>
        </is>
      </c>
      <c r="R102" s="5" t="inlineStr">
        <is>
          <t>Imported from Tradovate</t>
        </is>
      </c>
      <c r="S102" s="5" t="inlineStr">
        <is>
          <t>MGC</t>
        </is>
      </c>
      <c r="T102" s="5" t="n"/>
      <c r="U102" s="5" t="n"/>
      <c r="V102" s="5" t="inlineStr">
        <is>
          <t>Overtraded</t>
        </is>
      </c>
      <c r="W102" s="5" t="n"/>
      <c r="X102" s="5" t="n"/>
      <c r="Y102" s="5" t="n"/>
      <c r="Z102" s="5" t="n"/>
      <c r="AA102" s="5" t="n"/>
    </row>
    <row r="103" ht="15.75" customHeight="1">
      <c r="A103" s="5" t="n">
        <v>110</v>
      </c>
      <c r="B103" s="22" t="n">
        <v>46266</v>
      </c>
      <c r="C103" s="10" t="n">
        <v>0.4439236111111111</v>
      </c>
      <c r="D103" s="5" t="inlineStr">
        <is>
          <t>MNQ</t>
        </is>
      </c>
      <c r="E103" s="5" t="inlineStr">
        <is>
          <t>Long</t>
        </is>
      </c>
      <c r="F103" s="5" t="n">
        <v>29207.3</v>
      </c>
      <c r="G103" s="5" t="n">
        <v>29255.5</v>
      </c>
      <c r="H103" s="5" t="n">
        <v>5</v>
      </c>
      <c r="I103" s="5" t="n">
        <v>29206</v>
      </c>
      <c r="J103" s="5" t="n">
        <v>29255.5</v>
      </c>
      <c r="K103" s="8">
        <f>IF(AND(I103&lt;&gt;"",J103&lt;&gt;"",F103&lt;&gt;""), (J103-F103)/(F103-I103), "")</f>
        <v/>
      </c>
      <c r="L103" s="8">
        <f>IF(AND(F103&lt;&gt;"",G103&lt;&gt;"",I103&lt;&gt;""), (G103-F103)/(F103-I103), "")</f>
        <v/>
      </c>
      <c r="M103" s="5">
        <f>IF(N103&gt;0,"Win",IF(N103&lt;0,"Loss",""))</f>
        <v/>
      </c>
      <c r="N103" s="16">
        <f>IF(AND(F103&lt;&gt;"",G103&lt;&gt;"",H103&lt;&gt;"",D103&lt;&gt;""), IF(E103="Long", (G103-F103)*H103*VLOOKUP(D103,Multipliers!A:B,2,FALSE), (F103-G103)*H103*VLOOKUP(D103,Multipliers!A:B,2,FALSE)), "")</f>
        <v/>
      </c>
      <c r="O103" s="9">
        <f>IF(AND(N103&lt;&gt;"",F103&lt;&gt;"",H103&lt;&gt;"",D103&lt;&gt;""), N103/(F103*H103*VLOOKUP(D103,Multipliers!A:B,2,FALSE)), "")</f>
        <v/>
      </c>
      <c r="P103" s="5">
        <f>P102+N103</f>
        <v/>
      </c>
      <c r="Q103" s="5" t="inlineStr">
        <is>
          <t>Break and Retest</t>
        </is>
      </c>
      <c r="R103" s="5" t="inlineStr">
        <is>
          <t>Imported from Tradovate</t>
        </is>
      </c>
      <c r="S103" s="5" t="inlineStr">
        <is>
          <t>MNQ</t>
        </is>
      </c>
      <c r="T103" s="5" t="n"/>
      <c r="U103" s="5" t="n"/>
      <c r="V103" s="5" t="inlineStr">
        <is>
          <t>Revenge trade, Overtraded</t>
        </is>
      </c>
      <c r="W103" s="5" t="n"/>
      <c r="X103" s="5" t="n"/>
      <c r="Y103" s="5" t="n"/>
      <c r="Z103" s="5" t="n"/>
      <c r="AA103" s="5" t="n"/>
    </row>
    <row r="104" ht="15.75" customHeight="1">
      <c r="A104" s="5" t="n">
        <v>111</v>
      </c>
      <c r="B104" s="22" t="n">
        <v>46266</v>
      </c>
      <c r="C104" s="10" t="n">
        <v>0.001550925925925926</v>
      </c>
      <c r="D104" s="5" t="inlineStr">
        <is>
          <t>MGC</t>
        </is>
      </c>
      <c r="E104" s="5" t="inlineStr">
        <is>
          <t>Short</t>
        </is>
      </c>
      <c r="F104" s="5" t="n">
        <v>4486.4</v>
      </c>
      <c r="G104" s="5" t="n">
        <v>4484.9</v>
      </c>
      <c r="H104" s="5" t="n">
        <v>1</v>
      </c>
      <c r="I104" s="5" t="n">
        <v>4489.6</v>
      </c>
      <c r="J104" s="5" t="n">
        <v>4483.5</v>
      </c>
      <c r="K104" s="8">
        <f>IF(AND(I104&lt;&gt;"",J104&lt;&gt;"",F104&lt;&gt;""), (J104-F104)/(F104-I104), "")</f>
        <v/>
      </c>
      <c r="L104" s="8">
        <f>IF(AND(F104&lt;&gt;"",G104&lt;&gt;"",I104&lt;&gt;""), (G104-F104)/(F104-I104), "")</f>
        <v/>
      </c>
      <c r="M104" s="5">
        <f>IF(N104&gt;0,"Win",IF(N104&lt;0,"Loss",""))</f>
        <v/>
      </c>
      <c r="N104" s="16">
        <f>IF(AND(F104&lt;&gt;"",G104&lt;&gt;"",H104&lt;&gt;"",D104&lt;&gt;""), IF(E104="Long", (G104-F104)*H104*VLOOKUP(D104,Multipliers!A:B,2,FALSE), (F104-G104)*H104*VLOOKUP(D104,Multipliers!A:B,2,FALSE)), "")</f>
        <v/>
      </c>
      <c r="O104" s="9">
        <f>IF(AND(N104&lt;&gt;"",F104&lt;&gt;"",H104&lt;&gt;"",D104&lt;&gt;""), N104/(F104*H104*VLOOKUP(D104,Multipliers!A:B,2,FALSE)), "")</f>
        <v/>
      </c>
      <c r="P104" s="5">
        <f>P103+N104</f>
        <v/>
      </c>
      <c r="Q104" s="5" t="inlineStr">
        <is>
          <t>Break and Retest</t>
        </is>
      </c>
      <c r="R104" s="5" t="inlineStr">
        <is>
          <t>Imported from Tradovate</t>
        </is>
      </c>
      <c r="S104" s="5" t="inlineStr">
        <is>
          <t>MGC</t>
        </is>
      </c>
      <c r="T104" s="5" t="n"/>
      <c r="U104" s="5" t="n"/>
      <c r="V104" s="5" t="inlineStr">
        <is>
          <t>Overtraded</t>
        </is>
      </c>
      <c r="W104" s="5" t="n"/>
      <c r="X104" s="5" t="n"/>
      <c r="Y104" s="5" t="n"/>
      <c r="Z104" s="5" t="n"/>
      <c r="AA104" s="5" t="n"/>
    </row>
    <row r="105" ht="15.75" customHeight="1">
      <c r="A105" s="5" t="n">
        <v>112</v>
      </c>
      <c r="B105" s="22" t="n">
        <v>46266</v>
      </c>
      <c r="C105" s="10" t="n">
        <v>0.4781944444444444</v>
      </c>
      <c r="D105" s="5" t="inlineStr">
        <is>
          <t>MNQ</t>
        </is>
      </c>
      <c r="E105" s="5" t="inlineStr">
        <is>
          <t>Long</t>
        </is>
      </c>
      <c r="F105" s="5" t="n">
        <v>29207.75</v>
      </c>
      <c r="G105" s="5" t="n">
        <v>29232.75</v>
      </c>
      <c r="H105" s="5" t="n">
        <v>1</v>
      </c>
      <c r="I105" s="5" t="n">
        <v>29202.5</v>
      </c>
      <c r="J105" s="5" t="n">
        <v>29245.25</v>
      </c>
      <c r="K105" s="8">
        <f>IF(AND(I105&lt;&gt;"",J105&lt;&gt;"",F105&lt;&gt;""), (J105-F105)/(F105-I105), "")</f>
        <v/>
      </c>
      <c r="L105" s="8">
        <f>IF(AND(F105&lt;&gt;"",G105&lt;&gt;"",I105&lt;&gt;""), (G105-F105)/(F105-I105), "")</f>
        <v/>
      </c>
      <c r="M105" s="5">
        <f>IF(N105&gt;0,"Win",IF(N105&lt;0,"Loss",""))</f>
        <v/>
      </c>
      <c r="N105" s="16">
        <f>IF(AND(F105&lt;&gt;"",G105&lt;&gt;"",H105&lt;&gt;"",D105&lt;&gt;""), IF(E105="Long", (G105-F105)*H105*VLOOKUP(D105,Multipliers!A:B,2,FALSE), (F105-G105)*H105*VLOOKUP(D105,Multipliers!A:B,2,FALSE)), "")</f>
        <v/>
      </c>
      <c r="O105" s="9">
        <f>IF(AND(N105&lt;&gt;"",F105&lt;&gt;"",H105&lt;&gt;"",D105&lt;&gt;""), N105/(F105*H105*VLOOKUP(D105,Multipliers!A:B,2,FALSE)), "")</f>
        <v/>
      </c>
      <c r="P105" s="5">
        <f>P104+N105</f>
        <v/>
      </c>
      <c r="Q105" s="5" t="inlineStr">
        <is>
          <t>Break and Retest</t>
        </is>
      </c>
      <c r="R105" s="5" t="inlineStr">
        <is>
          <t>Imported from Tradovate</t>
        </is>
      </c>
      <c r="S105" s="5" t="inlineStr">
        <is>
          <t>MNQ</t>
        </is>
      </c>
      <c r="T105" s="5" t="n"/>
      <c r="U105" s="5" t="n"/>
      <c r="V105" s="5" t="inlineStr">
        <is>
          <t>Overtraded</t>
        </is>
      </c>
      <c r="W105" s="5" t="n"/>
      <c r="X105" s="5" t="n"/>
      <c r="Y105" s="5" t="n"/>
      <c r="Z105" s="5" t="n"/>
      <c r="AA105" s="5" t="n"/>
    </row>
    <row r="106" ht="15.75" customHeight="1">
      <c r="A106" s="5" t="n">
        <v>113</v>
      </c>
      <c r="B106" s="22" t="n">
        <v>46266</v>
      </c>
      <c r="C106" s="10" t="n">
        <v>0.5175694444444444</v>
      </c>
      <c r="D106" s="5" t="inlineStr">
        <is>
          <t>MNQ</t>
        </is>
      </c>
      <c r="E106" s="5" t="inlineStr">
        <is>
          <t>Long</t>
        </is>
      </c>
      <c r="F106" s="5" t="n">
        <v>29201</v>
      </c>
      <c r="G106" s="5" t="n">
        <v>29181.25</v>
      </c>
      <c r="H106" s="5" t="n">
        <v>2</v>
      </c>
      <c r="I106" s="5" t="n">
        <v>29181.75</v>
      </c>
      <c r="J106" s="5" t="n">
        <v>29201.75</v>
      </c>
      <c r="K106" s="8">
        <f>IF(AND(I106&lt;&gt;"",J106&lt;&gt;"",F106&lt;&gt;""), (J106-F106)/(F106-I106), "")</f>
        <v/>
      </c>
      <c r="L106" s="8">
        <f>IF(AND(F106&lt;&gt;"",G106&lt;&gt;"",I106&lt;&gt;""), (G106-F106)/(F106-I106), "")</f>
        <v/>
      </c>
      <c r="M106" s="5">
        <f>IF(N106&gt;0,"Win",IF(N106&lt;0,"Loss",""))</f>
        <v/>
      </c>
      <c r="N106" s="16">
        <f>IF(AND(F106&lt;&gt;"",G106&lt;&gt;"",H106&lt;&gt;"",D106&lt;&gt;""), IF(E106="Long", (G106-F106)*H106*VLOOKUP(D106,Multipliers!A:B,2,FALSE), (F106-G106)*H106*VLOOKUP(D106,Multipliers!A:B,2,FALSE)), "")</f>
        <v/>
      </c>
      <c r="O106" s="9">
        <f>IF(AND(N106&lt;&gt;"",F106&lt;&gt;"",H106&lt;&gt;"",D106&lt;&gt;""), N106/(F106*H106*VLOOKUP(D106,Multipliers!A:B,2,FALSE)), "")</f>
        <v/>
      </c>
      <c r="P106" s="5">
        <f>P105+N106</f>
        <v/>
      </c>
      <c r="Q106" s="5" t="inlineStr">
        <is>
          <t>Break and Retest</t>
        </is>
      </c>
      <c r="R106" s="5" t="inlineStr">
        <is>
          <t>Imported from Tradovate</t>
        </is>
      </c>
      <c r="S106" s="5" t="inlineStr">
        <is>
          <t>MNQ</t>
        </is>
      </c>
      <c r="T106" s="5" t="n"/>
      <c r="U106" s="5" t="n"/>
      <c r="V106" s="5" t="inlineStr">
        <is>
          <t>Overtraded</t>
        </is>
      </c>
      <c r="W106" s="5" t="n"/>
      <c r="X106" s="5" t="n"/>
      <c r="Y106" s="5" t="n"/>
      <c r="Z106" s="5" t="n"/>
      <c r="AA106" s="5" t="n"/>
    </row>
    <row r="107" ht="15.75" customHeight="1">
      <c r="A107" s="5" t="n">
        <v>114</v>
      </c>
      <c r="B107" s="22" t="n">
        <v>46260</v>
      </c>
      <c r="C107" s="10" t="n">
        <v>0.9356944444444445</v>
      </c>
      <c r="D107" s="5" t="inlineStr">
        <is>
          <t>MNQ</t>
        </is>
      </c>
      <c r="E107" s="5" t="inlineStr">
        <is>
          <t>Short</t>
        </is>
      </c>
      <c r="F107" s="5" t="n">
        <v>29535</v>
      </c>
      <c r="G107" s="5" t="n">
        <v>29546.5</v>
      </c>
      <c r="H107" s="5" t="n">
        <v>2</v>
      </c>
      <c r="I107" s="5" t="n">
        <v>29545</v>
      </c>
      <c r="J107" s="5" t="n">
        <v>29514.75</v>
      </c>
      <c r="K107" s="8">
        <f>IF(AND(I107&lt;&gt;"",J107&lt;&gt;"",F107&lt;&gt;""), (J107-F107)/(F107-I107), "")</f>
        <v/>
      </c>
      <c r="L107" s="8">
        <f>IF(AND(F107&lt;&gt;"",G107&lt;&gt;"",I107&lt;&gt;""), (G107-F107)/(F107-I107), "")</f>
        <v/>
      </c>
      <c r="M107" s="5">
        <f>IF(N107&gt;0,"Win",IF(N107&lt;0,"Loss",""))</f>
        <v/>
      </c>
      <c r="N107" s="16">
        <f>IF(AND(F107&lt;&gt;"",G107&lt;&gt;"",H107&lt;&gt;"",D107&lt;&gt;""), IF(E107="Long", (G107-F107)*H107*VLOOKUP(D107,Multipliers!A:B,2,FALSE), (F107-G107)*H107*VLOOKUP(D107,Multipliers!A:B,2,FALSE)), "")</f>
        <v/>
      </c>
      <c r="O107" s="9">
        <f>IF(AND(N107&lt;&gt;"",F107&lt;&gt;"",H107&lt;&gt;"",D107&lt;&gt;""), N107/(F107*H107*VLOOKUP(D107,Multipliers!A:B,2,FALSE)), "")</f>
        <v/>
      </c>
      <c r="P107" s="5">
        <f>P106+N107</f>
        <v/>
      </c>
      <c r="Q107" s="5" t="inlineStr">
        <is>
          <t>Break and Retest</t>
        </is>
      </c>
      <c r="R107" s="5" t="inlineStr">
        <is>
          <t>Imported from Tradovate</t>
        </is>
      </c>
      <c r="S107" s="5" t="inlineStr">
        <is>
          <t>MNQ</t>
        </is>
      </c>
      <c r="T107" s="5" t="n"/>
      <c r="U107" s="5" t="n"/>
      <c r="V107" s="5" t="inlineStr">
        <is>
          <t>Overtraded</t>
        </is>
      </c>
      <c r="W107" s="5" t="n"/>
      <c r="X107" s="5" t="n"/>
      <c r="Y107" s="5" t="n"/>
      <c r="Z107" s="5" t="n"/>
      <c r="AA107" s="5" t="n"/>
    </row>
    <row r="108" ht="15.75" customHeight="1">
      <c r="A108" s="5" t="n">
        <v>115</v>
      </c>
      <c r="B108" s="22" t="n">
        <v>46261</v>
      </c>
      <c r="C108" s="10" t="n">
        <v>0.8349537037037037</v>
      </c>
      <c r="D108" s="5" t="inlineStr">
        <is>
          <t>MGC</t>
        </is>
      </c>
      <c r="E108" s="5" t="inlineStr">
        <is>
          <t>Short</t>
        </is>
      </c>
      <c r="F108" s="5" t="n">
        <v>4652.9</v>
      </c>
      <c r="G108" s="5" t="n">
        <v>4652.2</v>
      </c>
      <c r="H108" s="5" t="n">
        <v>3</v>
      </c>
      <c r="I108" s="5" t="n">
        <v>4659</v>
      </c>
      <c r="J108" s="5" t="n">
        <v>4638</v>
      </c>
      <c r="K108" s="8">
        <f>IF(AND(I108&lt;&gt;"",J108&lt;&gt;"",F108&lt;&gt;""), (J108-F108)/(F108-I108), "")</f>
        <v/>
      </c>
      <c r="L108" s="8">
        <f>IF(AND(F108&lt;&gt;"",G108&lt;&gt;"",I108&lt;&gt;""), (G108-F108)/(F108-I108), "")</f>
        <v/>
      </c>
      <c r="M108" s="5">
        <f>IF(N108&gt;0,"Win",IF(N108&lt;0,"Loss",""))</f>
        <v/>
      </c>
      <c r="N108" s="16">
        <f>IF(AND(F108&lt;&gt;"",G108&lt;&gt;"",H108&lt;&gt;"",D108&lt;&gt;""), IF(E108="Long", (G108-F108)*H108*VLOOKUP(D108,Multipliers!A:B,2,FALSE), (F108-G108)*H108*VLOOKUP(D108,Multipliers!A:B,2,FALSE)), "")</f>
        <v/>
      </c>
      <c r="O108" s="9">
        <f>IF(AND(N108&lt;&gt;"",F108&lt;&gt;"",H108&lt;&gt;"",D108&lt;&gt;""), N108/(F108*H108*VLOOKUP(D108,Multipliers!A:B,2,FALSE)), "")</f>
        <v/>
      </c>
      <c r="P108" s="5">
        <f>P107+N108</f>
        <v/>
      </c>
      <c r="Q108" s="5" t="inlineStr">
        <is>
          <t>Break and Retest</t>
        </is>
      </c>
      <c r="R108" s="5" t="inlineStr">
        <is>
          <t>Imported from Tradovate</t>
        </is>
      </c>
      <c r="S108" s="5" t="inlineStr">
        <is>
          <t>MGC</t>
        </is>
      </c>
      <c r="T108" s="5" t="n"/>
      <c r="U108" s="5" t="n"/>
      <c r="V108" s="5" t="inlineStr">
        <is>
          <t>Overtraded</t>
        </is>
      </c>
      <c r="W108" s="5" t="n"/>
      <c r="X108" s="5" t="n"/>
      <c r="Y108" s="5" t="n"/>
      <c r="Z108" s="5" t="n"/>
      <c r="AA108" s="5" t="n"/>
    </row>
    <row r="109" ht="15.75" customHeight="1">
      <c r="A109" s="5" t="n">
        <v>116</v>
      </c>
      <c r="B109" s="22" t="n">
        <v>46261</v>
      </c>
      <c r="C109" s="10" t="n">
        <v>0.8878356481481482</v>
      </c>
      <c r="D109" s="5" t="inlineStr">
        <is>
          <t>MGC</t>
        </is>
      </c>
      <c r="E109" s="5" t="inlineStr">
        <is>
          <t>Short</t>
        </is>
      </c>
      <c r="F109" s="5" t="n">
        <v>4647.9</v>
      </c>
      <c r="G109" s="5" t="n">
        <v>4645.9</v>
      </c>
      <c r="H109" s="5" t="n">
        <v>3</v>
      </c>
      <c r="I109" s="5" t="n">
        <v>4652.7</v>
      </c>
      <c r="J109" s="5" t="n">
        <v>4645.9</v>
      </c>
      <c r="K109" s="8">
        <f>IF(AND(I109&lt;&gt;"",J109&lt;&gt;"",F109&lt;&gt;""), (J109-F109)/(F109-I109), "")</f>
        <v/>
      </c>
      <c r="L109" s="8">
        <f>IF(AND(F109&lt;&gt;"",G109&lt;&gt;"",I109&lt;&gt;""), (G109-F109)/(F109-I109), "")</f>
        <v/>
      </c>
      <c r="M109" s="5">
        <f>IF(N109&gt;0,"Win",IF(N109&lt;0,"Loss",""))</f>
        <v/>
      </c>
      <c r="N109" s="16">
        <f>IF(AND(F109&lt;&gt;"",G109&lt;&gt;"",H109&lt;&gt;"",D109&lt;&gt;""), IF(E109="Long", (G109-F109)*H109*VLOOKUP(D109,Multipliers!A:B,2,FALSE), (F109-G109)*H109*VLOOKUP(D109,Multipliers!A:B,2,FALSE)), "")</f>
        <v/>
      </c>
      <c r="O109" s="9">
        <f>IF(AND(N109&lt;&gt;"",F109&lt;&gt;"",H109&lt;&gt;"",D109&lt;&gt;""), N109/(F109*H109*VLOOKUP(D109,Multipliers!A:B,2,FALSE)), "")</f>
        <v/>
      </c>
      <c r="P109" s="5">
        <f>P108+N109</f>
        <v/>
      </c>
      <c r="Q109" s="5" t="inlineStr">
        <is>
          <t>Break and Retest</t>
        </is>
      </c>
      <c r="R109" s="5" t="inlineStr">
        <is>
          <t>Imported from Tradovate</t>
        </is>
      </c>
      <c r="S109" s="5" t="inlineStr">
        <is>
          <t>MGC</t>
        </is>
      </c>
      <c r="T109" s="5" t="n"/>
      <c r="U109" s="5" t="n"/>
      <c r="V109" s="5" t="inlineStr">
        <is>
          <t>Overtraded</t>
        </is>
      </c>
      <c r="W109" s="5" t="n"/>
      <c r="X109" s="5" t="n"/>
      <c r="Y109" s="5" t="n"/>
      <c r="Z109" s="5" t="n"/>
      <c r="AA109" s="5" t="n"/>
    </row>
    <row r="110" ht="15.75" customHeight="1">
      <c r="A110" s="5" t="n">
        <v>117</v>
      </c>
      <c r="B110" s="22" t="n">
        <v>46266</v>
      </c>
      <c r="C110" s="10" t="n">
        <v>0.6161342592592592</v>
      </c>
      <c r="D110" s="5" t="inlineStr">
        <is>
          <t>MNQ</t>
        </is>
      </c>
      <c r="E110" s="5" t="inlineStr">
        <is>
          <t>Long</t>
        </is>
      </c>
      <c r="F110" s="5" t="n">
        <v>29041.875</v>
      </c>
      <c r="G110" s="5" t="n">
        <v>29080.375</v>
      </c>
      <c r="H110" s="5" t="n">
        <v>4</v>
      </c>
      <c r="I110" s="5" t="n">
        <v>29026.25</v>
      </c>
      <c r="J110" s="5" t="n">
        <v>29098</v>
      </c>
      <c r="K110" s="8">
        <f>IF(AND(I110&lt;&gt;"",J110&lt;&gt;"",F110&lt;&gt;""), (J110-F110)/(F110-I110), "")</f>
        <v/>
      </c>
      <c r="L110" s="8">
        <f>IF(AND(F110&lt;&gt;"",G110&lt;&gt;"",I110&lt;&gt;""), (G110-F110)/(F110-I110), "")</f>
        <v/>
      </c>
      <c r="M110" s="5">
        <f>IF(N110&gt;0,"Win",IF(N110&lt;0,"Loss",""))</f>
        <v/>
      </c>
      <c r="N110" s="16">
        <f>IF(AND(F110&lt;&gt;"",G110&lt;&gt;"",H110&lt;&gt;"",D110&lt;&gt;""), IF(E110="Long", (G110-F110)*H110*VLOOKUP(D110,Multipliers!A:B,2,FALSE), (F110-G110)*H110*VLOOKUP(D110,Multipliers!A:B,2,FALSE)), "")</f>
        <v/>
      </c>
      <c r="O110" s="9">
        <f>IF(AND(N110&lt;&gt;"",F110&lt;&gt;"",H110&lt;&gt;"",D110&lt;&gt;""), N110/(F110*H110*VLOOKUP(D110,Multipliers!A:B,2,FALSE)), "")</f>
        <v/>
      </c>
      <c r="P110" s="5">
        <f>P109+N110</f>
        <v/>
      </c>
      <c r="Q110" s="5" t="inlineStr">
        <is>
          <t>Break and Retest</t>
        </is>
      </c>
      <c r="R110" s="5" t="inlineStr">
        <is>
          <t>Imported from Tradovate</t>
        </is>
      </c>
      <c r="S110" s="5" t="inlineStr">
        <is>
          <t>MNQ</t>
        </is>
      </c>
      <c r="T110" s="5" t="n"/>
      <c r="U110" s="5" t="n"/>
      <c r="V110" s="5" t="inlineStr">
        <is>
          <t>Overtraded</t>
        </is>
      </c>
      <c r="W110" s="5" t="n"/>
      <c r="X110" s="5" t="n"/>
      <c r="Y110" s="5" t="n"/>
      <c r="Z110" s="5" t="n"/>
      <c r="AA110" s="5" t="n"/>
    </row>
    <row r="111" ht="15.75" customHeight="1">
      <c r="A111" s="5" t="n">
        <v>118</v>
      </c>
      <c r="B111" s="22" t="n">
        <v>46266</v>
      </c>
      <c r="C111" s="10" t="n">
        <v>0.6293981481481481</v>
      </c>
      <c r="D111" s="5" t="inlineStr">
        <is>
          <t>MNQ</t>
        </is>
      </c>
      <c r="E111" s="5" t="inlineStr">
        <is>
          <t>Short</t>
        </is>
      </c>
      <c r="F111" s="5" t="n">
        <v>29097.5</v>
      </c>
      <c r="G111" s="5" t="n">
        <v>29096.75</v>
      </c>
      <c r="H111" s="5" t="n">
        <v>2</v>
      </c>
      <c r="I111" s="5" t="n"/>
      <c r="J111" s="5" t="n">
        <v>29056.25</v>
      </c>
      <c r="K111" s="8">
        <f>IF(AND(I111&lt;&gt;"",J111&lt;&gt;"",F111&lt;&gt;""), (J111-F111)/(F111-I111), "")</f>
        <v/>
      </c>
      <c r="L111" s="8">
        <f>IF(AND(F111&lt;&gt;"",G111&lt;&gt;"",I111&lt;&gt;""), (G111-F111)/(F111-I111), "")</f>
        <v/>
      </c>
      <c r="M111" s="5">
        <f>IF(N111&gt;0,"Win",IF(N111&lt;0,"Loss",""))</f>
        <v/>
      </c>
      <c r="N111" s="16">
        <f>IF(AND(F111&lt;&gt;"",G111&lt;&gt;"",H111&lt;&gt;"",D111&lt;&gt;""), IF(E111="Long", (G111-F111)*H111*VLOOKUP(D111,Multipliers!A:B,2,FALSE), (F111-G111)*H111*VLOOKUP(D111,Multipliers!A:B,2,FALSE)), "")</f>
        <v/>
      </c>
      <c r="O111" s="9">
        <f>IF(AND(N111&lt;&gt;"",F111&lt;&gt;"",H111&lt;&gt;"",D111&lt;&gt;""), N111/(F111*H111*VLOOKUP(D111,Multipliers!A:B,2,FALSE)), "")</f>
        <v/>
      </c>
      <c r="P111" s="5">
        <f>P110+N111</f>
        <v/>
      </c>
      <c r="Q111" s="5" t="inlineStr">
        <is>
          <t>Break and Retest</t>
        </is>
      </c>
      <c r="R111" s="5" t="inlineStr">
        <is>
          <t>Imported from Tradovate</t>
        </is>
      </c>
      <c r="S111" s="5" t="inlineStr">
        <is>
          <t>MNQ</t>
        </is>
      </c>
      <c r="T111" s="5" t="n"/>
      <c r="U111" s="5" t="n"/>
      <c r="V111" s="5" t="inlineStr">
        <is>
          <t>Overtraded</t>
        </is>
      </c>
      <c r="W111" s="5" t="n"/>
      <c r="X111" s="5" t="n"/>
      <c r="Y111" s="5" t="n"/>
      <c r="Z111" s="5" t="n"/>
      <c r="AA111" s="5" t="n"/>
    </row>
    <row r="112" ht="15.75" customHeight="1">
      <c r="A112" s="5" t="n">
        <v>119</v>
      </c>
      <c r="B112" s="22" t="n">
        <v>46266</v>
      </c>
      <c r="C112" s="10" t="n">
        <v>0.6296412037037037</v>
      </c>
      <c r="D112" s="5" t="inlineStr">
        <is>
          <t>MNQ</t>
        </is>
      </c>
      <c r="E112" s="5" t="inlineStr">
        <is>
          <t>Short</t>
        </is>
      </c>
      <c r="F112" s="5" t="n">
        <v>29099.5</v>
      </c>
      <c r="G112" s="5" t="n">
        <v>29121.5</v>
      </c>
      <c r="H112" s="5" t="n">
        <v>2</v>
      </c>
      <c r="I112" s="5" t="n">
        <v>29121.5</v>
      </c>
      <c r="J112" s="5" t="n">
        <v>29056.25</v>
      </c>
      <c r="K112" s="8">
        <f>IF(AND(I112&lt;&gt;"",J112&lt;&gt;"",F112&lt;&gt;""), (J112-F112)/(F112-I112), "")</f>
        <v/>
      </c>
      <c r="L112" s="8">
        <f>IF(AND(F112&lt;&gt;"",G112&lt;&gt;"",I112&lt;&gt;""), (G112-F112)/(F112-I112), "")</f>
        <v/>
      </c>
      <c r="M112" s="5">
        <f>IF(N112&gt;0,"Win",IF(N112&lt;0,"Loss",""))</f>
        <v/>
      </c>
      <c r="N112" s="16">
        <f>IF(AND(F112&lt;&gt;"",G112&lt;&gt;"",H112&lt;&gt;"",D112&lt;&gt;""), IF(E112="Long", (G112-F112)*H112*VLOOKUP(D112,Multipliers!A:B,2,FALSE), (F112-G112)*H112*VLOOKUP(D112,Multipliers!A:B,2,FALSE)), "")</f>
        <v/>
      </c>
      <c r="O112" s="9">
        <f>IF(AND(N112&lt;&gt;"",F112&lt;&gt;"",H112&lt;&gt;"",D112&lt;&gt;""), N112/(F112*H112*VLOOKUP(D112,Multipliers!A:B,2,FALSE)), "")</f>
        <v/>
      </c>
      <c r="P112" s="5">
        <f>P111+N112</f>
        <v/>
      </c>
      <c r="Q112" s="5" t="inlineStr">
        <is>
          <t>Break and Retest</t>
        </is>
      </c>
      <c r="R112" s="5" t="inlineStr">
        <is>
          <t>Imported from Tradovate</t>
        </is>
      </c>
      <c r="S112" s="5" t="inlineStr">
        <is>
          <t>MNQ</t>
        </is>
      </c>
      <c r="T112" s="5" t="n"/>
      <c r="U112" s="5" t="n"/>
      <c r="V112" s="5" t="inlineStr">
        <is>
          <t>Overtraded</t>
        </is>
      </c>
      <c r="W112" s="5" t="n"/>
      <c r="X112" s="5" t="n"/>
      <c r="Y112" s="5" t="n"/>
      <c r="Z112" s="5" t="n"/>
      <c r="AA112" s="5" t="n"/>
    </row>
    <row r="113" ht="15.75" customHeight="1">
      <c r="A113" s="5" t="n">
        <v>120</v>
      </c>
      <c r="B113" s="22" t="n">
        <v>46266</v>
      </c>
      <c r="C113" s="10" t="n">
        <v>0.9530324074074074</v>
      </c>
      <c r="D113" s="5" t="inlineStr">
        <is>
          <t>MGC</t>
        </is>
      </c>
      <c r="E113" s="5" t="inlineStr">
        <is>
          <t>Short</t>
        </is>
      </c>
      <c r="F113" s="5" t="n">
        <v>4351.48</v>
      </c>
      <c r="G113" s="5" t="n">
        <v>4347.4</v>
      </c>
      <c r="H113" s="5" t="n">
        <v>5</v>
      </c>
      <c r="I113" s="5" t="n">
        <v>4358.5</v>
      </c>
      <c r="J113" s="5" t="n">
        <v>4344.9</v>
      </c>
      <c r="K113" s="8">
        <f>IF(AND(I113&lt;&gt;"",J113&lt;&gt;"",F113&lt;&gt;""), (J113-F113)/(F113-I113), "")</f>
        <v/>
      </c>
      <c r="L113" s="8">
        <f>IF(AND(F113&lt;&gt;"",G113&lt;&gt;"",I113&lt;&gt;""), (G113-F113)/(F113-I113), "")</f>
        <v/>
      </c>
      <c r="M113" s="5">
        <f>IF(N113&gt;0,"Win",IF(N113&lt;0,"Loss",""))</f>
        <v/>
      </c>
      <c r="N113" s="16">
        <f>IF(AND(F113&lt;&gt;"",G113&lt;&gt;"",H113&lt;&gt;"",D113&lt;&gt;""), IF(E113="Long", (G113-F113)*H113*VLOOKUP(D113,Multipliers!A:B,2,FALSE), (F113-G113)*H113*VLOOKUP(D113,Multipliers!A:B,2,FALSE)), "")</f>
        <v/>
      </c>
      <c r="O113" s="9">
        <f>IF(AND(N113&lt;&gt;"",F113&lt;&gt;"",H113&lt;&gt;"",D113&lt;&gt;""), N113/(F113*H113*VLOOKUP(D113,Multipliers!A:B,2,FALSE)), "")</f>
        <v/>
      </c>
      <c r="P113" s="5">
        <f>P112+N113</f>
        <v/>
      </c>
      <c r="Q113" s="5" t="inlineStr">
        <is>
          <t>Break and Retest</t>
        </is>
      </c>
      <c r="R113" s="5" t="inlineStr">
        <is>
          <t>Imported from Tradovate</t>
        </is>
      </c>
      <c r="S113" s="5" t="inlineStr">
        <is>
          <t>MGC</t>
        </is>
      </c>
      <c r="T113" s="5" t="n"/>
      <c r="U113" s="5" t="n"/>
      <c r="V113" s="5" t="inlineStr">
        <is>
          <t>Overtraded</t>
        </is>
      </c>
      <c r="W113" s="5" t="n"/>
      <c r="X113" s="5" t="n"/>
      <c r="Y113" s="5" t="n"/>
      <c r="Z113" s="5" t="n"/>
      <c r="AA113" s="5" t="n"/>
    </row>
    <row r="114" ht="15.75" customHeight="1">
      <c r="A114" s="5" t="n"/>
      <c r="B114" s="6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6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6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6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6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6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6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6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6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6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6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6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6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6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6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6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6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6" t="n"/>
      <c r="O122" s="9">
        <f>IF(AND(N124&lt;&gt;"",F124&lt;&gt;"",H124&lt;&gt;"",D124&lt;&gt;""), N124/(F124*H124*VLOOKUP(D124,Multipliers!A:B,2,FALSE)), "")</f>
        <v/>
      </c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6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6" t="n"/>
      <c r="O123" s="9">
        <f>IF(AND(N125&lt;&gt;"",F125&lt;&gt;"",H125&lt;&gt;"",D125&lt;&gt;""), N125/(F125*H125*VLOOKUP(D125,Multipliers!A:B,2,FALSE)), "")</f>
        <v/>
      </c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6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6" t="n"/>
      <c r="O124" s="9">
        <f>IF(AND(N126&lt;&gt;"",F126&lt;&gt;"",H126&lt;&gt;"",D126&lt;&gt;""), N126/(F126*H126*VLOOKUP(D126,Multipliers!A:B,2,FALSE)), "")</f>
        <v/>
      </c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6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6" t="n"/>
      <c r="O125" s="9">
        <f>IF(AND(N127&lt;&gt;"",F127&lt;&gt;"",H127&lt;&gt;"",D127&lt;&gt;""), N127/(F127*H127*VLOOKUP(D127,Multipliers!A:B,2,FALSE)), "")</f>
        <v/>
      </c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6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6" t="n"/>
      <c r="O126" s="9">
        <f>IF(AND(N128&lt;&gt;"",F128&lt;&gt;"",H128&lt;&gt;"",D128&lt;&gt;""), N128/(F128*H128*VLOOKUP(D128,Multipliers!A:B,2,FALSE)), "")</f>
        <v/>
      </c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6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6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6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6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6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6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6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6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6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6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6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6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6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6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6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6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6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6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/>
    <row r="1000" ht="15.75" customHeight="1"/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hyperlinks>
    <hyperlink xmlns:r="http://schemas.openxmlformats.org/officeDocument/2006/relationships" ref="T3" r:id="rId1"/>
    <hyperlink xmlns:r="http://schemas.openxmlformats.org/officeDocument/2006/relationships" ref="U3" r:id="rId2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D18" sqref="D18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20" t="inlineStr">
        <is>
          <t>Rules</t>
        </is>
      </c>
      <c r="B1" s="20" t="inlineStr">
        <is>
          <t>Market conditions</t>
        </is>
      </c>
      <c r="C1" s="20" t="inlineStr">
        <is>
          <t>Emotion before trade</t>
        </is>
      </c>
      <c r="D1" s="20" t="inlineStr">
        <is>
          <t>Setup</t>
        </is>
      </c>
      <c r="E1" s="20" t="inlineStr">
        <is>
          <t>Process</t>
        </is>
      </c>
      <c r="F1" s="20" t="inlineStr">
        <is>
          <t>Mistakes</t>
        </is>
      </c>
      <c r="G1" s="20" t="inlineStr">
        <is>
          <t>Learning</t>
        </is>
      </c>
      <c r="I1" s="21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3" t="inlineStr">
        <is>
          <t>Type</t>
        </is>
      </c>
      <c r="B1" s="23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13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23" t="inlineStr">
        <is>
          <t>Date</t>
        </is>
      </c>
      <c r="B1" s="23" t="inlineStr">
        <is>
          <t>Time</t>
        </is>
      </c>
      <c r="C1" s="23" t="inlineStr">
        <is>
          <t>Asset</t>
        </is>
      </c>
      <c r="D1" s="23" t="inlineStr">
        <is>
          <t>Dir</t>
        </is>
      </c>
      <c r="E1" s="23" t="inlineStr">
        <is>
          <t>P&amp;L</t>
        </is>
      </c>
      <c r="F1" s="23" t="inlineStr">
        <is>
          <t>1H Trend</t>
        </is>
      </c>
      <c r="G1" s="23" t="inlineStr">
        <is>
          <t>1H ST</t>
        </is>
      </c>
      <c r="H1" s="23" t="inlineStr">
        <is>
          <t>15m ST</t>
        </is>
      </c>
      <c r="I1" s="23" t="inlineStr">
        <is>
          <t>5m ST</t>
        </is>
      </c>
      <c r="J1" s="23" t="inlineStr">
        <is>
          <t>5m RSI</t>
        </is>
      </c>
      <c r="K1" s="23" t="inlineStr">
        <is>
          <t>5m EMA</t>
        </is>
      </c>
      <c r="L1" s="23" t="inlineStr">
        <is>
          <t>5m MACD</t>
        </is>
      </c>
      <c r="M1" s="23" t="inlineStr">
        <is>
          <t>5m ADX</t>
        </is>
      </c>
      <c r="N1" s="23" t="inlineStr">
        <is>
          <t>5m ATR</t>
        </is>
      </c>
      <c r="O1" s="23" t="inlineStr">
        <is>
          <t>VWAP</t>
        </is>
      </c>
      <c r="P1" s="23" t="inlineStr">
        <is>
          <t>VWAP Side</t>
        </is>
      </c>
      <c r="Q1" s="23" t="inlineStr">
        <is>
          <t>VPOC</t>
        </is>
      </c>
      <c r="R1" s="23" t="inlineStr">
        <is>
          <t>RVOL</t>
        </is>
      </c>
      <c r="S1" s="23" t="inlineStr">
        <is>
          <t>Est. Delta</t>
        </is>
      </c>
      <c r="T1" s="23" t="inlineStr">
        <is>
          <t>Fib %</t>
        </is>
      </c>
      <c r="U1" s="23" t="inlineStr">
        <is>
          <t>Fib Zone</t>
        </is>
      </c>
      <c r="V1" s="23" t="inlineStr">
        <is>
          <t>Pullback</t>
        </is>
      </c>
      <c r="W1" s="23" t="inlineStr">
        <is>
          <t>PB Score</t>
        </is>
      </c>
      <c r="X1" s="23" t="inlineStr">
        <is>
          <t>At Level</t>
        </is>
      </c>
      <c r="Y1" s="23" t="inlineStr">
        <is>
          <t>Candle</t>
        </is>
      </c>
      <c r="Z1" s="23" t="inlineStr">
        <is>
          <t>Trig Vol</t>
        </is>
      </c>
      <c r="AA1" s="23" t="inlineStr">
        <is>
          <t>STs Aligned</t>
        </is>
      </c>
      <c r="AB1" s="23" t="inlineStr">
        <is>
          <t>With 1H Trend</t>
        </is>
      </c>
    </row>
    <row r="2">
      <c r="A2" t="inlineStr">
        <is>
          <t>2026-08-11</t>
        </is>
      </c>
      <c r="B2" t="inlineStr">
        <is>
          <t>19:27</t>
        </is>
      </c>
      <c r="C2" t="inlineStr">
        <is>
          <t>MGC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down</t>
        </is>
      </c>
      <c r="I2" t="inlineStr">
        <is>
          <t>down</t>
        </is>
      </c>
      <c r="J2" t="n">
        <v>53.8</v>
      </c>
      <c r="K2" t="inlineStr">
        <is>
          <t>bear</t>
        </is>
      </c>
      <c r="L2" t="inlineStr">
        <is>
          <t>-</t>
        </is>
      </c>
      <c r="M2" t="n">
        <v>17.1</v>
      </c>
      <c r="N2" t="n">
        <v>3.95</v>
      </c>
      <c r="O2" t="n">
        <v>4439.45</v>
      </c>
      <c r="P2" t="inlineStr">
        <is>
          <t>below</t>
        </is>
      </c>
      <c r="Q2" t="n">
        <v>4444.22</v>
      </c>
      <c r="R2" t="n">
        <v>2.62</v>
      </c>
      <c r="S2" t="n">
        <v>-4577</v>
      </c>
      <c r="T2" t="n">
        <v>48</v>
      </c>
      <c r="U2" t="inlineStr">
        <is>
          <t>golden</t>
        </is>
      </c>
      <c r="V2" t="inlineStr">
        <is>
          <t>Weak</t>
        </is>
      </c>
      <c r="W2" t="n">
        <v>1</v>
      </c>
      <c r="X2" t="inlineStr">
        <is>
          <t>Round</t>
        </is>
      </c>
      <c r="Y2" t="inlineStr">
        <is>
          <t>strong bullish close</t>
        </is>
      </c>
      <c r="Z2" t="n">
        <v>1.78</v>
      </c>
      <c r="AA2" t="inlineStr">
        <is>
          <t>No</t>
        </is>
      </c>
      <c r="AB2" t="inlineStr">
        <is>
          <t>Yes</t>
        </is>
      </c>
    </row>
    <row r="3">
      <c r="A3" t="inlineStr">
        <is>
          <t>2026-08-11</t>
        </is>
      </c>
      <c r="B3" t="inlineStr">
        <is>
          <t>19:29</t>
        </is>
      </c>
      <c r="C3" t="inlineStr">
        <is>
          <t>MGC</t>
        </is>
      </c>
      <c r="D3" t="inlineStr">
        <is>
          <t>Short</t>
        </is>
      </c>
      <c r="E3" t="n">
        <v>110</v>
      </c>
      <c r="F3" t="inlineStr">
        <is>
          <t>up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53.8</v>
      </c>
      <c r="K3" t="inlineStr">
        <is>
          <t>bear</t>
        </is>
      </c>
      <c r="L3" t="inlineStr">
        <is>
          <t>-</t>
        </is>
      </c>
      <c r="M3" t="n">
        <v>17.1</v>
      </c>
      <c r="N3" t="n">
        <v>3.95</v>
      </c>
      <c r="O3" t="n">
        <v>4439.45</v>
      </c>
      <c r="P3" t="inlineStr">
        <is>
          <t>below</t>
        </is>
      </c>
      <c r="Q3" t="n">
        <v>4444.22</v>
      </c>
      <c r="R3" t="n">
        <v>2.62</v>
      </c>
      <c r="S3" t="n">
        <v>-4577</v>
      </c>
      <c r="T3" t="n">
        <v>55</v>
      </c>
      <c r="U3" t="inlineStr">
        <is>
          <t>golden</t>
        </is>
      </c>
      <c r="V3" t="inlineStr">
        <is>
          <t>Weak</t>
        </is>
      </c>
      <c r="W3" t="n">
        <v>1</v>
      </c>
      <c r="X3" t="inlineStr">
        <is>
          <t>Round</t>
        </is>
      </c>
      <c r="Y3" t="inlineStr">
        <is>
          <t>strong bullish close</t>
        </is>
      </c>
      <c r="Z3" t="n">
        <v>1.78</v>
      </c>
      <c r="AA3" t="inlineStr">
        <is>
          <t>Yes</t>
        </is>
      </c>
      <c r="AB3" t="inlineStr">
        <is>
          <t>No</t>
        </is>
      </c>
    </row>
    <row r="4">
      <c r="A4" t="inlineStr">
        <is>
          <t>2026-08-11</t>
        </is>
      </c>
      <c r="B4" t="inlineStr">
        <is>
          <t>19:30</t>
        </is>
      </c>
      <c r="C4" t="inlineStr">
        <is>
          <t>MGC</t>
        </is>
      </c>
      <c r="D4" t="inlineStr">
        <is>
          <t>Long</t>
        </is>
      </c>
      <c r="E4" t="n">
        <v>-440</v>
      </c>
      <c r="F4" t="inlineStr">
        <is>
          <t>up</t>
        </is>
      </c>
      <c r="G4" t="inlineStr">
        <is>
          <t>down</t>
        </is>
      </c>
      <c r="H4" t="inlineStr">
        <is>
          <t>down</t>
        </is>
      </c>
      <c r="I4" t="inlineStr">
        <is>
          <t>down</t>
        </is>
      </c>
      <c r="J4" t="n">
        <v>45.1</v>
      </c>
      <c r="K4" t="inlineStr">
        <is>
          <t>bear</t>
        </is>
      </c>
      <c r="L4" t="inlineStr">
        <is>
          <t>-</t>
        </is>
      </c>
      <c r="M4" t="n">
        <v>17.2</v>
      </c>
      <c r="N4" t="n">
        <v>4.1</v>
      </c>
      <c r="O4" t="n">
        <v>4439.37</v>
      </c>
      <c r="P4" t="inlineStr">
        <is>
          <t>below</t>
        </is>
      </c>
      <c r="Q4" t="n">
        <v>4444.22</v>
      </c>
      <c r="R4" t="n">
        <v>1.78</v>
      </c>
      <c r="S4" t="n">
        <v>-4716</v>
      </c>
      <c r="T4" t="n">
        <v>40</v>
      </c>
      <c r="U4" t="inlineStr">
        <is>
          <t>golden</t>
        </is>
      </c>
      <c r="V4" t="inlineStr">
        <is>
          <t>Weak</t>
        </is>
      </c>
      <c r="W4" t="n">
        <v>1</v>
      </c>
      <c r="X4" t="inlineStr">
        <is>
          <t>Round</t>
        </is>
      </c>
      <c r="Z4" t="n">
        <v>1.39</v>
      </c>
      <c r="AA4" t="inlineStr">
        <is>
          <t>No</t>
        </is>
      </c>
      <c r="AB4" t="inlineStr">
        <is>
          <t>Yes</t>
        </is>
      </c>
    </row>
    <row r="5">
      <c r="A5" t="inlineStr">
        <is>
          <t>2026-08-11</t>
        </is>
      </c>
      <c r="B5" t="inlineStr">
        <is>
          <t>19:34</t>
        </is>
      </c>
      <c r="C5" t="inlineStr">
        <is>
          <t>MGC</t>
        </is>
      </c>
      <c r="D5" t="inlineStr">
        <is>
          <t>Short</t>
        </is>
      </c>
      <c r="E5" t="n">
        <v>-1310</v>
      </c>
      <c r="F5" t="inlineStr">
        <is>
          <t>up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45.1</v>
      </c>
      <c r="K5" t="inlineStr">
        <is>
          <t>bear</t>
        </is>
      </c>
      <c r="L5" t="inlineStr">
        <is>
          <t>-</t>
        </is>
      </c>
      <c r="M5" t="n">
        <v>17.2</v>
      </c>
      <c r="N5" t="n">
        <v>4.1</v>
      </c>
      <c r="O5" t="n">
        <v>4439.37</v>
      </c>
      <c r="P5" t="inlineStr">
        <is>
          <t>below</t>
        </is>
      </c>
      <c r="Q5" t="n">
        <v>4444.22</v>
      </c>
      <c r="R5" t="n">
        <v>1.78</v>
      </c>
      <c r="S5" t="n">
        <v>-4716</v>
      </c>
      <c r="T5" t="n">
        <v>40</v>
      </c>
      <c r="U5" t="inlineStr">
        <is>
          <t>golden</t>
        </is>
      </c>
      <c r="V5" t="inlineStr">
        <is>
          <t>Weak</t>
        </is>
      </c>
      <c r="W5" t="n">
        <v>1</v>
      </c>
      <c r="X5" t="inlineStr">
        <is>
          <t>No</t>
        </is>
      </c>
      <c r="Z5" t="n">
        <v>1.39</v>
      </c>
      <c r="AA5" t="inlineStr">
        <is>
          <t>Yes</t>
        </is>
      </c>
      <c r="AB5" t="inlineStr">
        <is>
          <t>No</t>
        </is>
      </c>
    </row>
    <row r="6">
      <c r="A6" t="inlineStr">
        <is>
          <t>2026-08-11</t>
        </is>
      </c>
      <c r="B6" t="inlineStr">
        <is>
          <t>20:31</t>
        </is>
      </c>
      <c r="C6" t="inlineStr">
        <is>
          <t>MGC</t>
        </is>
      </c>
      <c r="D6" t="inlineStr">
        <is>
          <t>Long</t>
        </is>
      </c>
      <c r="E6" t="n">
        <v>370</v>
      </c>
      <c r="F6" t="inlineStr">
        <is>
          <t>up</t>
        </is>
      </c>
      <c r="G6" t="inlineStr">
        <is>
          <t>down</t>
        </is>
      </c>
      <c r="H6" t="inlineStr">
        <is>
          <t>down</t>
        </is>
      </c>
      <c r="I6" t="inlineStr">
        <is>
          <t>up</t>
        </is>
      </c>
      <c r="J6" t="n">
        <v>67.40000000000001</v>
      </c>
      <c r="K6" t="inlineStr">
        <is>
          <t>bull</t>
        </is>
      </c>
      <c r="L6" t="inlineStr">
        <is>
          <t>+</t>
        </is>
      </c>
      <c r="M6" t="n">
        <v>19</v>
      </c>
      <c r="N6" t="n">
        <v>3.89</v>
      </c>
      <c r="O6" t="n">
        <v>4439.2</v>
      </c>
      <c r="P6" t="inlineStr">
        <is>
          <t>above</t>
        </is>
      </c>
      <c r="Q6" t="n">
        <v>4444.22</v>
      </c>
      <c r="R6" t="n">
        <v>1.52</v>
      </c>
      <c r="S6" t="n">
        <v>-4008</v>
      </c>
      <c r="T6" t="n">
        <v>12</v>
      </c>
      <c r="U6" t="inlineStr">
        <is>
          <t>extended (no pullback)</t>
        </is>
      </c>
      <c r="V6" t="inlineStr">
        <is>
          <t>Weak</t>
        </is>
      </c>
      <c r="W6" t="n">
        <v>1</v>
      </c>
      <c r="X6" t="inlineStr">
        <is>
          <t>Round</t>
        </is>
      </c>
      <c r="Z6" t="n">
        <v>1.32</v>
      </c>
      <c r="AA6" t="inlineStr">
        <is>
          <t>No</t>
        </is>
      </c>
      <c r="AB6" t="inlineStr">
        <is>
          <t>Yes</t>
        </is>
      </c>
    </row>
    <row r="7">
      <c r="A7" t="inlineStr">
        <is>
          <t>2026-08-11</t>
        </is>
      </c>
      <c r="B7" t="inlineStr">
        <is>
          <t>21:16</t>
        </is>
      </c>
      <c r="C7" t="inlineStr">
        <is>
          <t>MGC</t>
        </is>
      </c>
      <c r="D7" t="inlineStr">
        <is>
          <t>Long</t>
        </is>
      </c>
      <c r="E7" t="n">
        <v>190</v>
      </c>
      <c r="F7" t="inlineStr">
        <is>
          <t>up</t>
        </is>
      </c>
      <c r="G7" t="inlineStr">
        <is>
          <t>down</t>
        </is>
      </c>
      <c r="H7" t="inlineStr">
        <is>
          <t>up</t>
        </is>
      </c>
      <c r="I7" t="inlineStr">
        <is>
          <t>up</t>
        </is>
      </c>
      <c r="J7" t="n">
        <v>74.09999999999999</v>
      </c>
      <c r="K7" t="inlineStr">
        <is>
          <t>bull</t>
        </is>
      </c>
      <c r="L7" t="inlineStr">
        <is>
          <t>+</t>
        </is>
      </c>
      <c r="M7" t="n">
        <v>26.8</v>
      </c>
      <c r="N7" t="n">
        <v>4.03</v>
      </c>
      <c r="O7" t="n">
        <v>4439.44</v>
      </c>
      <c r="P7" t="inlineStr">
        <is>
          <t>above</t>
        </is>
      </c>
      <c r="Q7" t="n">
        <v>4444.22</v>
      </c>
      <c r="R7" t="n">
        <v>1</v>
      </c>
      <c r="S7" t="n">
        <v>-2726</v>
      </c>
      <c r="T7" t="n">
        <v>-18</v>
      </c>
      <c r="U7" t="inlineStr">
        <is>
          <t>extended (no pullback)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bullish close</t>
        </is>
      </c>
      <c r="Z7" t="n">
        <v>2.38</v>
      </c>
      <c r="AA7" t="inlineStr">
        <is>
          <t>No</t>
        </is>
      </c>
      <c r="AB7" t="inlineStr">
        <is>
          <t>Yes</t>
        </is>
      </c>
    </row>
    <row r="8">
      <c r="A8" t="inlineStr">
        <is>
          <t>2026-08-11</t>
        </is>
      </c>
      <c r="B8" t="inlineStr">
        <is>
          <t>22:40</t>
        </is>
      </c>
      <c r="C8" t="inlineStr">
        <is>
          <t>MGC</t>
        </is>
      </c>
      <c r="D8" t="inlineStr">
        <is>
          <t>Long</t>
        </is>
      </c>
      <c r="E8" t="n">
        <v>2160</v>
      </c>
      <c r="F8" t="inlineStr">
        <is>
          <t>up</t>
        </is>
      </c>
      <c r="G8" t="inlineStr">
        <is>
          <t>down</t>
        </is>
      </c>
      <c r="H8" t="inlineStr">
        <is>
          <t>up</t>
        </is>
      </c>
      <c r="I8" t="inlineStr">
        <is>
          <t>up</t>
        </is>
      </c>
      <c r="J8" t="n">
        <v>75.09999999999999</v>
      </c>
      <c r="K8" t="inlineStr">
        <is>
          <t>bull</t>
        </is>
      </c>
      <c r="L8" t="inlineStr">
        <is>
          <t>+</t>
        </is>
      </c>
      <c r="M8" t="n">
        <v>38</v>
      </c>
      <c r="N8" t="n">
        <v>4.31</v>
      </c>
      <c r="O8" t="n">
        <v>4441.14</v>
      </c>
      <c r="P8" t="inlineStr">
        <is>
          <t>above</t>
        </is>
      </c>
      <c r="Q8" t="n">
        <v>4444.25</v>
      </c>
      <c r="R8" t="n">
        <v>2.29</v>
      </c>
      <c r="S8" t="n">
        <v>-1849</v>
      </c>
      <c r="T8" t="n">
        <v>13</v>
      </c>
      <c r="U8" t="inlineStr">
        <is>
          <t>extended (no pullback)</t>
        </is>
      </c>
      <c r="V8" t="inlineStr">
        <is>
          <t>Good</t>
        </is>
      </c>
      <c r="W8" t="n">
        <v>2</v>
      </c>
      <c r="X8" t="inlineStr">
        <is>
          <t>ORH/Round</t>
        </is>
      </c>
      <c r="Z8" t="n">
        <v>2.09</v>
      </c>
      <c r="AA8" t="inlineStr">
        <is>
          <t>No</t>
        </is>
      </c>
      <c r="AB8" t="inlineStr">
        <is>
          <t>Yes</t>
        </is>
      </c>
    </row>
    <row r="9">
      <c r="A9" t="inlineStr">
        <is>
          <t>2026-08-11</t>
        </is>
      </c>
      <c r="B9" t="inlineStr">
        <is>
          <t>23:00</t>
        </is>
      </c>
      <c r="C9" t="inlineStr">
        <is>
          <t>MGC</t>
        </is>
      </c>
      <c r="D9" t="inlineStr">
        <is>
          <t>Long</t>
        </is>
      </c>
      <c r="E9" t="n">
        <v>-280</v>
      </c>
      <c r="F9" t="inlineStr">
        <is>
          <t>up</t>
        </is>
      </c>
      <c r="G9" t="inlineStr">
        <is>
          <t>down</t>
        </is>
      </c>
      <c r="H9" t="inlineStr">
        <is>
          <t>up</t>
        </is>
      </c>
      <c r="I9" t="inlineStr">
        <is>
          <t>up</t>
        </is>
      </c>
      <c r="J9" t="n">
        <v>71.3</v>
      </c>
      <c r="K9" t="inlineStr">
        <is>
          <t>bull</t>
        </is>
      </c>
      <c r="L9" t="inlineStr">
        <is>
          <t>+</t>
        </is>
      </c>
      <c r="M9" t="n">
        <v>42.7</v>
      </c>
      <c r="N9" t="n">
        <v>4.49</v>
      </c>
      <c r="O9" t="n">
        <v>4442.06</v>
      </c>
      <c r="P9" t="inlineStr">
        <is>
          <t>above</t>
        </is>
      </c>
      <c r="Q9" t="n">
        <v>4440.82</v>
      </c>
      <c r="R9" t="n">
        <v>1.95</v>
      </c>
      <c r="S9" t="n">
        <v>-1808</v>
      </c>
      <c r="T9" t="n">
        <v>4</v>
      </c>
      <c r="U9" t="inlineStr">
        <is>
          <t>extended (no pullback)</t>
        </is>
      </c>
      <c r="V9" t="inlineStr">
        <is>
          <t>Weak</t>
        </is>
      </c>
      <c r="W9" t="n">
        <v>1</v>
      </c>
      <c r="X9" t="inlineStr">
        <is>
          <t>No</t>
        </is>
      </c>
      <c r="Y9" t="inlineStr">
        <is>
          <t>strong bearish close</t>
        </is>
      </c>
      <c r="Z9" t="n">
        <v>1.18</v>
      </c>
      <c r="AA9" t="inlineStr">
        <is>
          <t>No</t>
        </is>
      </c>
      <c r="AB9" t="inlineStr">
        <is>
          <t>Yes</t>
        </is>
      </c>
    </row>
    <row r="10">
      <c r="A10" t="inlineStr">
        <is>
          <t>2026-08-11</t>
        </is>
      </c>
      <c r="B10" t="inlineStr">
        <is>
          <t>23:11</t>
        </is>
      </c>
      <c r="C10" t="inlineStr">
        <is>
          <t>MGC</t>
        </is>
      </c>
      <c r="D10" t="inlineStr">
        <is>
          <t>Long</t>
        </is>
      </c>
      <c r="E10" t="n">
        <v>-910</v>
      </c>
      <c r="F10" t="inlineStr">
        <is>
          <t>up</t>
        </is>
      </c>
      <c r="G10" t="inlineStr">
        <is>
          <t>down</t>
        </is>
      </c>
      <c r="H10" t="inlineStr">
        <is>
          <t>up</t>
        </is>
      </c>
      <c r="I10" t="inlineStr">
        <is>
          <t>up</t>
        </is>
      </c>
      <c r="J10" t="n">
        <v>68.90000000000001</v>
      </c>
      <c r="K10" t="inlineStr">
        <is>
          <t>bull</t>
        </is>
      </c>
      <c r="L10" t="inlineStr">
        <is>
          <t>+</t>
        </is>
      </c>
      <c r="M10" t="n">
        <v>44</v>
      </c>
      <c r="N10" t="n">
        <v>4.68</v>
      </c>
      <c r="O10" t="n">
        <v>4442.42</v>
      </c>
      <c r="P10" t="inlineStr">
        <is>
          <t>above</t>
        </is>
      </c>
      <c r="Q10" t="n">
        <v>4444.2</v>
      </c>
      <c r="R10" t="n">
        <v>2.07</v>
      </c>
      <c r="S10" t="n">
        <v>-1900</v>
      </c>
      <c r="T10" t="n">
        <v>3</v>
      </c>
      <c r="U10" t="inlineStr">
        <is>
          <t>extended (no pullback)</t>
        </is>
      </c>
      <c r="V10" t="inlineStr">
        <is>
          <t>Weak</t>
        </is>
      </c>
      <c r="W10" t="n">
        <v>1</v>
      </c>
      <c r="X10" t="inlineStr">
        <is>
          <t>No</t>
        </is>
      </c>
      <c r="Y10" t="inlineStr">
        <is>
          <t>strong bearish close</t>
        </is>
      </c>
      <c r="Z10" t="n">
        <v>0.77</v>
      </c>
      <c r="AA10" t="inlineStr">
        <is>
          <t>No</t>
        </is>
      </c>
      <c r="AB10" t="inlineStr">
        <is>
          <t>Yes</t>
        </is>
      </c>
    </row>
    <row r="11">
      <c r="A11" t="inlineStr">
        <is>
          <t>2026-08-11</t>
        </is>
      </c>
      <c r="B11" t="inlineStr">
        <is>
          <t>23:25</t>
        </is>
      </c>
      <c r="C11" t="inlineStr">
        <is>
          <t>MGC</t>
        </is>
      </c>
      <c r="D11" t="inlineStr">
        <is>
          <t>Long</t>
        </is>
      </c>
      <c r="E11" t="n">
        <v>-140</v>
      </c>
      <c r="F11" t="inlineStr">
        <is>
          <t>up</t>
        </is>
      </c>
      <c r="G11" t="inlineStr">
        <is>
          <t>down</t>
        </is>
      </c>
      <c r="H11" t="inlineStr">
        <is>
          <t>up</t>
        </is>
      </c>
      <c r="I11" t="inlineStr">
        <is>
          <t>up</t>
        </is>
      </c>
      <c r="J11" t="n">
        <v>61.4</v>
      </c>
      <c r="K11" t="inlineStr">
        <is>
          <t>bull</t>
        </is>
      </c>
      <c r="L11" t="inlineStr">
        <is>
          <t>-</t>
        </is>
      </c>
      <c r="M11" t="n">
        <v>40.3</v>
      </c>
      <c r="N11" t="n">
        <v>4.37</v>
      </c>
      <c r="O11" t="n">
        <v>4442.73</v>
      </c>
      <c r="P11" t="inlineStr">
        <is>
          <t>above</t>
        </is>
      </c>
      <c r="Q11" t="n">
        <v>4444.2</v>
      </c>
      <c r="R11" t="n">
        <v>0.82</v>
      </c>
      <c r="S11" t="n">
        <v>-2055</v>
      </c>
      <c r="T11" t="n">
        <v>16</v>
      </c>
      <c r="U11" t="inlineStr">
        <is>
          <t>shallow</t>
        </is>
      </c>
      <c r="V11" t="inlineStr">
        <is>
          <t>Weak</t>
        </is>
      </c>
      <c r="W11" t="n">
        <v>1</v>
      </c>
      <c r="X11" t="inlineStr">
        <is>
          <t>No</t>
        </is>
      </c>
      <c r="Z11" t="n">
        <v>0.5600000000000001</v>
      </c>
      <c r="AA11" t="inlineStr">
        <is>
          <t>No</t>
        </is>
      </c>
      <c r="AB11" t="inlineStr">
        <is>
          <t>Yes</t>
        </is>
      </c>
    </row>
    <row r="12">
      <c r="A12" t="inlineStr">
        <is>
          <t>2026-08-11</t>
        </is>
      </c>
      <c r="B12" t="inlineStr">
        <is>
          <t>23:36</t>
        </is>
      </c>
      <c r="C12" t="inlineStr">
        <is>
          <t>MGC</t>
        </is>
      </c>
      <c r="D12" t="inlineStr">
        <is>
          <t>Short</t>
        </is>
      </c>
      <c r="E12" t="n">
        <v>490</v>
      </c>
      <c r="F12" t="inlineStr">
        <is>
          <t>up</t>
        </is>
      </c>
      <c r="G12" t="inlineStr">
        <is>
          <t>down</t>
        </is>
      </c>
      <c r="H12" t="inlineStr">
        <is>
          <t>up</t>
        </is>
      </c>
      <c r="I12" t="inlineStr">
        <is>
          <t>up</t>
        </is>
      </c>
      <c r="J12" t="n">
        <v>55.6</v>
      </c>
      <c r="K12" t="inlineStr">
        <is>
          <t>bull</t>
        </is>
      </c>
      <c r="L12" t="inlineStr">
        <is>
          <t>-</t>
        </is>
      </c>
      <c r="M12" t="n">
        <v>37</v>
      </c>
      <c r="N12" t="n">
        <v>4.22</v>
      </c>
      <c r="O12" t="n">
        <v>4442.87</v>
      </c>
      <c r="P12" t="inlineStr">
        <is>
          <t>above</t>
        </is>
      </c>
      <c r="Q12" t="n">
        <v>4444.2</v>
      </c>
      <c r="R12" t="n">
        <v>1</v>
      </c>
      <c r="S12" t="n">
        <v>-2358</v>
      </c>
      <c r="T12" t="n">
        <v>-23</v>
      </c>
      <c r="U12" t="inlineStr">
        <is>
          <t>extended (no pullback)</t>
        </is>
      </c>
      <c r="V12" t="inlineStr">
        <is>
          <t>Weak</t>
        </is>
      </c>
      <c r="W12" t="n">
        <v>1</v>
      </c>
      <c r="X12" t="inlineStr">
        <is>
          <t>Round</t>
        </is>
      </c>
      <c r="Y12" t="inlineStr">
        <is>
          <t>strong bearish close</t>
        </is>
      </c>
      <c r="Z12" t="n">
        <v>0.45</v>
      </c>
      <c r="AA12" t="inlineStr">
        <is>
          <t>No</t>
        </is>
      </c>
      <c r="AB12" t="inlineStr">
        <is>
          <t>No</t>
        </is>
      </c>
    </row>
    <row r="13">
      <c r="A13" t="inlineStr">
        <is>
          <t>2026-08-12</t>
        </is>
      </c>
      <c r="B13" t="inlineStr">
        <is>
          <t>09:12</t>
        </is>
      </c>
      <c r="C13" t="inlineStr">
        <is>
          <t>MNQ</t>
        </is>
      </c>
      <c r="D13" t="inlineStr">
        <is>
          <t>Long</t>
        </is>
      </c>
      <c r="E13" t="n">
        <v>47.5</v>
      </c>
      <c r="F13" t="inlineStr">
        <is>
          <t>up</t>
        </is>
      </c>
      <c r="G13" t="inlineStr">
        <is>
          <t>up</t>
        </is>
      </c>
      <c r="H13" t="inlineStr">
        <is>
          <t>up</t>
        </is>
      </c>
      <c r="I13" t="inlineStr">
        <is>
          <t>up</t>
        </is>
      </c>
      <c r="J13" t="n">
        <v>74.5</v>
      </c>
      <c r="K13" t="inlineStr">
        <is>
          <t>bull</t>
        </is>
      </c>
      <c r="L13" t="inlineStr">
        <is>
          <t>+</t>
        </is>
      </c>
      <c r="M13" t="n">
        <v>13</v>
      </c>
      <c r="N13" t="n">
        <v>29.01</v>
      </c>
      <c r="O13" t="n">
        <v>29698.51</v>
      </c>
      <c r="P13" t="inlineStr">
        <is>
          <t>above</t>
        </is>
      </c>
      <c r="Q13" t="n">
        <v>29634.79</v>
      </c>
      <c r="R13" t="n">
        <v>0.8100000000000001</v>
      </c>
      <c r="S13" t="n">
        <v>-20867</v>
      </c>
      <c r="T13" t="n">
        <v>5</v>
      </c>
      <c r="U13" t="inlineStr">
        <is>
          <t>extended (no pullback)</t>
        </is>
      </c>
      <c r="V13" t="inlineStr">
        <is>
          <t>No setup</t>
        </is>
      </c>
      <c r="W13" t="n">
        <v>0</v>
      </c>
      <c r="X13" t="inlineStr">
        <is>
          <t>No</t>
        </is>
      </c>
      <c r="Y13" t="inlineStr">
        <is>
          <t>strong bullish close</t>
        </is>
      </c>
      <c r="Z13" t="n">
        <v>0.65</v>
      </c>
      <c r="AA13" t="inlineStr">
        <is>
          <t>Yes</t>
        </is>
      </c>
      <c r="AB13" t="inlineStr">
        <is>
          <t>Yes</t>
        </is>
      </c>
    </row>
    <row r="14">
      <c r="A14" t="inlineStr">
        <is>
          <t>2026-08-12</t>
        </is>
      </c>
      <c r="B14" t="inlineStr">
        <is>
          <t>09:26</t>
        </is>
      </c>
      <c r="C14" t="inlineStr">
        <is>
          <t>MGC</t>
        </is>
      </c>
      <c r="D14" t="inlineStr">
        <is>
          <t>Short</t>
        </is>
      </c>
      <c r="E14" t="n">
        <v>170</v>
      </c>
      <c r="F14" t="inlineStr">
        <is>
          <t>up</t>
        </is>
      </c>
      <c r="G14" t="inlineStr">
        <is>
          <t>up</t>
        </is>
      </c>
      <c r="H14" t="inlineStr">
        <is>
          <t>up</t>
        </is>
      </c>
      <c r="I14" t="inlineStr">
        <is>
          <t>up</t>
        </is>
      </c>
      <c r="J14" t="n">
        <v>48.6</v>
      </c>
      <c r="K14" t="inlineStr">
        <is>
          <t>bull</t>
        </is>
      </c>
      <c r="L14" t="inlineStr">
        <is>
          <t>-</t>
        </is>
      </c>
      <c r="M14" t="n">
        <v>14.1</v>
      </c>
      <c r="N14" t="n">
        <v>9.48</v>
      </c>
      <c r="O14" t="n">
        <v>4457.92</v>
      </c>
      <c r="P14" t="inlineStr">
        <is>
          <t>above</t>
        </is>
      </c>
      <c r="Q14" t="n">
        <v>4466.39</v>
      </c>
      <c r="R14" t="n">
        <v>1.28</v>
      </c>
      <c r="S14" t="n">
        <v>4436</v>
      </c>
      <c r="T14" t="n">
        <v>5</v>
      </c>
      <c r="U14" t="inlineStr">
        <is>
          <t>extended (no pullback)</t>
        </is>
      </c>
      <c r="V14" t="inlineStr">
        <is>
          <t>Good</t>
        </is>
      </c>
      <c r="W14" t="n">
        <v>2</v>
      </c>
      <c r="X14" t="inlineStr">
        <is>
          <t>Round</t>
        </is>
      </c>
      <c r="Y14" t="inlineStr">
        <is>
          <t>strong bullish close</t>
        </is>
      </c>
      <c r="Z14" t="n">
        <v>0.59</v>
      </c>
      <c r="AA14" t="inlineStr">
        <is>
          <t>No</t>
        </is>
      </c>
      <c r="AB14" t="inlineStr">
        <is>
          <t>No</t>
        </is>
      </c>
    </row>
    <row r="15">
      <c r="A15" t="inlineStr">
        <is>
          <t>2026-08-12</t>
        </is>
      </c>
      <c r="B15" t="inlineStr">
        <is>
          <t>09:38</t>
        </is>
      </c>
      <c r="C15" t="inlineStr">
        <is>
          <t>MNQ</t>
        </is>
      </c>
      <c r="D15" t="inlineStr">
        <is>
          <t>Short</t>
        </is>
      </c>
      <c r="E15" t="n">
        <v>69.5</v>
      </c>
      <c r="F15" t="inlineStr">
        <is>
          <t>up</t>
        </is>
      </c>
      <c r="G15" t="inlineStr">
        <is>
          <t>up</t>
        </is>
      </c>
      <c r="H15" t="inlineStr">
        <is>
          <t>up</t>
        </is>
      </c>
      <c r="I15" t="inlineStr">
        <is>
          <t>down</t>
        </is>
      </c>
      <c r="J15" t="n">
        <v>49.1</v>
      </c>
      <c r="K15" t="inlineStr">
        <is>
          <t>bull</t>
        </is>
      </c>
      <c r="L15" t="inlineStr">
        <is>
          <t>-</t>
        </is>
      </c>
      <c r="M15" t="n">
        <v>15.4</v>
      </c>
      <c r="N15" t="n">
        <v>38.58</v>
      </c>
      <c r="T15" t="n">
        <v>36</v>
      </c>
      <c r="U15" t="inlineStr">
        <is>
          <t>shallow</t>
        </is>
      </c>
      <c r="V15" t="inlineStr">
        <is>
          <t>Good</t>
        </is>
      </c>
      <c r="W15" t="n">
        <v>2</v>
      </c>
      <c r="X15" t="inlineStr">
        <is>
          <t>Round</t>
        </is>
      </c>
      <c r="Z15" t="n">
        <v>4.74</v>
      </c>
      <c r="AA15" t="inlineStr">
        <is>
          <t>No</t>
        </is>
      </c>
      <c r="AB15" t="inlineStr">
        <is>
          <t>No</t>
        </is>
      </c>
    </row>
    <row r="16">
      <c r="A16" t="inlineStr">
        <is>
          <t>2026-08-12</t>
        </is>
      </c>
      <c r="B16" t="inlineStr">
        <is>
          <t>09:51</t>
        </is>
      </c>
      <c r="C16" t="inlineStr">
        <is>
          <t>MGC</t>
        </is>
      </c>
      <c r="D16" t="inlineStr">
        <is>
          <t>Long</t>
        </is>
      </c>
      <c r="E16" t="n">
        <v>-460</v>
      </c>
      <c r="F16" t="inlineStr">
        <is>
          <t>up</t>
        </is>
      </c>
      <c r="G16" t="inlineStr">
        <is>
          <t>up</t>
        </is>
      </c>
      <c r="H16" t="inlineStr">
        <is>
          <t>up</t>
        </is>
      </c>
      <c r="I16" t="inlineStr">
        <is>
          <t>up</t>
        </is>
      </c>
      <c r="J16" t="n">
        <v>60</v>
      </c>
      <c r="K16" t="inlineStr">
        <is>
          <t>bull</t>
        </is>
      </c>
      <c r="L16" t="inlineStr">
        <is>
          <t>-</t>
        </is>
      </c>
      <c r="M16" t="n">
        <v>14.2</v>
      </c>
      <c r="N16" t="n">
        <v>9.68</v>
      </c>
      <c r="O16" t="n">
        <v>4478.64</v>
      </c>
      <c r="P16" t="inlineStr">
        <is>
          <t>above</t>
        </is>
      </c>
      <c r="Q16" t="n">
        <v>4474.18</v>
      </c>
      <c r="R16" t="n">
        <v>1.15</v>
      </c>
      <c r="S16" t="n">
        <v>889</v>
      </c>
      <c r="T16" t="n">
        <v>20</v>
      </c>
      <c r="U16" t="inlineStr">
        <is>
          <t>shallow</t>
        </is>
      </c>
      <c r="V16" t="inlineStr">
        <is>
          <t>Weak</t>
        </is>
      </c>
      <c r="W16" t="n">
        <v>1</v>
      </c>
      <c r="X16" t="inlineStr">
        <is>
          <t>Round</t>
        </is>
      </c>
      <c r="Y16" t="inlineStr">
        <is>
          <t>strong bullish close</t>
        </is>
      </c>
      <c r="Z16" t="n">
        <v>0.7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2026-08-12</t>
        </is>
      </c>
      <c r="B17" t="inlineStr">
        <is>
          <t>10:55</t>
        </is>
      </c>
      <c r="C17" t="inlineStr">
        <is>
          <t>MNQ</t>
        </is>
      </c>
      <c r="D17" t="inlineStr">
        <is>
          <t>Long</t>
        </is>
      </c>
      <c r="E17" t="n">
        <v>93</v>
      </c>
      <c r="F17" t="inlineStr">
        <is>
          <t>up</t>
        </is>
      </c>
      <c r="G17" t="inlineStr">
        <is>
          <t>up</t>
        </is>
      </c>
      <c r="H17" t="inlineStr">
        <is>
          <t>up</t>
        </is>
      </c>
      <c r="I17" t="inlineStr">
        <is>
          <t>down</t>
        </is>
      </c>
      <c r="J17" t="n">
        <v>45.8</v>
      </c>
      <c r="K17" t="inlineStr">
        <is>
          <t>bear</t>
        </is>
      </c>
      <c r="L17" t="inlineStr">
        <is>
          <t>-</t>
        </is>
      </c>
      <c r="M17" t="n">
        <v>14.9</v>
      </c>
      <c r="N17" t="n">
        <v>49.91</v>
      </c>
      <c r="O17" t="n">
        <v>29904.66</v>
      </c>
      <c r="P17" t="inlineStr">
        <is>
          <t>below</t>
        </is>
      </c>
      <c r="Q17" t="n">
        <v>29878.13</v>
      </c>
      <c r="R17" t="n">
        <v>0.78</v>
      </c>
      <c r="S17" t="n">
        <v>-16307</v>
      </c>
      <c r="T17" t="n">
        <v>55</v>
      </c>
      <c r="U17" t="inlineStr">
        <is>
          <t>golden</t>
        </is>
      </c>
      <c r="V17" t="inlineStr">
        <is>
          <t>Weak</t>
        </is>
      </c>
      <c r="W17" t="n">
        <v>1</v>
      </c>
      <c r="X17" t="inlineStr">
        <is>
          <t>PDH/ORL/Round</t>
        </is>
      </c>
      <c r="Z17" t="n">
        <v>0.63</v>
      </c>
      <c r="AA17" t="inlineStr">
        <is>
          <t>No</t>
        </is>
      </c>
      <c r="AB17" t="inlineStr">
        <is>
          <t>Yes</t>
        </is>
      </c>
    </row>
    <row r="18">
      <c r="A18" t="inlineStr">
        <is>
          <t>2026-08-12</t>
        </is>
      </c>
      <c r="B18" t="inlineStr">
        <is>
          <t>11:22</t>
        </is>
      </c>
      <c r="C18" t="inlineStr">
        <is>
          <t>MNQ</t>
        </is>
      </c>
      <c r="D18" t="inlineStr">
        <is>
          <t>Long</t>
        </is>
      </c>
      <c r="E18" t="n">
        <v>154.5</v>
      </c>
      <c r="F18" t="inlineStr">
        <is>
          <t>up</t>
        </is>
      </c>
      <c r="G18" t="inlineStr">
        <is>
          <t>up</t>
        </is>
      </c>
      <c r="H18" t="inlineStr">
        <is>
          <t>up</t>
        </is>
      </c>
      <c r="I18" t="inlineStr">
        <is>
          <t>down</t>
        </is>
      </c>
      <c r="J18" t="n">
        <v>43.7</v>
      </c>
      <c r="K18" t="inlineStr">
        <is>
          <t>bear</t>
        </is>
      </c>
      <c r="L18" t="inlineStr">
        <is>
          <t>-</t>
        </is>
      </c>
      <c r="M18" t="n">
        <v>19.5</v>
      </c>
      <c r="N18" t="n">
        <v>45.34</v>
      </c>
      <c r="O18" t="n">
        <v>29900.13</v>
      </c>
      <c r="P18" t="inlineStr">
        <is>
          <t>below</t>
        </is>
      </c>
      <c r="Q18" t="n">
        <v>29878.13</v>
      </c>
      <c r="R18" t="n">
        <v>0.62</v>
      </c>
      <c r="S18" t="n">
        <v>-16824</v>
      </c>
      <c r="T18" t="n">
        <v>59</v>
      </c>
      <c r="U18" t="inlineStr">
        <is>
          <t>golden</t>
        </is>
      </c>
      <c r="V18" t="inlineStr">
        <is>
          <t>Weak</t>
        </is>
      </c>
      <c r="W18" t="n">
        <v>1</v>
      </c>
      <c r="X18" t="inlineStr">
        <is>
          <t>ORL/Round</t>
        </is>
      </c>
      <c r="Y18" t="inlineStr">
        <is>
          <t>strong bearish close</t>
        </is>
      </c>
      <c r="Z18" t="n">
        <v>0.49</v>
      </c>
      <c r="AA18" t="inlineStr">
        <is>
          <t>No</t>
        </is>
      </c>
      <c r="AB18" t="inlineStr">
        <is>
          <t>Yes</t>
        </is>
      </c>
    </row>
    <row r="19">
      <c r="A19" t="inlineStr">
        <is>
          <t>2026-08-12</t>
        </is>
      </c>
      <c r="B19" t="inlineStr">
        <is>
          <t>11:32</t>
        </is>
      </c>
      <c r="C19" t="inlineStr">
        <is>
          <t>MNQ</t>
        </is>
      </c>
      <c r="D19" t="inlineStr">
        <is>
          <t>Long</t>
        </is>
      </c>
      <c r="E19" t="n">
        <v>-136.5</v>
      </c>
      <c r="F19" t="inlineStr">
        <is>
          <t>up</t>
        </is>
      </c>
      <c r="G19" t="inlineStr">
        <is>
          <t>up</t>
        </is>
      </c>
      <c r="H19" t="inlineStr">
        <is>
          <t>up</t>
        </is>
      </c>
      <c r="I19" t="inlineStr">
        <is>
          <t>down</t>
        </is>
      </c>
      <c r="J19" t="n">
        <v>42.1</v>
      </c>
      <c r="K19" t="inlineStr">
        <is>
          <t>bear</t>
        </is>
      </c>
      <c r="L19" t="inlineStr">
        <is>
          <t>-</t>
        </is>
      </c>
      <c r="M19" t="n">
        <v>21.8</v>
      </c>
      <c r="N19" t="n">
        <v>45.45</v>
      </c>
      <c r="O19" t="n">
        <v>29898.1</v>
      </c>
      <c r="P19" t="inlineStr">
        <is>
          <t>below</t>
        </is>
      </c>
      <c r="Q19" t="n">
        <v>29908.09</v>
      </c>
      <c r="R19" t="n">
        <v>0.87</v>
      </c>
      <c r="S19" t="n">
        <v>-16568</v>
      </c>
      <c r="T19" t="n">
        <v>58</v>
      </c>
      <c r="U19" t="inlineStr">
        <is>
          <t>golden</t>
        </is>
      </c>
      <c r="V19" t="inlineStr">
        <is>
          <t>Good</t>
        </is>
      </c>
      <c r="W19" t="n">
        <v>2</v>
      </c>
      <c r="X19" t="inlineStr">
        <is>
          <t>ORL/Round</t>
        </is>
      </c>
      <c r="Y19" t="inlineStr">
        <is>
          <t>strong bearish close</t>
        </is>
      </c>
      <c r="Z19" t="n">
        <v>0.82</v>
      </c>
      <c r="AA19" t="inlineStr">
        <is>
          <t>No</t>
        </is>
      </c>
      <c r="AB19" t="inlineStr">
        <is>
          <t>Yes</t>
        </is>
      </c>
    </row>
    <row r="20">
      <c r="A20" t="inlineStr">
        <is>
          <t>2026-08-12</t>
        </is>
      </c>
      <c r="B20" t="inlineStr">
        <is>
          <t>11:57</t>
        </is>
      </c>
      <c r="C20" t="inlineStr">
        <is>
          <t>MNQ</t>
        </is>
      </c>
      <c r="D20" t="inlineStr">
        <is>
          <t>Short</t>
        </is>
      </c>
      <c r="E20" t="n">
        <v>-144</v>
      </c>
      <c r="F20" t="inlineStr">
        <is>
          <t>up</t>
        </is>
      </c>
      <c r="G20" t="inlineStr">
        <is>
          <t>up</t>
        </is>
      </c>
      <c r="H20" t="inlineStr">
        <is>
          <t>up</t>
        </is>
      </c>
      <c r="I20" t="inlineStr">
        <is>
          <t>down</t>
        </is>
      </c>
      <c r="J20" t="n">
        <v>42.8</v>
      </c>
      <c r="K20" t="inlineStr">
        <is>
          <t>bear</t>
        </is>
      </c>
      <c r="L20" t="inlineStr">
        <is>
          <t>-</t>
        </is>
      </c>
      <c r="M20" t="n">
        <v>27</v>
      </c>
      <c r="N20" t="n">
        <v>38.28</v>
      </c>
      <c r="O20" t="n">
        <v>29893.68</v>
      </c>
      <c r="P20" t="inlineStr">
        <is>
          <t>below</t>
        </is>
      </c>
      <c r="Q20" t="n">
        <v>29939.9</v>
      </c>
      <c r="R20" t="n">
        <v>0.64</v>
      </c>
      <c r="S20" t="n">
        <v>-20113</v>
      </c>
      <c r="T20" t="n">
        <v>11</v>
      </c>
      <c r="U20" t="inlineStr">
        <is>
          <t>extended (no pullback)</t>
        </is>
      </c>
      <c r="V20" t="inlineStr">
        <is>
          <t>No setup</t>
        </is>
      </c>
      <c r="W20" t="n">
        <v>0</v>
      </c>
      <c r="X20" t="inlineStr">
        <is>
          <t>ORL/Round</t>
        </is>
      </c>
      <c r="Y20" t="inlineStr">
        <is>
          <t>strong bearish close</t>
        </is>
      </c>
      <c r="Z20" t="n">
        <v>0.47</v>
      </c>
      <c r="AA20" t="inlineStr">
        <is>
          <t>No</t>
        </is>
      </c>
      <c r="AB20" t="inlineStr">
        <is>
          <t>No</t>
        </is>
      </c>
    </row>
    <row r="21">
      <c r="A21" t="inlineStr">
        <is>
          <t>2026-08-12</t>
        </is>
      </c>
      <c r="B21" t="inlineStr">
        <is>
          <t>14:12</t>
        </is>
      </c>
      <c r="C21" t="inlineStr">
        <is>
          <t>MGC</t>
        </is>
      </c>
      <c r="D21" t="inlineStr">
        <is>
          <t>Short</t>
        </is>
      </c>
      <c r="E21" t="n">
        <v>-195</v>
      </c>
      <c r="F21" t="inlineStr">
        <is>
          <t>up</t>
        </is>
      </c>
      <c r="G21" t="inlineStr">
        <is>
          <t>up</t>
        </is>
      </c>
      <c r="H21" t="inlineStr">
        <is>
          <t>up</t>
        </is>
      </c>
      <c r="I21" t="inlineStr">
        <is>
          <t>down</t>
        </is>
      </c>
      <c r="J21" t="n">
        <v>47</v>
      </c>
      <c r="K21" t="inlineStr">
        <is>
          <t>bear</t>
        </is>
      </c>
      <c r="L21" t="inlineStr">
        <is>
          <t>+</t>
        </is>
      </c>
      <c r="M21" t="n">
        <v>22.7</v>
      </c>
      <c r="N21" t="n">
        <v>5.08</v>
      </c>
      <c r="O21" t="n">
        <v>4478.14</v>
      </c>
      <c r="P21" t="inlineStr">
        <is>
          <t>below</t>
        </is>
      </c>
      <c r="Q21" t="n">
        <v>4479.5</v>
      </c>
      <c r="R21" t="n">
        <v>0.73</v>
      </c>
      <c r="S21" t="n">
        <v>-1793</v>
      </c>
      <c r="T21" t="n">
        <v>22</v>
      </c>
      <c r="U21" t="inlineStr">
        <is>
          <t>shallow</t>
        </is>
      </c>
      <c r="V21" t="inlineStr">
        <is>
          <t>Weak</t>
        </is>
      </c>
      <c r="W21" t="n">
        <v>1</v>
      </c>
      <c r="X21" t="inlineStr">
        <is>
          <t>No</t>
        </is>
      </c>
      <c r="Y21" t="inlineStr">
        <is>
          <t>strong bullish close</t>
        </is>
      </c>
      <c r="Z21" t="n">
        <v>0.39</v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2026-08-13</t>
        </is>
      </c>
      <c r="B22" t="inlineStr">
        <is>
          <t>08:50</t>
        </is>
      </c>
      <c r="C22" t="inlineStr">
        <is>
          <t>MGC</t>
        </is>
      </c>
      <c r="D22" t="inlineStr">
        <is>
          <t>Long</t>
        </is>
      </c>
      <c r="E22" t="n">
        <v>-57</v>
      </c>
      <c r="F22" t="inlineStr">
        <is>
          <t>up</t>
        </is>
      </c>
      <c r="G22" t="inlineStr">
        <is>
          <t>down</t>
        </is>
      </c>
      <c r="H22" t="inlineStr">
        <is>
          <t>up</t>
        </is>
      </c>
      <c r="I22" t="inlineStr">
        <is>
          <t>up</t>
        </is>
      </c>
      <c r="J22" t="n">
        <v>61.3</v>
      </c>
      <c r="K22" t="inlineStr">
        <is>
          <t>bull</t>
        </is>
      </c>
      <c r="L22" t="inlineStr">
        <is>
          <t>+</t>
        </is>
      </c>
      <c r="M22" t="n">
        <v>26</v>
      </c>
      <c r="N22" t="n">
        <v>5.68</v>
      </c>
      <c r="O22" t="n">
        <v>4465.03</v>
      </c>
      <c r="P22" t="inlineStr">
        <is>
          <t>below</t>
        </is>
      </c>
      <c r="Q22" t="n">
        <v>4479.13</v>
      </c>
      <c r="R22" t="n">
        <v>0.63</v>
      </c>
      <c r="S22" t="n">
        <v>-1051</v>
      </c>
      <c r="T22" t="n">
        <v>23</v>
      </c>
      <c r="U22" t="inlineStr">
        <is>
          <t>shallow</t>
        </is>
      </c>
      <c r="V22" t="inlineStr">
        <is>
          <t>Good</t>
        </is>
      </c>
      <c r="W22" t="n">
        <v>2</v>
      </c>
      <c r="X22" t="inlineStr">
        <is>
          <t>Round</t>
        </is>
      </c>
      <c r="Z22" t="n">
        <v>0.61</v>
      </c>
      <c r="AA22" t="inlineStr">
        <is>
          <t>No</t>
        </is>
      </c>
      <c r="AB22" t="inlineStr">
        <is>
          <t>Yes</t>
        </is>
      </c>
    </row>
    <row r="23">
      <c r="A23" t="inlineStr">
        <is>
          <t>2026-08-13</t>
        </is>
      </c>
      <c r="B23" t="inlineStr">
        <is>
          <t>09:46</t>
        </is>
      </c>
      <c r="C23" t="inlineStr">
        <is>
          <t>MNQ</t>
        </is>
      </c>
      <c r="D23" t="inlineStr">
        <is>
          <t>Long</t>
        </is>
      </c>
      <c r="E23" t="n">
        <v>375</v>
      </c>
      <c r="F23" t="inlineStr">
        <is>
          <t>up</t>
        </is>
      </c>
      <c r="G23" t="inlineStr">
        <is>
          <t>up</t>
        </is>
      </c>
      <c r="H23" t="inlineStr">
        <is>
          <t>up</t>
        </is>
      </c>
      <c r="I23" t="inlineStr">
        <is>
          <t>up</t>
        </is>
      </c>
      <c r="J23" t="n">
        <v>83.7</v>
      </c>
      <c r="K23" t="inlineStr">
        <is>
          <t>bull</t>
        </is>
      </c>
      <c r="L23" t="inlineStr">
        <is>
          <t>+</t>
        </is>
      </c>
      <c r="M23" t="n">
        <v>32.8</v>
      </c>
      <c r="N23" t="n">
        <v>39.34</v>
      </c>
      <c r="O23" t="n">
        <v>29997.1</v>
      </c>
      <c r="P23" t="inlineStr">
        <is>
          <t>above</t>
        </is>
      </c>
      <c r="Q23" t="n">
        <v>29902.34</v>
      </c>
      <c r="R23" t="n">
        <v>1.08</v>
      </c>
      <c r="S23" t="n">
        <v>33183</v>
      </c>
      <c r="T23" t="n">
        <v>17</v>
      </c>
      <c r="U23" t="inlineStr">
        <is>
          <t>shallow</t>
        </is>
      </c>
      <c r="V23" t="inlineStr">
        <is>
          <t>Weak</t>
        </is>
      </c>
      <c r="W23" t="n">
        <v>1</v>
      </c>
      <c r="X23" t="inlineStr">
        <is>
          <t>Round</t>
        </is>
      </c>
      <c r="Y23" t="inlineStr">
        <is>
          <t>strong bullish close</t>
        </is>
      </c>
      <c r="Z23" t="n">
        <v>4.26</v>
      </c>
      <c r="AA23" t="inlineStr">
        <is>
          <t>Yes</t>
        </is>
      </c>
      <c r="AB23" t="inlineStr">
        <is>
          <t>Yes</t>
        </is>
      </c>
    </row>
    <row r="24">
      <c r="A24" t="inlineStr">
        <is>
          <t>2026-08-13</t>
        </is>
      </c>
      <c r="B24" t="inlineStr">
        <is>
          <t>11:24</t>
        </is>
      </c>
      <c r="C24" t="inlineStr">
        <is>
          <t>MGC</t>
        </is>
      </c>
      <c r="D24" t="inlineStr">
        <is>
          <t>Short</t>
        </is>
      </c>
      <c r="E24" t="n">
        <v>285</v>
      </c>
      <c r="F24" t="inlineStr">
        <is>
          <t>flat</t>
        </is>
      </c>
      <c r="G24" t="inlineStr">
        <is>
          <t>down</t>
        </is>
      </c>
      <c r="H24" t="inlineStr">
        <is>
          <t>down</t>
        </is>
      </c>
      <c r="I24" t="inlineStr">
        <is>
          <t>down</t>
        </is>
      </c>
      <c r="J24" t="n">
        <v>41.8</v>
      </c>
      <c r="K24" t="inlineStr">
        <is>
          <t>bear</t>
        </is>
      </c>
      <c r="L24" t="inlineStr">
        <is>
          <t>-</t>
        </is>
      </c>
      <c r="M24" t="n">
        <v>29.6</v>
      </c>
      <c r="N24" t="n">
        <v>7.33</v>
      </c>
      <c r="O24" t="n">
        <v>4431.96</v>
      </c>
      <c r="P24" t="inlineStr">
        <is>
          <t>below</t>
        </is>
      </c>
      <c r="Q24" t="n">
        <v>4430.89</v>
      </c>
      <c r="R24" t="n">
        <v>1.02</v>
      </c>
      <c r="S24" t="n">
        <v>1609</v>
      </c>
      <c r="T24" t="n">
        <v>36</v>
      </c>
      <c r="U24" t="inlineStr">
        <is>
          <t>shallow</t>
        </is>
      </c>
      <c r="V24" t="inlineStr">
        <is>
          <t>Weak</t>
        </is>
      </c>
      <c r="W24" t="n">
        <v>1</v>
      </c>
      <c r="X24" t="inlineStr">
        <is>
          <t>ORL/Round</t>
        </is>
      </c>
      <c r="Y24" t="inlineStr">
        <is>
          <t>bullish engulfing</t>
        </is>
      </c>
      <c r="Z24" t="n">
        <v>0.8</v>
      </c>
      <c r="AA24" t="inlineStr">
        <is>
          <t>Yes</t>
        </is>
      </c>
      <c r="AB24" t="inlineStr">
        <is>
          <t>No</t>
        </is>
      </c>
    </row>
    <row r="25">
      <c r="A25" t="inlineStr">
        <is>
          <t>2026-08-13</t>
        </is>
      </c>
      <c r="B25" t="inlineStr">
        <is>
          <t>22:50</t>
        </is>
      </c>
      <c r="C25" t="inlineStr">
        <is>
          <t>MGC</t>
        </is>
      </c>
      <c r="D25" t="inlineStr">
        <is>
          <t>Long</t>
        </is>
      </c>
      <c r="E25" t="n">
        <v>-66</v>
      </c>
      <c r="F25" t="inlineStr">
        <is>
          <t>down</t>
        </is>
      </c>
      <c r="G25" t="inlineStr">
        <is>
          <t>down</t>
        </is>
      </c>
      <c r="H25" t="inlineStr">
        <is>
          <t>down</t>
        </is>
      </c>
      <c r="I25" t="inlineStr">
        <is>
          <t>down</t>
        </is>
      </c>
      <c r="J25" t="n">
        <v>39.9</v>
      </c>
      <c r="K25" t="inlineStr">
        <is>
          <t>bear</t>
        </is>
      </c>
      <c r="L25" t="inlineStr">
        <is>
          <t>+</t>
        </is>
      </c>
      <c r="M25" t="n">
        <v>52.4</v>
      </c>
      <c r="N25" t="n">
        <v>6.07</v>
      </c>
      <c r="O25" t="n">
        <v>4413.23</v>
      </c>
      <c r="P25" t="inlineStr">
        <is>
          <t>below</t>
        </is>
      </c>
      <c r="Q25" t="n">
        <v>4431.23</v>
      </c>
      <c r="R25" t="n">
        <v>0.5600000000000001</v>
      </c>
      <c r="S25" t="n">
        <v>-5147</v>
      </c>
      <c r="T25" t="n">
        <v>50</v>
      </c>
      <c r="U25" t="inlineStr">
        <is>
          <t>golden</t>
        </is>
      </c>
      <c r="V25" t="inlineStr">
        <is>
          <t>Weak</t>
        </is>
      </c>
      <c r="W25" t="n">
        <v>1</v>
      </c>
      <c r="X25" t="inlineStr">
        <is>
          <t>Round</t>
        </is>
      </c>
      <c r="Y25" t="inlineStr">
        <is>
          <t>strong bearish close</t>
        </is>
      </c>
      <c r="Z25" t="n">
        <v>0.31</v>
      </c>
      <c r="AA25" t="inlineStr">
        <is>
          <t>No</t>
        </is>
      </c>
      <c r="AB25" t="inlineStr">
        <is>
          <t>No</t>
        </is>
      </c>
    </row>
    <row r="26">
      <c r="A26" t="inlineStr">
        <is>
          <t>2026-08-13</t>
        </is>
      </c>
      <c r="B26" t="inlineStr">
        <is>
          <t>22:59</t>
        </is>
      </c>
      <c r="C26" t="inlineStr">
        <is>
          <t>MGC</t>
        </is>
      </c>
      <c r="D26" t="inlineStr">
        <is>
          <t>Short</t>
        </is>
      </c>
      <c r="E26" t="n">
        <v>-195</v>
      </c>
      <c r="F26" t="inlineStr">
        <is>
          <t>down</t>
        </is>
      </c>
      <c r="G26" t="inlineStr">
        <is>
          <t>down</t>
        </is>
      </c>
      <c r="H26" t="inlineStr">
        <is>
          <t>down</t>
        </is>
      </c>
      <c r="I26" t="inlineStr">
        <is>
          <t>down</t>
        </is>
      </c>
      <c r="J26" t="n">
        <v>39.8</v>
      </c>
      <c r="K26" t="inlineStr">
        <is>
          <t>bear</t>
        </is>
      </c>
      <c r="L26" t="inlineStr">
        <is>
          <t>+</t>
        </is>
      </c>
      <c r="M26" t="n">
        <v>52.5</v>
      </c>
      <c r="N26" t="n">
        <v>5.9</v>
      </c>
      <c r="O26" t="n">
        <v>4413.1</v>
      </c>
      <c r="P26" t="inlineStr">
        <is>
          <t>below</t>
        </is>
      </c>
      <c r="Q26" t="n">
        <v>4431.23</v>
      </c>
      <c r="R26" t="n">
        <v>1</v>
      </c>
      <c r="S26" t="n">
        <v>-4987</v>
      </c>
      <c r="T26" t="n">
        <v>9</v>
      </c>
      <c r="U26" t="inlineStr">
        <is>
          <t>extended (no pullback)</t>
        </is>
      </c>
      <c r="V26" t="inlineStr">
        <is>
          <t>Weak</t>
        </is>
      </c>
      <c r="W26" t="n">
        <v>1</v>
      </c>
      <c r="X26" t="inlineStr">
        <is>
          <t>Round</t>
        </is>
      </c>
      <c r="Y26" t="inlineStr">
        <is>
          <t>bullish pin/hammer</t>
        </is>
      </c>
      <c r="Z26" t="n">
        <v>0.48</v>
      </c>
      <c r="AA26" t="inlineStr">
        <is>
          <t>Yes</t>
        </is>
      </c>
      <c r="AB26" t="inlineStr">
        <is>
          <t>Yes</t>
        </is>
      </c>
    </row>
    <row r="27">
      <c r="A27" t="inlineStr">
        <is>
          <t>2026-08-14</t>
        </is>
      </c>
      <c r="B27" t="inlineStr">
        <is>
          <t>09:47</t>
        </is>
      </c>
      <c r="C27" t="inlineStr">
        <is>
          <t>MNQ</t>
        </is>
      </c>
      <c r="D27" t="inlineStr">
        <is>
          <t>Long</t>
        </is>
      </c>
      <c r="E27" t="n">
        <v>136.5</v>
      </c>
      <c r="F27" t="inlineStr">
        <is>
          <t>up</t>
        </is>
      </c>
      <c r="G27" t="inlineStr">
        <is>
          <t>up</t>
        </is>
      </c>
      <c r="H27" t="inlineStr">
        <is>
          <t>up</t>
        </is>
      </c>
      <c r="I27" t="inlineStr">
        <is>
          <t>down</t>
        </is>
      </c>
      <c r="J27" t="n">
        <v>46.8</v>
      </c>
      <c r="K27" t="inlineStr">
        <is>
          <t>bear</t>
        </is>
      </c>
      <c r="L27" t="inlineStr">
        <is>
          <t>-</t>
        </is>
      </c>
      <c r="M27" t="n">
        <v>18</v>
      </c>
      <c r="N27" t="n">
        <v>27.53</v>
      </c>
      <c r="O27" t="n">
        <v>30230.3</v>
      </c>
      <c r="P27" t="inlineStr">
        <is>
          <t>above</t>
        </is>
      </c>
      <c r="Q27" t="n">
        <v>30237.58</v>
      </c>
      <c r="R27" t="n">
        <v>0.98</v>
      </c>
      <c r="S27" t="n">
        <v>958</v>
      </c>
      <c r="T27" t="n">
        <v>43</v>
      </c>
      <c r="U27" t="inlineStr">
        <is>
          <t>golden</t>
        </is>
      </c>
      <c r="V27" t="inlineStr">
        <is>
          <t>Weak</t>
        </is>
      </c>
      <c r="W27" t="n">
        <v>1</v>
      </c>
      <c r="X27" t="inlineStr">
        <is>
          <t>No</t>
        </is>
      </c>
      <c r="Y27" t="inlineStr">
        <is>
          <t>strong bearish close</t>
        </is>
      </c>
      <c r="Z27" t="n">
        <v>4.2</v>
      </c>
      <c r="AA27" t="inlineStr">
        <is>
          <t>No</t>
        </is>
      </c>
      <c r="AB27" t="inlineStr">
        <is>
          <t>Yes</t>
        </is>
      </c>
    </row>
    <row r="28">
      <c r="A28" t="inlineStr">
        <is>
          <t>2026-08-14</t>
        </is>
      </c>
      <c r="B28" t="inlineStr">
        <is>
          <t>09:57</t>
        </is>
      </c>
      <c r="C28" t="inlineStr">
        <is>
          <t>MNQ</t>
        </is>
      </c>
      <c r="D28" t="inlineStr">
        <is>
          <t>Long</t>
        </is>
      </c>
      <c r="E28" t="n">
        <v>27</v>
      </c>
      <c r="F28" t="inlineStr">
        <is>
          <t>up</t>
        </is>
      </c>
      <c r="G28" t="inlineStr">
        <is>
          <t>up</t>
        </is>
      </c>
      <c r="H28" t="inlineStr">
        <is>
          <t>up</t>
        </is>
      </c>
      <c r="I28" t="inlineStr">
        <is>
          <t>down</t>
        </is>
      </c>
      <c r="J28" t="n">
        <v>44</v>
      </c>
      <c r="K28" t="inlineStr">
        <is>
          <t>bear</t>
        </is>
      </c>
      <c r="L28" t="inlineStr">
        <is>
          <t>-</t>
        </is>
      </c>
      <c r="M28" t="n">
        <v>17</v>
      </c>
      <c r="N28" t="n">
        <v>29.86</v>
      </c>
      <c r="O28" t="n">
        <v>30231.83</v>
      </c>
      <c r="P28" t="inlineStr">
        <is>
          <t>below</t>
        </is>
      </c>
      <c r="Q28" t="n">
        <v>30229.28</v>
      </c>
      <c r="R28" t="n">
        <v>0.6899999999999999</v>
      </c>
      <c r="S28" t="n">
        <v>-683</v>
      </c>
      <c r="T28" t="n">
        <v>54</v>
      </c>
      <c r="U28" t="inlineStr">
        <is>
          <t>golden</t>
        </is>
      </c>
      <c r="V28" t="inlineStr">
        <is>
          <t>Weak</t>
        </is>
      </c>
      <c r="W28" t="n">
        <v>1</v>
      </c>
      <c r="X28" t="inlineStr">
        <is>
          <t>No</t>
        </is>
      </c>
      <c r="Z28" t="n">
        <v>1.7</v>
      </c>
      <c r="AA28" t="inlineStr">
        <is>
          <t>No</t>
        </is>
      </c>
      <c r="AB28" t="inlineStr">
        <is>
          <t>Yes</t>
        </is>
      </c>
    </row>
    <row r="29">
      <c r="A29" t="inlineStr">
        <is>
          <t>2026-08-14</t>
        </is>
      </c>
      <c r="B29" t="inlineStr">
        <is>
          <t>11:58</t>
        </is>
      </c>
      <c r="C29" t="inlineStr">
        <is>
          <t>MNQ</t>
        </is>
      </c>
      <c r="D29" t="inlineStr">
        <is>
          <t>Short</t>
        </is>
      </c>
      <c r="E29" t="n">
        <v>-162</v>
      </c>
      <c r="F29" t="inlineStr">
        <is>
          <t>up</t>
        </is>
      </c>
      <c r="G29" t="inlineStr">
        <is>
          <t>down</t>
        </is>
      </c>
      <c r="H29" t="inlineStr">
        <is>
          <t>down</t>
        </is>
      </c>
      <c r="I29" t="inlineStr">
        <is>
          <t>down</t>
        </is>
      </c>
      <c r="J29" t="n">
        <v>36.9</v>
      </c>
      <c r="K29" t="inlineStr">
        <is>
          <t>bear</t>
        </is>
      </c>
      <c r="L29" t="inlineStr">
        <is>
          <t>-</t>
        </is>
      </c>
      <c r="M29" t="n">
        <v>42.4</v>
      </c>
      <c r="N29" t="n">
        <v>32.23</v>
      </c>
      <c r="O29" t="n">
        <v>30166.81</v>
      </c>
      <c r="P29" t="inlineStr">
        <is>
          <t>below</t>
        </is>
      </c>
      <c r="Q29" t="n">
        <v>30239.55</v>
      </c>
      <c r="R29" t="n">
        <v>1.02</v>
      </c>
      <c r="S29" t="n">
        <v>-24672</v>
      </c>
      <c r="T29" t="n">
        <v>17</v>
      </c>
      <c r="U29" t="inlineStr">
        <is>
          <t>shallow</t>
        </is>
      </c>
      <c r="V29" t="inlineStr">
        <is>
          <t>No setup</t>
        </is>
      </c>
      <c r="W29" t="n">
        <v>0</v>
      </c>
      <c r="X29" t="inlineStr">
        <is>
          <t>No</t>
        </is>
      </c>
      <c r="Z29" t="n">
        <v>0.68</v>
      </c>
      <c r="AA29" t="inlineStr">
        <is>
          <t>Yes</t>
        </is>
      </c>
      <c r="AB29" t="inlineStr">
        <is>
          <t>No</t>
        </is>
      </c>
    </row>
    <row r="30">
      <c r="A30" t="inlineStr">
        <is>
          <t>2026-08-14</t>
        </is>
      </c>
      <c r="B30" t="inlineStr">
        <is>
          <t>12:41</t>
        </is>
      </c>
      <c r="C30" t="inlineStr">
        <is>
          <t>MNQ</t>
        </is>
      </c>
      <c r="D30" t="inlineStr">
        <is>
          <t>Short</t>
        </is>
      </c>
      <c r="E30" t="n">
        <v>27</v>
      </c>
      <c r="F30" t="inlineStr">
        <is>
          <t>up</t>
        </is>
      </c>
      <c r="G30" t="inlineStr">
        <is>
          <t>down</t>
        </is>
      </c>
      <c r="H30" t="inlineStr">
        <is>
          <t>down</t>
        </is>
      </c>
      <c r="I30" t="inlineStr">
        <is>
          <t>down</t>
        </is>
      </c>
      <c r="J30" t="n">
        <v>41.4</v>
      </c>
      <c r="K30" t="inlineStr">
        <is>
          <t>bear</t>
        </is>
      </c>
      <c r="L30" t="inlineStr">
        <is>
          <t>+</t>
        </is>
      </c>
      <c r="M30" t="n">
        <v>35</v>
      </c>
      <c r="N30" t="n">
        <v>27.31</v>
      </c>
      <c r="O30" t="n">
        <v>30155.19</v>
      </c>
      <c r="P30" t="inlineStr">
        <is>
          <t>below</t>
        </is>
      </c>
      <c r="Q30" t="n">
        <v>30239.55</v>
      </c>
      <c r="R30" t="n">
        <v>0.74</v>
      </c>
      <c r="S30" t="n">
        <v>-26282</v>
      </c>
      <c r="T30" t="n">
        <v>16</v>
      </c>
      <c r="U30" t="inlineStr">
        <is>
          <t>shallow</t>
        </is>
      </c>
      <c r="V30" t="inlineStr">
        <is>
          <t>No setup</t>
        </is>
      </c>
      <c r="W30" t="n">
        <v>0</v>
      </c>
      <c r="X30" t="inlineStr">
        <is>
          <t>No</t>
        </is>
      </c>
      <c r="Y30" t="inlineStr">
        <is>
          <t>strong bearish close</t>
        </is>
      </c>
      <c r="Z30" t="n">
        <v>0.55</v>
      </c>
      <c r="AA30" t="inlineStr">
        <is>
          <t>Yes</t>
        </is>
      </c>
      <c r="AB30" t="inlineStr">
        <is>
          <t>No</t>
        </is>
      </c>
    </row>
    <row r="31">
      <c r="A31" t="inlineStr">
        <is>
          <t>2026-08-14</t>
        </is>
      </c>
      <c r="B31" t="inlineStr">
        <is>
          <t>12:46</t>
        </is>
      </c>
      <c r="C31" t="inlineStr">
        <is>
          <t>MNQ</t>
        </is>
      </c>
      <c r="D31" t="inlineStr">
        <is>
          <t>Long</t>
        </is>
      </c>
      <c r="E31" t="n">
        <v>42.5</v>
      </c>
      <c r="F31" t="inlineStr">
        <is>
          <t>up</t>
        </is>
      </c>
      <c r="G31" t="inlineStr">
        <is>
          <t>down</t>
        </is>
      </c>
      <c r="H31" t="inlineStr">
        <is>
          <t>down</t>
        </is>
      </c>
      <c r="I31" t="inlineStr">
        <is>
          <t>down</t>
        </is>
      </c>
      <c r="J31" t="n">
        <v>43.5</v>
      </c>
      <c r="K31" t="inlineStr">
        <is>
          <t>bear</t>
        </is>
      </c>
      <c r="L31" t="inlineStr">
        <is>
          <t>+</t>
        </is>
      </c>
      <c r="M31" t="n">
        <v>34.7</v>
      </c>
      <c r="N31" t="n">
        <v>26.45</v>
      </c>
      <c r="O31" t="n">
        <v>30154.32</v>
      </c>
      <c r="P31" t="inlineStr">
        <is>
          <t>below</t>
        </is>
      </c>
      <c r="Q31" t="n">
        <v>30239.55</v>
      </c>
      <c r="R31" t="n">
        <v>0.74</v>
      </c>
      <c r="S31" t="n">
        <v>-24705</v>
      </c>
      <c r="T31" t="n">
        <v>51</v>
      </c>
      <c r="U31" t="inlineStr">
        <is>
          <t>golden</t>
        </is>
      </c>
      <c r="V31" t="inlineStr">
        <is>
          <t>Good</t>
        </is>
      </c>
      <c r="W31" t="n">
        <v>2</v>
      </c>
      <c r="X31" t="inlineStr">
        <is>
          <t>No</t>
        </is>
      </c>
      <c r="Y31" t="inlineStr">
        <is>
          <t>strong bullish close</t>
        </is>
      </c>
      <c r="Z31" t="n">
        <v>0.57</v>
      </c>
      <c r="AA31" t="inlineStr">
        <is>
          <t>No</t>
        </is>
      </c>
      <c r="AB31" t="inlineStr">
        <is>
          <t>Yes</t>
        </is>
      </c>
    </row>
    <row r="32">
      <c r="A32" t="inlineStr">
        <is>
          <t>2026-08-14</t>
        </is>
      </c>
      <c r="B32" t="inlineStr">
        <is>
          <t>12:50</t>
        </is>
      </c>
      <c r="C32" t="inlineStr">
        <is>
          <t>MNQ</t>
        </is>
      </c>
      <c r="D32" t="inlineStr">
        <is>
          <t>Long</t>
        </is>
      </c>
      <c r="E32" t="n">
        <v>35</v>
      </c>
      <c r="F32" t="inlineStr">
        <is>
          <t>up</t>
        </is>
      </c>
      <c r="G32" t="inlineStr">
        <is>
          <t>down</t>
        </is>
      </c>
      <c r="H32" t="inlineStr">
        <is>
          <t>down</t>
        </is>
      </c>
      <c r="I32" t="inlineStr">
        <is>
          <t>down</t>
        </is>
      </c>
      <c r="J32" t="n">
        <v>40.7</v>
      </c>
      <c r="K32" t="inlineStr">
        <is>
          <t>bear</t>
        </is>
      </c>
      <c r="L32" t="inlineStr">
        <is>
          <t>+</t>
        </is>
      </c>
      <c r="M32" t="n">
        <v>34.6</v>
      </c>
      <c r="N32" t="n">
        <v>25.9</v>
      </c>
      <c r="O32" t="n">
        <v>30153.37</v>
      </c>
      <c r="P32" t="inlineStr">
        <is>
          <t>below</t>
        </is>
      </c>
      <c r="Q32" t="n">
        <v>30239.55</v>
      </c>
      <c r="R32" t="n">
        <v>0.77</v>
      </c>
      <c r="S32" t="n">
        <v>-25488</v>
      </c>
      <c r="T32" t="n">
        <v>55</v>
      </c>
      <c r="U32" t="inlineStr">
        <is>
          <t>golden</t>
        </is>
      </c>
      <c r="V32" t="inlineStr">
        <is>
          <t>Good</t>
        </is>
      </c>
      <c r="W32" t="n">
        <v>2</v>
      </c>
      <c r="X32" t="inlineStr">
        <is>
          <t>No</t>
        </is>
      </c>
      <c r="Z32" t="n">
        <v>0.61</v>
      </c>
      <c r="AA32" t="inlineStr">
        <is>
          <t>No</t>
        </is>
      </c>
      <c r="AB32" t="inlineStr">
        <is>
          <t>Yes</t>
        </is>
      </c>
    </row>
    <row r="33">
      <c r="A33" t="inlineStr">
        <is>
          <t>2026-08-17</t>
        </is>
      </c>
      <c r="B33" t="inlineStr">
        <is>
          <t>09:55</t>
        </is>
      </c>
      <c r="C33" t="inlineStr">
        <is>
          <t>MNQ</t>
        </is>
      </c>
      <c r="D33" t="inlineStr">
        <is>
          <t>Long</t>
        </is>
      </c>
      <c r="E33" t="n">
        <v>-124.5</v>
      </c>
      <c r="F33" t="inlineStr">
        <is>
          <t>up</t>
        </is>
      </c>
      <c r="G33" t="inlineStr">
        <is>
          <t>up</t>
        </is>
      </c>
      <c r="H33" t="inlineStr">
        <is>
          <t>down</t>
        </is>
      </c>
      <c r="I33" t="inlineStr">
        <is>
          <t>down</t>
        </is>
      </c>
      <c r="J33" t="n">
        <v>50.8</v>
      </c>
      <c r="K33" t="inlineStr">
        <is>
          <t>bear</t>
        </is>
      </c>
      <c r="L33" t="inlineStr">
        <is>
          <t>+</t>
        </is>
      </c>
      <c r="M33" t="n">
        <v>25.6</v>
      </c>
      <c r="N33" t="n">
        <v>32.49</v>
      </c>
      <c r="O33" t="n">
        <v>30212.46</v>
      </c>
      <c r="P33" t="inlineStr">
        <is>
          <t>above</t>
        </is>
      </c>
      <c r="Q33" t="n">
        <v>30201.93</v>
      </c>
      <c r="R33" t="n">
        <v>0.67</v>
      </c>
      <c r="S33" t="n">
        <v>-9581</v>
      </c>
      <c r="T33" t="n">
        <v>15</v>
      </c>
      <c r="U33" t="inlineStr">
        <is>
          <t>shallow</t>
        </is>
      </c>
      <c r="V33" t="inlineStr">
        <is>
          <t>A+</t>
        </is>
      </c>
      <c r="W33" t="n">
        <v>3</v>
      </c>
      <c r="X33" t="inlineStr">
        <is>
          <t>Round</t>
        </is>
      </c>
      <c r="Z33" t="n">
        <v>1.59</v>
      </c>
      <c r="AA33" t="inlineStr">
        <is>
          <t>No</t>
        </is>
      </c>
      <c r="AB33" t="inlineStr">
        <is>
          <t>Yes</t>
        </is>
      </c>
    </row>
    <row r="34">
      <c r="A34" t="inlineStr">
        <is>
          <t>2026-08-17</t>
        </is>
      </c>
      <c r="B34" t="inlineStr">
        <is>
          <t>10:09</t>
        </is>
      </c>
      <c r="C34" t="inlineStr">
        <is>
          <t>MGC</t>
        </is>
      </c>
      <c r="D34" t="inlineStr">
        <is>
          <t>Long</t>
        </is>
      </c>
      <c r="E34" t="n">
        <v>240</v>
      </c>
      <c r="F34" t="inlineStr">
        <is>
          <t>up</t>
        </is>
      </c>
      <c r="G34" t="inlineStr">
        <is>
          <t>up</t>
        </is>
      </c>
      <c r="H34" t="inlineStr">
        <is>
          <t>up</t>
        </is>
      </c>
      <c r="I34" t="inlineStr">
        <is>
          <t>up</t>
        </is>
      </c>
      <c r="J34" t="n">
        <v>65.09999999999999</v>
      </c>
      <c r="K34" t="inlineStr">
        <is>
          <t>bull</t>
        </is>
      </c>
      <c r="L34" t="inlineStr">
        <is>
          <t>+</t>
        </is>
      </c>
      <c r="M34" t="n">
        <v>27.7</v>
      </c>
      <c r="N34" t="n">
        <v>6.23</v>
      </c>
      <c r="O34" t="n">
        <v>4456.81</v>
      </c>
      <c r="P34" t="inlineStr">
        <is>
          <t>above</t>
        </is>
      </c>
      <c r="Q34" t="n">
        <v>4457.35</v>
      </c>
      <c r="R34" t="n">
        <v>0.64</v>
      </c>
      <c r="S34" t="n">
        <v>604</v>
      </c>
      <c r="T34" t="n">
        <v>29</v>
      </c>
      <c r="U34" t="inlineStr">
        <is>
          <t>shallow</t>
        </is>
      </c>
      <c r="V34" t="inlineStr">
        <is>
          <t>Weak</t>
        </is>
      </c>
      <c r="W34" t="n">
        <v>1</v>
      </c>
      <c r="X34" t="inlineStr">
        <is>
          <t>Round</t>
        </is>
      </c>
      <c r="Y34" t="inlineStr">
        <is>
          <t>strong bearish close</t>
        </is>
      </c>
      <c r="Z34" t="n">
        <v>0.64</v>
      </c>
      <c r="AA34" t="inlineStr">
        <is>
          <t>Yes</t>
        </is>
      </c>
      <c r="AB34" t="inlineStr">
        <is>
          <t>Yes</t>
        </is>
      </c>
    </row>
    <row r="35">
      <c r="A35" t="inlineStr">
        <is>
          <t>2026-08-17</t>
        </is>
      </c>
      <c r="B35" t="inlineStr">
        <is>
          <t>11:51</t>
        </is>
      </c>
      <c r="C35" t="inlineStr">
        <is>
          <t>MNQ</t>
        </is>
      </c>
      <c r="D35" t="inlineStr">
        <is>
          <t>Short</t>
        </is>
      </c>
      <c r="E35" t="n">
        <v>97.5</v>
      </c>
      <c r="F35" t="inlineStr">
        <is>
          <t>up</t>
        </is>
      </c>
      <c r="G35" t="inlineStr">
        <is>
          <t>up</t>
        </is>
      </c>
      <c r="H35" t="inlineStr">
        <is>
          <t>down</t>
        </is>
      </c>
      <c r="I35" t="inlineStr">
        <is>
          <t>up</t>
        </is>
      </c>
      <c r="J35" t="n">
        <v>52.5</v>
      </c>
      <c r="K35" t="inlineStr">
        <is>
          <t>bull</t>
        </is>
      </c>
      <c r="L35" t="inlineStr">
        <is>
          <t>-</t>
        </is>
      </c>
      <c r="M35" t="n">
        <v>17.1</v>
      </c>
      <c r="N35" t="n">
        <v>29.13</v>
      </c>
      <c r="O35" t="n">
        <v>30219.99</v>
      </c>
      <c r="P35" t="inlineStr">
        <is>
          <t>above</t>
        </is>
      </c>
      <c r="Q35" t="n">
        <v>30203.19</v>
      </c>
      <c r="R35" t="n">
        <v>0.9399999999999999</v>
      </c>
      <c r="S35" t="n">
        <v>-3153</v>
      </c>
      <c r="T35" t="n">
        <v>49</v>
      </c>
      <c r="U35" t="inlineStr">
        <is>
          <t>golden</t>
        </is>
      </c>
      <c r="V35" t="inlineStr">
        <is>
          <t>Good</t>
        </is>
      </c>
      <c r="W35" t="n">
        <v>2</v>
      </c>
      <c r="X35" t="inlineStr">
        <is>
          <t>Round</t>
        </is>
      </c>
      <c r="Y35" t="inlineStr">
        <is>
          <t>bullish engulfing</t>
        </is>
      </c>
      <c r="Z35" t="n">
        <v>0.86</v>
      </c>
      <c r="AA35" t="inlineStr">
        <is>
          <t>No</t>
        </is>
      </c>
      <c r="AB35" t="inlineStr">
        <is>
          <t>No</t>
        </is>
      </c>
    </row>
    <row r="36">
      <c r="A36" t="inlineStr">
        <is>
          <t>2026-08-18</t>
        </is>
      </c>
      <c r="B36" t="inlineStr">
        <is>
          <t>10:00</t>
        </is>
      </c>
      <c r="C36" t="inlineStr">
        <is>
          <t>MGC</t>
        </is>
      </c>
      <c r="D36" t="inlineStr">
        <is>
          <t>Short</t>
        </is>
      </c>
      <c r="E36" t="n">
        <v>-159</v>
      </c>
      <c r="F36" t="inlineStr">
        <is>
          <t>flat</t>
        </is>
      </c>
      <c r="G36" t="inlineStr">
        <is>
          <t>down</t>
        </is>
      </c>
      <c r="H36" t="inlineStr">
        <is>
          <t>down</t>
        </is>
      </c>
      <c r="I36" t="inlineStr">
        <is>
          <t>up</t>
        </is>
      </c>
      <c r="J36" t="n">
        <v>59.5</v>
      </c>
      <c r="K36" t="inlineStr">
        <is>
          <t>bull</t>
        </is>
      </c>
      <c r="L36" t="inlineStr">
        <is>
          <t>+</t>
        </is>
      </c>
      <c r="M36" t="n">
        <v>19.5</v>
      </c>
      <c r="N36" t="n">
        <v>7.37</v>
      </c>
      <c r="O36" t="n">
        <v>4452.11</v>
      </c>
      <c r="P36" t="inlineStr">
        <is>
          <t>above</t>
        </is>
      </c>
      <c r="Q36" t="n">
        <v>4442.54</v>
      </c>
      <c r="R36" t="n">
        <v>1.51</v>
      </c>
      <c r="S36" t="n">
        <v>5102</v>
      </c>
      <c r="T36" t="n">
        <v>53</v>
      </c>
      <c r="U36" t="inlineStr">
        <is>
          <t>golden</t>
        </is>
      </c>
      <c r="V36" t="inlineStr">
        <is>
          <t>Weak</t>
        </is>
      </c>
      <c r="W36" t="n">
        <v>1</v>
      </c>
      <c r="X36" t="inlineStr">
        <is>
          <t>No</t>
        </is>
      </c>
      <c r="Y36" t="inlineStr">
        <is>
          <t>strong bullish close</t>
        </is>
      </c>
      <c r="Z36" t="n">
        <v>2.6</v>
      </c>
      <c r="AA36" t="inlineStr">
        <is>
          <t>No</t>
        </is>
      </c>
      <c r="AB36" t="inlineStr">
        <is>
          <t>No</t>
        </is>
      </c>
    </row>
    <row r="37">
      <c r="A37" t="inlineStr">
        <is>
          <t>2026-08-18</t>
        </is>
      </c>
      <c r="B37" t="inlineStr">
        <is>
          <t>10:08</t>
        </is>
      </c>
      <c r="C37" t="inlineStr">
        <is>
          <t>MGC</t>
        </is>
      </c>
      <c r="D37" t="inlineStr">
        <is>
          <t>Long</t>
        </is>
      </c>
      <c r="E37" t="n">
        <v>-180</v>
      </c>
      <c r="F37" t="inlineStr">
        <is>
          <t>flat</t>
        </is>
      </c>
      <c r="G37" t="inlineStr">
        <is>
          <t>down</t>
        </is>
      </c>
      <c r="H37" t="inlineStr">
        <is>
          <t>down</t>
        </is>
      </c>
      <c r="I37" t="inlineStr">
        <is>
          <t>up</t>
        </is>
      </c>
      <c r="J37" t="n">
        <v>53.1</v>
      </c>
      <c r="K37" t="inlineStr">
        <is>
          <t>bull</t>
        </is>
      </c>
      <c r="L37" t="inlineStr">
        <is>
          <t>+</t>
        </is>
      </c>
      <c r="M37" t="n">
        <v>18.5</v>
      </c>
      <c r="N37" t="n">
        <v>7.33</v>
      </c>
      <c r="O37" t="n">
        <v>4452.43</v>
      </c>
      <c r="P37" t="inlineStr">
        <is>
          <t>above</t>
        </is>
      </c>
      <c r="Q37" t="n">
        <v>4442.54</v>
      </c>
      <c r="R37" t="n">
        <v>0.87</v>
      </c>
      <c r="S37" t="n">
        <v>4347</v>
      </c>
      <c r="T37" t="n">
        <v>27</v>
      </c>
      <c r="U37" t="inlineStr">
        <is>
          <t>shallow</t>
        </is>
      </c>
      <c r="V37" t="inlineStr">
        <is>
          <t>Weak</t>
        </is>
      </c>
      <c r="W37" t="n">
        <v>1</v>
      </c>
      <c r="X37" t="inlineStr">
        <is>
          <t>No</t>
        </is>
      </c>
      <c r="Y37" t="inlineStr">
        <is>
          <t>strong bearish close</t>
        </is>
      </c>
      <c r="Z37" t="n">
        <v>0.75</v>
      </c>
      <c r="AA37" t="inlineStr">
        <is>
          <t>No</t>
        </is>
      </c>
      <c r="AB37" t="inlineStr">
        <is>
          <t>No</t>
        </is>
      </c>
    </row>
    <row r="38">
      <c r="A38" t="inlineStr">
        <is>
          <t>2026-08-18</t>
        </is>
      </c>
      <c r="B38" t="inlineStr">
        <is>
          <t>10:16</t>
        </is>
      </c>
      <c r="C38" t="inlineStr">
        <is>
          <t>MNQ</t>
        </is>
      </c>
      <c r="D38" t="inlineStr">
        <is>
          <t>Short</t>
        </is>
      </c>
      <c r="E38" t="n">
        <v>-80</v>
      </c>
      <c r="F38" t="inlineStr">
        <is>
          <t>down</t>
        </is>
      </c>
      <c r="G38" t="inlineStr">
        <is>
          <t>down</t>
        </is>
      </c>
      <c r="H38" t="inlineStr">
        <is>
          <t>down</t>
        </is>
      </c>
      <c r="I38" t="inlineStr">
        <is>
          <t>down</t>
        </is>
      </c>
      <c r="J38" t="n">
        <v>38.4</v>
      </c>
      <c r="K38" t="inlineStr">
        <is>
          <t>bear</t>
        </is>
      </c>
      <c r="L38" t="inlineStr">
        <is>
          <t>-</t>
        </is>
      </c>
      <c r="M38" t="n">
        <v>11.7</v>
      </c>
      <c r="N38" t="n">
        <v>45.4</v>
      </c>
      <c r="O38" t="n">
        <v>29665.85</v>
      </c>
      <c r="P38" t="inlineStr">
        <is>
          <t>below</t>
        </is>
      </c>
      <c r="Q38" t="n">
        <v>29691.77</v>
      </c>
      <c r="R38" t="n">
        <v>1.23</v>
      </c>
      <c r="S38" t="n">
        <v>-16933</v>
      </c>
      <c r="T38" t="n">
        <v>21</v>
      </c>
      <c r="U38" t="inlineStr">
        <is>
          <t>shallow</t>
        </is>
      </c>
      <c r="V38" t="inlineStr">
        <is>
          <t>No setup</t>
        </is>
      </c>
      <c r="W38" t="n">
        <v>0</v>
      </c>
      <c r="X38" t="inlineStr">
        <is>
          <t>ORL/Round</t>
        </is>
      </c>
      <c r="Y38" t="inlineStr">
        <is>
          <t>bullish engulfing</t>
        </is>
      </c>
      <c r="Z38" t="n">
        <v>1.45</v>
      </c>
      <c r="AA38" t="inlineStr">
        <is>
          <t>Yes</t>
        </is>
      </c>
      <c r="AB38" t="inlineStr">
        <is>
          <t>Yes</t>
        </is>
      </c>
    </row>
    <row r="39">
      <c r="A39" t="inlineStr">
        <is>
          <t>2026-08-18</t>
        </is>
      </c>
      <c r="B39" t="inlineStr">
        <is>
          <t>10:21</t>
        </is>
      </c>
      <c r="C39" t="inlineStr">
        <is>
          <t>MNQ</t>
        </is>
      </c>
      <c r="D39" t="inlineStr">
        <is>
          <t>Short</t>
        </is>
      </c>
      <c r="E39" t="n">
        <v>-295.5</v>
      </c>
      <c r="F39" t="inlineStr">
        <is>
          <t>down</t>
        </is>
      </c>
      <c r="G39" t="inlineStr">
        <is>
          <t>down</t>
        </is>
      </c>
      <c r="H39" t="inlineStr">
        <is>
          <t>down</t>
        </is>
      </c>
      <c r="I39" t="inlineStr">
        <is>
          <t>down</t>
        </is>
      </c>
      <c r="J39" t="n">
        <v>43.2</v>
      </c>
      <c r="K39" t="inlineStr">
        <is>
          <t>bear</t>
        </is>
      </c>
      <c r="L39" t="inlineStr">
        <is>
          <t>-</t>
        </is>
      </c>
      <c r="M39" t="n">
        <v>11.2</v>
      </c>
      <c r="N39" t="n">
        <v>47.03</v>
      </c>
      <c r="O39" t="n">
        <v>29663.29</v>
      </c>
      <c r="P39" t="inlineStr">
        <is>
          <t>below</t>
        </is>
      </c>
      <c r="Q39" t="n">
        <v>29691.77</v>
      </c>
      <c r="R39" t="n">
        <v>1.36</v>
      </c>
      <c r="S39" t="n">
        <v>-13177</v>
      </c>
      <c r="T39" t="n">
        <v>18</v>
      </c>
      <c r="U39" t="inlineStr">
        <is>
          <t>shallow</t>
        </is>
      </c>
      <c r="V39" t="inlineStr">
        <is>
          <t>No setup</t>
        </is>
      </c>
      <c r="W39" t="n">
        <v>0</v>
      </c>
      <c r="X39" t="inlineStr">
        <is>
          <t>ORL/Round</t>
        </is>
      </c>
      <c r="Y39" t="inlineStr">
        <is>
          <t>strong bullish close</t>
        </is>
      </c>
      <c r="Z39" t="n">
        <v>1.34</v>
      </c>
      <c r="AA39" t="inlineStr">
        <is>
          <t>Yes</t>
        </is>
      </c>
      <c r="AB39" t="inlineStr">
        <is>
          <t>Yes</t>
        </is>
      </c>
    </row>
    <row r="40">
      <c r="A40" t="inlineStr">
        <is>
          <t>2026-08-18</t>
        </is>
      </c>
      <c r="B40" t="inlineStr">
        <is>
          <t>10:48</t>
        </is>
      </c>
      <c r="C40" t="inlineStr">
        <is>
          <t>MGC</t>
        </is>
      </c>
      <c r="D40" t="inlineStr">
        <is>
          <t>Short</t>
        </is>
      </c>
      <c r="E40" t="n">
        <v>194</v>
      </c>
      <c r="F40" t="inlineStr">
        <is>
          <t>flat</t>
        </is>
      </c>
      <c r="G40" t="inlineStr">
        <is>
          <t>down</t>
        </is>
      </c>
      <c r="H40" t="inlineStr">
        <is>
          <t>down</t>
        </is>
      </c>
      <c r="I40" t="inlineStr">
        <is>
          <t>down</t>
        </is>
      </c>
      <c r="J40" t="n">
        <v>45</v>
      </c>
      <c r="K40" t="inlineStr">
        <is>
          <t>bear</t>
        </is>
      </c>
      <c r="L40" t="inlineStr">
        <is>
          <t>-</t>
        </is>
      </c>
      <c r="M40" t="n">
        <v>17.3</v>
      </c>
      <c r="N40" t="n">
        <v>8</v>
      </c>
      <c r="O40" t="n">
        <v>4449.98</v>
      </c>
      <c r="P40" t="inlineStr">
        <is>
          <t>below</t>
        </is>
      </c>
      <c r="Q40" t="n">
        <v>4442.54</v>
      </c>
      <c r="R40" t="n">
        <v>0.97</v>
      </c>
      <c r="S40" t="n">
        <v>2190</v>
      </c>
      <c r="T40" t="n">
        <v>35</v>
      </c>
      <c r="U40" t="inlineStr">
        <is>
          <t>shallow</t>
        </is>
      </c>
      <c r="V40" t="inlineStr">
        <is>
          <t>Good</t>
        </is>
      </c>
      <c r="W40" t="n">
        <v>2</v>
      </c>
      <c r="X40" t="inlineStr">
        <is>
          <t>ONL</t>
        </is>
      </c>
      <c r="Y40" t="inlineStr">
        <is>
          <t>bullish engulfing</t>
        </is>
      </c>
      <c r="Z40" t="n">
        <v>0.64</v>
      </c>
      <c r="AA40" t="inlineStr">
        <is>
          <t>Yes</t>
        </is>
      </c>
      <c r="AB40" t="inlineStr">
        <is>
          <t>No</t>
        </is>
      </c>
    </row>
    <row r="41">
      <c r="A41" t="inlineStr">
        <is>
          <t>2026-08-19</t>
        </is>
      </c>
      <c r="B41" t="inlineStr">
        <is>
          <t>09:43</t>
        </is>
      </c>
      <c r="C41" t="inlineStr">
        <is>
          <t>MNQ</t>
        </is>
      </c>
      <c r="D41" t="inlineStr">
        <is>
          <t>Short</t>
        </is>
      </c>
      <c r="E41" t="n">
        <v>427.5</v>
      </c>
      <c r="F41" t="inlineStr">
        <is>
          <t>down</t>
        </is>
      </c>
      <c r="G41" t="inlineStr">
        <is>
          <t>up</t>
        </is>
      </c>
      <c r="H41" t="inlineStr">
        <is>
          <t>up</t>
        </is>
      </c>
      <c r="I41" t="inlineStr">
        <is>
          <t>down</t>
        </is>
      </c>
      <c r="J41" t="n">
        <v>45.8</v>
      </c>
      <c r="K41" t="inlineStr">
        <is>
          <t>bull</t>
        </is>
      </c>
      <c r="L41" t="inlineStr">
        <is>
          <t>-</t>
        </is>
      </c>
      <c r="M41" t="n">
        <v>35.4</v>
      </c>
      <c r="N41" t="n">
        <v>44.57</v>
      </c>
      <c r="O41" t="n">
        <v>29645.51</v>
      </c>
      <c r="P41" t="inlineStr">
        <is>
          <t>below</t>
        </is>
      </c>
      <c r="Q41" t="n">
        <v>29694.91</v>
      </c>
      <c r="R41" t="n">
        <v>1.38</v>
      </c>
      <c r="S41" t="n">
        <v>-16404</v>
      </c>
      <c r="T41" t="n">
        <v>28</v>
      </c>
      <c r="U41" t="inlineStr">
        <is>
          <t>shallow</t>
        </is>
      </c>
      <c r="V41" t="inlineStr">
        <is>
          <t>Good</t>
        </is>
      </c>
      <c r="W41" t="n">
        <v>2</v>
      </c>
      <c r="X41" t="inlineStr">
        <is>
          <t>Round</t>
        </is>
      </c>
      <c r="Y41" t="inlineStr">
        <is>
          <t>strong bullish close</t>
        </is>
      </c>
      <c r="Z41" t="n">
        <v>3.73</v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2026-08-19</t>
        </is>
      </c>
      <c r="B42" t="inlineStr">
        <is>
          <t>12:33</t>
        </is>
      </c>
      <c r="C42" t="inlineStr">
        <is>
          <t>MNQ</t>
        </is>
      </c>
      <c r="D42" t="inlineStr">
        <is>
          <t>Short</t>
        </is>
      </c>
      <c r="E42" t="n">
        <v>46.5</v>
      </c>
      <c r="F42" t="inlineStr">
        <is>
          <t>down</t>
        </is>
      </c>
      <c r="G42" t="inlineStr">
        <is>
          <t>up</t>
        </is>
      </c>
      <c r="H42" t="inlineStr">
        <is>
          <t>down</t>
        </is>
      </c>
      <c r="I42" t="inlineStr">
        <is>
          <t>up</t>
        </is>
      </c>
      <c r="J42" t="n">
        <v>51.8</v>
      </c>
      <c r="K42" t="inlineStr">
        <is>
          <t>bull</t>
        </is>
      </c>
      <c r="L42" t="inlineStr">
        <is>
          <t>+</t>
        </is>
      </c>
      <c r="M42" t="n">
        <v>14</v>
      </c>
      <c r="N42" t="n">
        <v>39.1</v>
      </c>
      <c r="O42" t="n">
        <v>29547.55</v>
      </c>
      <c r="P42" t="inlineStr">
        <is>
          <t>above</t>
        </is>
      </c>
      <c r="Q42" t="n">
        <v>29591.36</v>
      </c>
      <c r="R42" t="n">
        <v>0.74</v>
      </c>
      <c r="S42" t="n">
        <v>-18359</v>
      </c>
      <c r="T42" t="n">
        <v>63</v>
      </c>
      <c r="U42" t="inlineStr">
        <is>
          <t>deep</t>
        </is>
      </c>
      <c r="V42" t="inlineStr">
        <is>
          <t>Weak</t>
        </is>
      </c>
      <c r="W42" t="n">
        <v>1</v>
      </c>
      <c r="X42" t="inlineStr">
        <is>
          <t>Round</t>
        </is>
      </c>
      <c r="Y42" t="inlineStr">
        <is>
          <t>strong bullish close</t>
        </is>
      </c>
      <c r="Z42" t="n">
        <v>0.6899999999999999</v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2026-08-19</t>
        </is>
      </c>
      <c r="B43" t="inlineStr">
        <is>
          <t>14:34</t>
        </is>
      </c>
      <c r="C43" t="inlineStr">
        <is>
          <t>MGC</t>
        </is>
      </c>
      <c r="D43" t="inlineStr">
        <is>
          <t>Short</t>
        </is>
      </c>
      <c r="E43" t="n">
        <v>-207</v>
      </c>
      <c r="F43" t="inlineStr">
        <is>
          <t>up</t>
        </is>
      </c>
      <c r="G43" t="inlineStr">
        <is>
          <t>up</t>
        </is>
      </c>
      <c r="H43" t="inlineStr">
        <is>
          <t>up</t>
        </is>
      </c>
      <c r="I43" t="inlineStr">
        <is>
          <t>down</t>
        </is>
      </c>
      <c r="J43" t="n">
        <v>42.1</v>
      </c>
      <c r="K43" t="inlineStr">
        <is>
          <t>bear</t>
        </is>
      </c>
      <c r="L43" t="inlineStr">
        <is>
          <t>-</t>
        </is>
      </c>
      <c r="M43" t="n">
        <v>16.9</v>
      </c>
      <c r="N43" t="n">
        <v>5.76</v>
      </c>
      <c r="O43" t="n">
        <v>4537.69</v>
      </c>
      <c r="P43" t="inlineStr">
        <is>
          <t>above</t>
        </is>
      </c>
      <c r="Q43" t="n">
        <v>4542.69</v>
      </c>
      <c r="R43" t="n">
        <v>10.86</v>
      </c>
      <c r="S43" t="n">
        <v>7653</v>
      </c>
      <c r="T43" t="n">
        <v>34</v>
      </c>
      <c r="U43" t="inlineStr">
        <is>
          <t>shallow</t>
        </is>
      </c>
      <c r="V43" t="inlineStr">
        <is>
          <t>Weak</t>
        </is>
      </c>
      <c r="W43" t="n">
        <v>1</v>
      </c>
      <c r="X43" t="inlineStr">
        <is>
          <t>Round</t>
        </is>
      </c>
      <c r="Y43" t="inlineStr">
        <is>
          <t>strong bullish close</t>
        </is>
      </c>
      <c r="Z43" t="n">
        <v>3.11</v>
      </c>
      <c r="AA43" t="inlineStr">
        <is>
          <t>No</t>
        </is>
      </c>
      <c r="AB43" t="inlineStr">
        <is>
          <t>No</t>
        </is>
      </c>
    </row>
    <row r="44">
      <c r="A44" t="inlineStr">
        <is>
          <t>2026-08-19</t>
        </is>
      </c>
      <c r="B44" t="inlineStr">
        <is>
          <t>15:00</t>
        </is>
      </c>
      <c r="C44" t="inlineStr">
        <is>
          <t>MNQ</t>
        </is>
      </c>
      <c r="D44" t="inlineStr">
        <is>
          <t>Short</t>
        </is>
      </c>
      <c r="E44" t="n">
        <v>-120</v>
      </c>
      <c r="F44" t="inlineStr">
        <is>
          <t>down</t>
        </is>
      </c>
      <c r="G44" t="inlineStr">
        <is>
          <t>up</t>
        </is>
      </c>
      <c r="H44" t="inlineStr">
        <is>
          <t>down</t>
        </is>
      </c>
      <c r="I44" t="inlineStr">
        <is>
          <t>down</t>
        </is>
      </c>
      <c r="J44" t="n">
        <v>47.9</v>
      </c>
      <c r="K44" t="inlineStr">
        <is>
          <t>bear</t>
        </is>
      </c>
      <c r="L44" t="inlineStr">
        <is>
          <t>+</t>
        </is>
      </c>
      <c r="M44" t="n">
        <v>14.6</v>
      </c>
      <c r="N44" t="n">
        <v>29.18</v>
      </c>
      <c r="O44" t="n">
        <v>29547.32</v>
      </c>
      <c r="P44" t="inlineStr">
        <is>
          <t>below</t>
        </is>
      </c>
      <c r="Q44" t="n">
        <v>29545.49</v>
      </c>
      <c r="R44" t="n">
        <v>0.93</v>
      </c>
      <c r="S44" t="n">
        <v>-30447</v>
      </c>
      <c r="T44" t="n">
        <v>30</v>
      </c>
      <c r="U44" t="inlineStr">
        <is>
          <t>shallow</t>
        </is>
      </c>
      <c r="V44" t="inlineStr">
        <is>
          <t>Weak</t>
        </is>
      </c>
      <c r="W44" t="n">
        <v>1</v>
      </c>
      <c r="X44" t="inlineStr">
        <is>
          <t>Round</t>
        </is>
      </c>
      <c r="Z44" t="n">
        <v>0.93</v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2026-08-20</t>
        </is>
      </c>
      <c r="B45" t="inlineStr">
        <is>
          <t>09:51</t>
        </is>
      </c>
      <c r="C45" t="inlineStr">
        <is>
          <t>MGC</t>
        </is>
      </c>
      <c r="D45" t="inlineStr">
        <is>
          <t>Long</t>
        </is>
      </c>
      <c r="E45" t="n">
        <v>656</v>
      </c>
      <c r="F45" t="inlineStr">
        <is>
          <t>up</t>
        </is>
      </c>
      <c r="G45" t="inlineStr">
        <is>
          <t>up</t>
        </is>
      </c>
      <c r="H45" t="inlineStr">
        <is>
          <t>up</t>
        </is>
      </c>
      <c r="I45" t="inlineStr">
        <is>
          <t>up</t>
        </is>
      </c>
      <c r="J45" t="n">
        <v>59.9</v>
      </c>
      <c r="K45" t="inlineStr">
        <is>
          <t>bull</t>
        </is>
      </c>
      <c r="L45" t="inlineStr">
        <is>
          <t>+</t>
        </is>
      </c>
      <c r="M45" t="n">
        <v>23.6</v>
      </c>
      <c r="N45" t="n">
        <v>7.27</v>
      </c>
      <c r="O45" t="n">
        <v>4535.7</v>
      </c>
      <c r="P45" t="inlineStr">
        <is>
          <t>above</t>
        </is>
      </c>
      <c r="Q45" t="n">
        <v>4535.01</v>
      </c>
      <c r="R45" t="n">
        <v>0.89</v>
      </c>
      <c r="S45" t="n">
        <v>3813</v>
      </c>
      <c r="T45" t="n">
        <v>15</v>
      </c>
      <c r="U45" t="inlineStr">
        <is>
          <t>extended (no pullback)</t>
        </is>
      </c>
      <c r="V45" t="inlineStr">
        <is>
          <t>Good</t>
        </is>
      </c>
      <c r="W45" t="n">
        <v>2</v>
      </c>
      <c r="X45" t="inlineStr">
        <is>
          <t>Round</t>
        </is>
      </c>
      <c r="Y45" t="inlineStr">
        <is>
          <t>strong bullish close</t>
        </is>
      </c>
      <c r="Z45" t="n">
        <v>0.89</v>
      </c>
      <c r="AA45" t="inlineStr">
        <is>
          <t>Yes</t>
        </is>
      </c>
      <c r="AB45" t="inlineStr">
        <is>
          <t>Yes</t>
        </is>
      </c>
    </row>
    <row r="46">
      <c r="A46" t="inlineStr">
        <is>
          <t>2026-08-20</t>
        </is>
      </c>
      <c r="B46" t="inlineStr">
        <is>
          <t>10:05</t>
        </is>
      </c>
      <c r="C46" t="inlineStr">
        <is>
          <t>MNQ</t>
        </is>
      </c>
      <c r="D46" t="inlineStr">
        <is>
          <t>Long</t>
        </is>
      </c>
      <c r="E46" t="n">
        <v>-25</v>
      </c>
      <c r="F46" t="inlineStr">
        <is>
          <t>down</t>
        </is>
      </c>
      <c r="G46" t="inlineStr">
        <is>
          <t>down</t>
        </is>
      </c>
      <c r="H46" t="inlineStr">
        <is>
          <t>up</t>
        </is>
      </c>
      <c r="I46" t="inlineStr">
        <is>
          <t>up</t>
        </is>
      </c>
      <c r="J46" t="n">
        <v>53.1</v>
      </c>
      <c r="K46" t="inlineStr">
        <is>
          <t>bull</t>
        </is>
      </c>
      <c r="L46" t="inlineStr">
        <is>
          <t>+</t>
        </is>
      </c>
      <c r="M46" t="n">
        <v>23.5</v>
      </c>
      <c r="N46" t="n">
        <v>54.46</v>
      </c>
      <c r="O46" t="n">
        <v>29386.98</v>
      </c>
      <c r="P46" t="inlineStr">
        <is>
          <t>below</t>
        </is>
      </c>
      <c r="Q46" t="n">
        <v>29355.18</v>
      </c>
      <c r="R46" t="n">
        <v>1.06</v>
      </c>
      <c r="S46" t="n">
        <v>16581</v>
      </c>
      <c r="T46" t="n">
        <v>61</v>
      </c>
      <c r="U46" t="inlineStr">
        <is>
          <t>golden</t>
        </is>
      </c>
      <c r="V46" t="inlineStr">
        <is>
          <t>Weak</t>
        </is>
      </c>
      <c r="W46" t="n">
        <v>1</v>
      </c>
      <c r="X46" t="inlineStr">
        <is>
          <t>ORL/Round</t>
        </is>
      </c>
      <c r="Y46" t="inlineStr">
        <is>
          <t>bullish engulfing</t>
        </is>
      </c>
      <c r="Z46" t="n">
        <v>1.51</v>
      </c>
      <c r="AA46" t="inlineStr">
        <is>
          <t>No</t>
        </is>
      </c>
      <c r="AB46" t="inlineStr">
        <is>
          <t>No</t>
        </is>
      </c>
    </row>
    <row r="47">
      <c r="A47" t="inlineStr">
        <is>
          <t>2026-08-21</t>
        </is>
      </c>
      <c r="B47" t="inlineStr">
        <is>
          <t>09:52</t>
        </is>
      </c>
      <c r="C47" t="inlineStr">
        <is>
          <t>MGC</t>
        </is>
      </c>
      <c r="D47" t="inlineStr">
        <is>
          <t>Long</t>
        </is>
      </c>
      <c r="E47" t="n">
        <v>542</v>
      </c>
      <c r="F47" t="inlineStr">
        <is>
          <t>up</t>
        </is>
      </c>
      <c r="G47" t="inlineStr">
        <is>
          <t>up</t>
        </is>
      </c>
      <c r="H47" t="inlineStr">
        <is>
          <t>up</t>
        </is>
      </c>
      <c r="I47" t="inlineStr">
        <is>
          <t>down</t>
        </is>
      </c>
      <c r="J47" t="n">
        <v>47.2</v>
      </c>
      <c r="K47" t="inlineStr">
        <is>
          <t>bear</t>
        </is>
      </c>
      <c r="L47" t="inlineStr">
        <is>
          <t>+</t>
        </is>
      </c>
      <c r="M47" t="n">
        <v>22.9</v>
      </c>
      <c r="N47" t="n">
        <v>8.48</v>
      </c>
      <c r="O47" t="n">
        <v>4641.06</v>
      </c>
      <c r="P47" t="inlineStr">
        <is>
          <t>below</t>
        </is>
      </c>
      <c r="Q47" t="n">
        <v>4638.84</v>
      </c>
      <c r="R47" t="n">
        <v>1.4</v>
      </c>
      <c r="S47" t="n">
        <v>327</v>
      </c>
      <c r="T47" t="n">
        <v>39</v>
      </c>
      <c r="U47" t="inlineStr">
        <is>
          <t>golden</t>
        </is>
      </c>
      <c r="V47" t="inlineStr">
        <is>
          <t>Good</t>
        </is>
      </c>
      <c r="W47" t="n">
        <v>2</v>
      </c>
      <c r="X47" t="inlineStr">
        <is>
          <t>Round</t>
        </is>
      </c>
      <c r="Z47" t="n">
        <v>1.35</v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2026-08-23</t>
        </is>
      </c>
      <c r="B48" t="inlineStr">
        <is>
          <t>19:35</t>
        </is>
      </c>
      <c r="C48" t="inlineStr">
        <is>
          <t>MGC</t>
        </is>
      </c>
      <c r="D48" t="inlineStr">
        <is>
          <t>Long</t>
        </is>
      </c>
      <c r="E48" t="n">
        <v>-62</v>
      </c>
      <c r="F48" t="inlineStr">
        <is>
          <t>up</t>
        </is>
      </c>
      <c r="G48" t="inlineStr">
        <is>
          <t>up</t>
        </is>
      </c>
      <c r="H48" t="inlineStr">
        <is>
          <t>up</t>
        </is>
      </c>
      <c r="I48" t="inlineStr">
        <is>
          <t>up</t>
        </is>
      </c>
      <c r="J48" t="n">
        <v>51.2</v>
      </c>
      <c r="K48" t="inlineStr">
        <is>
          <t>bull</t>
        </is>
      </c>
      <c r="L48" t="inlineStr">
        <is>
          <t>+</t>
        </is>
      </c>
      <c r="M48" t="n">
        <v>17.6</v>
      </c>
      <c r="N48" t="n">
        <v>4.28</v>
      </c>
      <c r="O48" t="n">
        <v>4670.17</v>
      </c>
      <c r="P48" t="inlineStr">
        <is>
          <t>below</t>
        </is>
      </c>
      <c r="Q48" t="n">
        <v>4673.3</v>
      </c>
      <c r="R48" t="n">
        <v>2.21</v>
      </c>
      <c r="S48" t="n">
        <v>-33</v>
      </c>
      <c r="T48" t="n">
        <v>203</v>
      </c>
      <c r="U48" t="inlineStr">
        <is>
          <t>broke the leg (reversal risk)</t>
        </is>
      </c>
      <c r="V48" t="inlineStr">
        <is>
          <t>Weak</t>
        </is>
      </c>
      <c r="W48" t="n">
        <v>1</v>
      </c>
      <c r="X48" t="inlineStr">
        <is>
          <t>Round</t>
        </is>
      </c>
      <c r="Y48" t="inlineStr">
        <is>
          <t>strong bearish close</t>
        </is>
      </c>
      <c r="Z48" t="n">
        <v>1.48</v>
      </c>
      <c r="AA48" t="inlineStr">
        <is>
          <t>Yes</t>
        </is>
      </c>
      <c r="AB48" t="inlineStr">
        <is>
          <t>Yes</t>
        </is>
      </c>
    </row>
    <row r="49">
      <c r="A49" t="inlineStr">
        <is>
          <t>2026-08-23</t>
        </is>
      </c>
      <c r="B49" t="inlineStr">
        <is>
          <t>19:46</t>
        </is>
      </c>
      <c r="C49" t="inlineStr">
        <is>
          <t>MGC</t>
        </is>
      </c>
      <c r="D49" t="inlineStr">
        <is>
          <t>Long</t>
        </is>
      </c>
      <c r="E49" t="n">
        <v>120</v>
      </c>
      <c r="F49" t="inlineStr">
        <is>
          <t>up</t>
        </is>
      </c>
      <c r="G49" t="inlineStr">
        <is>
          <t>up</t>
        </is>
      </c>
      <c r="H49" t="inlineStr">
        <is>
          <t>up</t>
        </is>
      </c>
      <c r="I49" t="inlineStr">
        <is>
          <t>up</t>
        </is>
      </c>
      <c r="J49" t="n">
        <v>53</v>
      </c>
      <c r="K49" t="inlineStr">
        <is>
          <t>bear</t>
        </is>
      </c>
      <c r="L49" t="inlineStr">
        <is>
          <t>+</t>
        </is>
      </c>
      <c r="M49" t="n">
        <v>15.3</v>
      </c>
      <c r="N49" t="n">
        <v>4.64</v>
      </c>
      <c r="O49" t="n">
        <v>4669.92</v>
      </c>
      <c r="P49" t="inlineStr">
        <is>
          <t>below</t>
        </is>
      </c>
      <c r="Q49" t="n">
        <v>4673.3</v>
      </c>
      <c r="R49" t="n">
        <v>1.73</v>
      </c>
      <c r="S49" t="n">
        <v>-64</v>
      </c>
      <c r="T49" t="n">
        <v>253</v>
      </c>
      <c r="U49" t="inlineStr">
        <is>
          <t>broke the leg (reversal risk)</t>
        </is>
      </c>
      <c r="V49" t="inlineStr">
        <is>
          <t>No setup</t>
        </is>
      </c>
      <c r="W49" t="n">
        <v>0</v>
      </c>
      <c r="X49" t="inlineStr">
        <is>
          <t>Round</t>
        </is>
      </c>
      <c r="Y49" t="inlineStr">
        <is>
          <t>strong bullish close</t>
        </is>
      </c>
      <c r="Z49" t="n">
        <v>1.34</v>
      </c>
      <c r="AA49" t="inlineStr">
        <is>
          <t>Yes</t>
        </is>
      </c>
      <c r="AB49" t="inlineStr">
        <is>
          <t>Yes</t>
        </is>
      </c>
    </row>
    <row r="50">
      <c r="A50" t="inlineStr">
        <is>
          <t>2026-08-23</t>
        </is>
      </c>
      <c r="B50" t="inlineStr">
        <is>
          <t>20:23</t>
        </is>
      </c>
      <c r="C50" t="inlineStr">
        <is>
          <t>MGC</t>
        </is>
      </c>
      <c r="D50" t="inlineStr">
        <is>
          <t>Long</t>
        </is>
      </c>
      <c r="E50" t="n">
        <v>-61</v>
      </c>
      <c r="F50" t="inlineStr">
        <is>
          <t>up</t>
        </is>
      </c>
      <c r="G50" t="inlineStr">
        <is>
          <t>up</t>
        </is>
      </c>
      <c r="H50" t="inlineStr">
        <is>
          <t>up</t>
        </is>
      </c>
      <c r="I50" t="inlineStr">
        <is>
          <t>down</t>
        </is>
      </c>
      <c r="J50" t="n">
        <v>45.3</v>
      </c>
      <c r="K50" t="inlineStr">
        <is>
          <t>bull</t>
        </is>
      </c>
      <c r="L50" t="inlineStr">
        <is>
          <t>+</t>
        </is>
      </c>
      <c r="M50" t="n">
        <v>21.8</v>
      </c>
      <c r="N50" t="n">
        <v>6.88</v>
      </c>
      <c r="O50" t="n">
        <v>4678.58</v>
      </c>
      <c r="P50" t="inlineStr">
        <is>
          <t>below</t>
        </is>
      </c>
      <c r="Q50" t="n">
        <v>4690.8</v>
      </c>
      <c r="R50" t="n">
        <v>3.05</v>
      </c>
      <c r="S50" t="n">
        <v>-120</v>
      </c>
      <c r="T50" t="n">
        <v>150</v>
      </c>
      <c r="U50" t="inlineStr">
        <is>
          <t>broke the leg (reversal risk)</t>
        </is>
      </c>
      <c r="V50" t="inlineStr">
        <is>
          <t>Weak</t>
        </is>
      </c>
      <c r="W50" t="n">
        <v>1</v>
      </c>
      <c r="X50" t="inlineStr">
        <is>
          <t>Round</t>
        </is>
      </c>
      <c r="Y50" t="inlineStr">
        <is>
          <t>strong bearish close</t>
        </is>
      </c>
      <c r="Z50" t="n">
        <v>2.77</v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2026-08-23</t>
        </is>
      </c>
      <c r="B51" t="inlineStr">
        <is>
          <t>20:28</t>
        </is>
      </c>
      <c r="C51" t="inlineStr">
        <is>
          <t>MGC</t>
        </is>
      </c>
      <c r="D51" t="inlineStr">
        <is>
          <t>Long</t>
        </is>
      </c>
      <c r="E51" t="n">
        <v>229</v>
      </c>
      <c r="F51" t="inlineStr">
        <is>
          <t>up</t>
        </is>
      </c>
      <c r="G51" t="inlineStr">
        <is>
          <t>up</t>
        </is>
      </c>
      <c r="H51" t="inlineStr">
        <is>
          <t>up</t>
        </is>
      </c>
      <c r="I51" t="inlineStr">
        <is>
          <t>down</t>
        </is>
      </c>
      <c r="J51" t="n">
        <v>39.7</v>
      </c>
      <c r="K51" t="inlineStr">
        <is>
          <t>bull</t>
        </is>
      </c>
      <c r="L51" t="inlineStr">
        <is>
          <t>-</t>
        </is>
      </c>
      <c r="M51" t="n">
        <v>22.2</v>
      </c>
      <c r="N51" t="n">
        <v>7.7</v>
      </c>
      <c r="O51" t="n">
        <v>4676.5</v>
      </c>
      <c r="P51" t="inlineStr">
        <is>
          <t>below</t>
        </is>
      </c>
      <c r="Q51" t="n">
        <v>4660.57</v>
      </c>
      <c r="R51" t="n">
        <v>3.53</v>
      </c>
      <c r="S51" t="n">
        <v>-11</v>
      </c>
      <c r="V51" t="inlineStr">
        <is>
          <t>Weak</t>
        </is>
      </c>
      <c r="W51" t="n">
        <v>1</v>
      </c>
      <c r="X51" t="inlineStr">
        <is>
          <t>Round</t>
        </is>
      </c>
      <c r="Z51" t="n">
        <v>3.79</v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2026-08-23</t>
        </is>
      </c>
      <c r="B52" t="inlineStr">
        <is>
          <t>22:57</t>
        </is>
      </c>
      <c r="C52" t="inlineStr">
        <is>
          <t>MGC</t>
        </is>
      </c>
      <c r="D52" t="inlineStr">
        <is>
          <t>Long</t>
        </is>
      </c>
      <c r="E52" t="n">
        <v>-63</v>
      </c>
      <c r="F52" t="inlineStr">
        <is>
          <t>up</t>
        </is>
      </c>
      <c r="G52" t="inlineStr">
        <is>
          <t>up</t>
        </is>
      </c>
      <c r="H52" t="inlineStr">
        <is>
          <t>up</t>
        </is>
      </c>
      <c r="I52" t="inlineStr">
        <is>
          <t>down</t>
        </is>
      </c>
      <c r="J52" t="n">
        <v>57.9</v>
      </c>
      <c r="K52" t="inlineStr">
        <is>
          <t>bull</t>
        </is>
      </c>
      <c r="L52" t="inlineStr">
        <is>
          <t>-</t>
        </is>
      </c>
      <c r="M52" t="n">
        <v>20.5</v>
      </c>
      <c r="N52" t="n">
        <v>8.43</v>
      </c>
      <c r="O52" t="n">
        <v>4683.05</v>
      </c>
      <c r="P52" t="inlineStr">
        <is>
          <t>below</t>
        </is>
      </c>
      <c r="Q52" t="n">
        <v>4689.77</v>
      </c>
      <c r="R52" t="n">
        <v>1.84</v>
      </c>
      <c r="S52" t="n">
        <v>1598</v>
      </c>
      <c r="T52" t="n">
        <v>81</v>
      </c>
      <c r="U52" t="inlineStr">
        <is>
          <t>broke the leg (reversal risk)</t>
        </is>
      </c>
      <c r="V52" t="inlineStr">
        <is>
          <t>Weak</t>
        </is>
      </c>
      <c r="W52" t="n">
        <v>1</v>
      </c>
      <c r="X52" t="inlineStr">
        <is>
          <t>Round</t>
        </is>
      </c>
      <c r="Y52" t="inlineStr">
        <is>
          <t>strong bullish close</t>
        </is>
      </c>
      <c r="Z52" t="n">
        <v>0.77</v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2026-08-24</t>
        </is>
      </c>
      <c r="B53" t="inlineStr">
        <is>
          <t>00:18</t>
        </is>
      </c>
      <c r="C53" t="inlineStr">
        <is>
          <t>MGC</t>
        </is>
      </c>
      <c r="D53" t="inlineStr">
        <is>
          <t>Long</t>
        </is>
      </c>
      <c r="E53" t="n">
        <v>16</v>
      </c>
      <c r="F53" t="inlineStr">
        <is>
          <t>up</t>
        </is>
      </c>
      <c r="G53" t="inlineStr">
        <is>
          <t>up</t>
        </is>
      </c>
      <c r="H53" t="inlineStr">
        <is>
          <t>up</t>
        </is>
      </c>
      <c r="I53" t="inlineStr">
        <is>
          <t>down</t>
        </is>
      </c>
      <c r="J53" t="n">
        <v>50.7</v>
      </c>
      <c r="K53" t="inlineStr">
        <is>
          <t>bull</t>
        </is>
      </c>
      <c r="L53" t="inlineStr">
        <is>
          <t>-</t>
        </is>
      </c>
      <c r="M53" t="n">
        <v>12.9</v>
      </c>
      <c r="N53" t="n">
        <v>6.23</v>
      </c>
      <c r="O53" t="n">
        <v>4684.84</v>
      </c>
      <c r="P53" t="inlineStr">
        <is>
          <t>above</t>
        </is>
      </c>
      <c r="Q53" t="n">
        <v>4689.77</v>
      </c>
      <c r="R53" t="n">
        <v>0.91</v>
      </c>
      <c r="S53" t="n">
        <v>1115</v>
      </c>
      <c r="T53" t="n">
        <v>30</v>
      </c>
      <c r="U53" t="inlineStr">
        <is>
          <t>shallow</t>
        </is>
      </c>
      <c r="V53" t="inlineStr">
        <is>
          <t>Weak</t>
        </is>
      </c>
      <c r="W53" t="n">
        <v>1</v>
      </c>
      <c r="X53" t="inlineStr">
        <is>
          <t>No</t>
        </is>
      </c>
      <c r="Y53" t="inlineStr">
        <is>
          <t>strong bullish close</t>
        </is>
      </c>
      <c r="Z53" t="n">
        <v>0.52</v>
      </c>
      <c r="AA53" t="inlineStr">
        <is>
          <t>No</t>
        </is>
      </c>
      <c r="AB53" t="inlineStr">
        <is>
          <t>Yes</t>
        </is>
      </c>
    </row>
    <row r="54">
      <c r="A54" t="inlineStr">
        <is>
          <t>2026-08-24</t>
        </is>
      </c>
      <c r="B54" t="inlineStr">
        <is>
          <t>09:39</t>
        </is>
      </c>
      <c r="C54" t="inlineStr">
        <is>
          <t>MGC</t>
        </is>
      </c>
      <c r="D54" t="inlineStr">
        <is>
          <t>Long</t>
        </is>
      </c>
      <c r="E54" t="n">
        <v>-120</v>
      </c>
      <c r="F54" t="inlineStr">
        <is>
          <t>up</t>
        </is>
      </c>
      <c r="G54" t="inlineStr">
        <is>
          <t>up</t>
        </is>
      </c>
      <c r="H54" t="inlineStr">
        <is>
          <t>up</t>
        </is>
      </c>
      <c r="I54" t="inlineStr">
        <is>
          <t>up</t>
        </is>
      </c>
      <c r="J54" t="n">
        <v>53.1</v>
      </c>
      <c r="K54" t="inlineStr">
        <is>
          <t>bull</t>
        </is>
      </c>
      <c r="L54" t="inlineStr">
        <is>
          <t>+</t>
        </is>
      </c>
      <c r="M54" t="n">
        <v>23.4</v>
      </c>
      <c r="N54" t="n">
        <v>8.32</v>
      </c>
      <c r="T54" t="n">
        <v>27</v>
      </c>
      <c r="U54" t="inlineStr">
        <is>
          <t>shallow</t>
        </is>
      </c>
      <c r="V54" t="inlineStr">
        <is>
          <t>Good</t>
        </is>
      </c>
      <c r="W54" t="n">
        <v>2</v>
      </c>
      <c r="X54" t="inlineStr">
        <is>
          <t>No</t>
        </is>
      </c>
      <c r="Y54" t="inlineStr">
        <is>
          <t>strong bearish close</t>
        </is>
      </c>
      <c r="Z54" t="n">
        <v>2.06</v>
      </c>
      <c r="AA54" t="inlineStr">
        <is>
          <t>Yes</t>
        </is>
      </c>
      <c r="AB54" t="inlineStr">
        <is>
          <t>Yes</t>
        </is>
      </c>
    </row>
    <row r="55">
      <c r="A55" t="inlineStr">
        <is>
          <t>2026-08-24</t>
        </is>
      </c>
      <c r="B55" t="inlineStr">
        <is>
          <t>10:58</t>
        </is>
      </c>
      <c r="C55" t="inlineStr">
        <is>
          <t>MNQ</t>
        </is>
      </c>
      <c r="D55" t="inlineStr">
        <is>
          <t>Long</t>
        </is>
      </c>
      <c r="E55" t="n">
        <v>-106.5</v>
      </c>
      <c r="F55" t="inlineStr">
        <is>
          <t>down</t>
        </is>
      </c>
      <c r="G55" t="inlineStr">
        <is>
          <t>down</t>
        </is>
      </c>
      <c r="H55" t="inlineStr">
        <is>
          <t>down</t>
        </is>
      </c>
      <c r="I55" t="inlineStr">
        <is>
          <t>down</t>
        </is>
      </c>
      <c r="J55" t="n">
        <v>48.6</v>
      </c>
      <c r="K55" t="inlineStr">
        <is>
          <t>bear</t>
        </is>
      </c>
      <c r="L55" t="inlineStr">
        <is>
          <t>+</t>
        </is>
      </c>
      <c r="M55" t="n">
        <v>24.6</v>
      </c>
      <c r="N55" t="n">
        <v>44.21</v>
      </c>
      <c r="O55" t="n">
        <v>29047.95</v>
      </c>
      <c r="P55" t="inlineStr">
        <is>
          <t>above</t>
        </is>
      </c>
      <c r="Q55" t="n">
        <v>29002.3</v>
      </c>
      <c r="R55" t="n">
        <v>0.83</v>
      </c>
      <c r="S55" t="n">
        <v>-22834</v>
      </c>
      <c r="T55" t="n">
        <v>18</v>
      </c>
      <c r="U55" t="inlineStr">
        <is>
          <t>shallow</t>
        </is>
      </c>
      <c r="V55" t="inlineStr">
        <is>
          <t>Weak</t>
        </is>
      </c>
      <c r="W55" t="n">
        <v>1</v>
      </c>
      <c r="X55" t="inlineStr">
        <is>
          <t>Round</t>
        </is>
      </c>
      <c r="Y55" t="inlineStr">
        <is>
          <t>strong bearish close</t>
        </is>
      </c>
      <c r="Z55" t="n">
        <v>0.59</v>
      </c>
      <c r="AA55" t="inlineStr">
        <is>
          <t>No</t>
        </is>
      </c>
      <c r="AB55" t="inlineStr">
        <is>
          <t>No</t>
        </is>
      </c>
    </row>
    <row r="56">
      <c r="A56" t="inlineStr">
        <is>
          <t>2026-08-24</t>
        </is>
      </c>
      <c r="B56" t="inlineStr">
        <is>
          <t>11:13</t>
        </is>
      </c>
      <c r="C56" t="inlineStr">
        <is>
          <t>MNQ</t>
        </is>
      </c>
      <c r="D56" t="inlineStr">
        <is>
          <t>Short</t>
        </is>
      </c>
      <c r="E56" t="n">
        <v>-240</v>
      </c>
      <c r="F56" t="inlineStr">
        <is>
          <t>down</t>
        </is>
      </c>
      <c r="G56" t="inlineStr">
        <is>
          <t>down</t>
        </is>
      </c>
      <c r="H56" t="inlineStr">
        <is>
          <t>down</t>
        </is>
      </c>
      <c r="I56" t="inlineStr">
        <is>
          <t>down</t>
        </is>
      </c>
      <c r="J56" t="n">
        <v>43</v>
      </c>
      <c r="K56" t="inlineStr">
        <is>
          <t>bear</t>
        </is>
      </c>
      <c r="L56" t="inlineStr">
        <is>
          <t>+</t>
        </is>
      </c>
      <c r="M56" t="n">
        <v>22.1</v>
      </c>
      <c r="N56" t="n">
        <v>42.16</v>
      </c>
      <c r="O56" t="n">
        <v>29049.15</v>
      </c>
      <c r="P56" t="inlineStr">
        <is>
          <t>above</t>
        </is>
      </c>
      <c r="Q56" t="n">
        <v>29002.3</v>
      </c>
      <c r="R56" t="n">
        <v>0.82</v>
      </c>
      <c r="S56" t="n">
        <v>-28614</v>
      </c>
      <c r="T56" t="n">
        <v>36</v>
      </c>
      <c r="U56" t="inlineStr">
        <is>
          <t>shallow</t>
        </is>
      </c>
      <c r="V56" t="inlineStr">
        <is>
          <t>Good</t>
        </is>
      </c>
      <c r="W56" t="n">
        <v>2</v>
      </c>
      <c r="X56" t="inlineStr">
        <is>
          <t>Round</t>
        </is>
      </c>
      <c r="Y56" t="inlineStr">
        <is>
          <t>strong bearish close</t>
        </is>
      </c>
      <c r="Z56" t="n">
        <v>0.46</v>
      </c>
      <c r="AA56" t="inlineStr">
        <is>
          <t>Yes</t>
        </is>
      </c>
      <c r="AB56" t="inlineStr">
        <is>
          <t>Yes</t>
        </is>
      </c>
    </row>
    <row r="57">
      <c r="A57" t="inlineStr">
        <is>
          <t>2026-08-25</t>
        </is>
      </c>
      <c r="B57" t="inlineStr">
        <is>
          <t>09:50</t>
        </is>
      </c>
      <c r="C57" t="inlineStr">
        <is>
          <t>MGC</t>
        </is>
      </c>
      <c r="D57" t="inlineStr">
        <is>
          <t>Short</t>
        </is>
      </c>
      <c r="E57" t="n">
        <v>-225</v>
      </c>
      <c r="F57" t="inlineStr">
        <is>
          <t>flat</t>
        </is>
      </c>
      <c r="G57" t="inlineStr">
        <is>
          <t>down</t>
        </is>
      </c>
      <c r="H57" t="inlineStr">
        <is>
          <t>down</t>
        </is>
      </c>
      <c r="I57" t="inlineStr">
        <is>
          <t>down</t>
        </is>
      </c>
      <c r="J57" t="n">
        <v>33.3</v>
      </c>
      <c r="K57" t="inlineStr">
        <is>
          <t>bear</t>
        </is>
      </c>
      <c r="L57" t="inlineStr">
        <is>
          <t>-</t>
        </is>
      </c>
      <c r="M57" t="n">
        <v>29.2</v>
      </c>
      <c r="N57" t="n">
        <v>8.199999999999999</v>
      </c>
      <c r="O57" t="n">
        <v>4667.74</v>
      </c>
      <c r="P57" t="inlineStr">
        <is>
          <t>below</t>
        </is>
      </c>
      <c r="Q57" t="n">
        <v>4671.26</v>
      </c>
      <c r="R57" t="n">
        <v>1.06</v>
      </c>
      <c r="S57" t="n">
        <v>-1293</v>
      </c>
      <c r="T57" t="n">
        <v>10</v>
      </c>
      <c r="U57" t="inlineStr">
        <is>
          <t>extended (no pullback)</t>
        </is>
      </c>
      <c r="V57" t="inlineStr">
        <is>
          <t>Weak</t>
        </is>
      </c>
      <c r="W57" t="n">
        <v>1</v>
      </c>
      <c r="X57" t="inlineStr">
        <is>
          <t>ONL/Round</t>
        </is>
      </c>
      <c r="Y57" t="inlineStr">
        <is>
          <t>bearish pin</t>
        </is>
      </c>
      <c r="Z57" t="n">
        <v>1.36</v>
      </c>
      <c r="AA57" t="inlineStr">
        <is>
          <t>Yes</t>
        </is>
      </c>
      <c r="AB57" t="inlineStr">
        <is>
          <t>No</t>
        </is>
      </c>
    </row>
    <row r="58">
      <c r="A58" t="inlineStr">
        <is>
          <t>2026-08-25</t>
        </is>
      </c>
      <c r="B58" t="inlineStr">
        <is>
          <t>10:22</t>
        </is>
      </c>
      <c r="C58" t="inlineStr">
        <is>
          <t>MNQ</t>
        </is>
      </c>
      <c r="D58" t="inlineStr">
        <is>
          <t>Long</t>
        </is>
      </c>
      <c r="E58" t="n">
        <v>-90</v>
      </c>
      <c r="F58" t="inlineStr">
        <is>
          <t>down</t>
        </is>
      </c>
      <c r="G58" t="inlineStr">
        <is>
          <t>up</t>
        </is>
      </c>
      <c r="H58" t="inlineStr">
        <is>
          <t>down</t>
        </is>
      </c>
      <c r="I58" t="inlineStr">
        <is>
          <t>down</t>
        </is>
      </c>
      <c r="J58" t="n">
        <v>34.8</v>
      </c>
      <c r="K58" t="inlineStr">
        <is>
          <t>bear</t>
        </is>
      </c>
      <c r="L58" t="inlineStr">
        <is>
          <t>-</t>
        </is>
      </c>
      <c r="M58" t="n">
        <v>20.8</v>
      </c>
      <c r="N58" t="n">
        <v>41.2</v>
      </c>
      <c r="O58" t="n">
        <v>29315.54</v>
      </c>
      <c r="P58" t="inlineStr">
        <is>
          <t>below</t>
        </is>
      </c>
      <c r="Q58" t="n">
        <v>29329.98</v>
      </c>
      <c r="R58" t="n">
        <v>1.16</v>
      </c>
      <c r="S58" t="n">
        <v>-11968</v>
      </c>
      <c r="V58" t="inlineStr">
        <is>
          <t>No setup</t>
        </is>
      </c>
      <c r="W58" t="n">
        <v>0</v>
      </c>
      <c r="X58" t="inlineStr">
        <is>
          <t>Round</t>
        </is>
      </c>
      <c r="Z58" t="n">
        <v>1.31</v>
      </c>
      <c r="AA58" t="inlineStr">
        <is>
          <t>No</t>
        </is>
      </c>
      <c r="AB58" t="inlineStr">
        <is>
          <t>No</t>
        </is>
      </c>
    </row>
    <row r="59">
      <c r="A59" t="inlineStr">
        <is>
          <t>2026-08-25</t>
        </is>
      </c>
      <c r="B59" t="inlineStr">
        <is>
          <t>10:32</t>
        </is>
      </c>
      <c r="C59" t="inlineStr">
        <is>
          <t>MNQ</t>
        </is>
      </c>
      <c r="D59" t="inlineStr">
        <is>
          <t>Short</t>
        </is>
      </c>
      <c r="E59" t="n">
        <v>96.5</v>
      </c>
      <c r="F59" t="inlineStr">
        <is>
          <t>down</t>
        </is>
      </c>
      <c r="G59" t="inlineStr">
        <is>
          <t>up</t>
        </is>
      </c>
      <c r="H59" t="inlineStr">
        <is>
          <t>down</t>
        </is>
      </c>
      <c r="I59" t="inlineStr">
        <is>
          <t>down</t>
        </is>
      </c>
      <c r="J59" t="n">
        <v>32.1</v>
      </c>
      <c r="K59" t="inlineStr">
        <is>
          <t>bear</t>
        </is>
      </c>
      <c r="L59" t="inlineStr">
        <is>
          <t>-</t>
        </is>
      </c>
      <c r="M59" t="n">
        <v>24.2</v>
      </c>
      <c r="N59" t="n">
        <v>46.08</v>
      </c>
      <c r="O59" t="n">
        <v>29300.39</v>
      </c>
      <c r="P59" t="inlineStr">
        <is>
          <t>below</t>
        </is>
      </c>
      <c r="Q59" t="n">
        <v>29342.1</v>
      </c>
      <c r="R59" t="n">
        <v>1.76</v>
      </c>
      <c r="S59" t="n">
        <v>-14734</v>
      </c>
      <c r="T59" t="n">
        <v>37</v>
      </c>
      <c r="U59" t="inlineStr">
        <is>
          <t>shallow</t>
        </is>
      </c>
      <c r="V59" t="inlineStr">
        <is>
          <t>Weak</t>
        </is>
      </c>
      <c r="W59" t="n">
        <v>1</v>
      </c>
      <c r="X59" t="inlineStr">
        <is>
          <t>Round</t>
        </is>
      </c>
      <c r="Z59" t="n">
        <v>1.96</v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2026-08-25</t>
        </is>
      </c>
      <c r="B60" t="inlineStr">
        <is>
          <t>12:32</t>
        </is>
      </c>
      <c r="C60" t="inlineStr">
        <is>
          <t>MGC</t>
        </is>
      </c>
      <c r="D60" t="inlineStr">
        <is>
          <t>Short</t>
        </is>
      </c>
      <c r="E60" t="n">
        <v>9</v>
      </c>
      <c r="F60" t="inlineStr">
        <is>
          <t>up</t>
        </is>
      </c>
      <c r="G60" t="inlineStr">
        <is>
          <t>down</t>
        </is>
      </c>
      <c r="H60" t="inlineStr">
        <is>
          <t>up</t>
        </is>
      </c>
      <c r="I60" t="inlineStr">
        <is>
          <t>up</t>
        </is>
      </c>
      <c r="J60" t="n">
        <v>48.3</v>
      </c>
      <c r="K60" t="inlineStr">
        <is>
          <t>bull</t>
        </is>
      </c>
      <c r="L60" t="inlineStr">
        <is>
          <t>-</t>
        </is>
      </c>
      <c r="M60" t="n">
        <v>15.2</v>
      </c>
      <c r="N60" t="n">
        <v>6.07</v>
      </c>
      <c r="O60" t="n">
        <v>4687.72</v>
      </c>
      <c r="P60" t="inlineStr">
        <is>
          <t>above</t>
        </is>
      </c>
      <c r="Q60" t="n">
        <v>4677.28</v>
      </c>
      <c r="R60" t="n">
        <v>1</v>
      </c>
      <c r="S60" t="n">
        <v>4805</v>
      </c>
      <c r="T60" t="n">
        <v>22</v>
      </c>
      <c r="U60" t="inlineStr">
        <is>
          <t>shallow</t>
        </is>
      </c>
      <c r="V60" t="inlineStr">
        <is>
          <t>Weak</t>
        </is>
      </c>
      <c r="W60" t="n">
        <v>1</v>
      </c>
      <c r="X60" t="inlineStr">
        <is>
          <t>Round</t>
        </is>
      </c>
      <c r="Y60" t="inlineStr">
        <is>
          <t>strong bearish close</t>
        </is>
      </c>
      <c r="Z60" t="n">
        <v>0.76</v>
      </c>
      <c r="AA60" t="inlineStr">
        <is>
          <t>No</t>
        </is>
      </c>
      <c r="AB60" t="inlineStr">
        <is>
          <t>No</t>
        </is>
      </c>
    </row>
    <row r="61">
      <c r="A61" t="inlineStr">
        <is>
          <t>2026-08-25</t>
        </is>
      </c>
      <c r="B61" t="inlineStr">
        <is>
          <t>23:19</t>
        </is>
      </c>
      <c r="C61" t="inlineStr">
        <is>
          <t>MGC</t>
        </is>
      </c>
      <c r="D61" t="inlineStr">
        <is>
          <t>Short</t>
        </is>
      </c>
      <c r="E61" t="n">
        <v>35</v>
      </c>
      <c r="F61" t="inlineStr">
        <is>
          <t>up</t>
        </is>
      </c>
      <c r="G61" t="inlineStr">
        <is>
          <t>down</t>
        </is>
      </c>
      <c r="H61" t="inlineStr">
        <is>
          <t>up</t>
        </is>
      </c>
      <c r="I61" t="inlineStr">
        <is>
          <t>down</t>
        </is>
      </c>
      <c r="J61" t="n">
        <v>38.6</v>
      </c>
      <c r="K61" t="inlineStr">
        <is>
          <t>bear</t>
        </is>
      </c>
      <c r="L61" t="inlineStr">
        <is>
          <t>-</t>
        </is>
      </c>
      <c r="M61" t="n">
        <v>24.1</v>
      </c>
      <c r="N61" t="n">
        <v>5.11</v>
      </c>
      <c r="O61" t="n">
        <v>4698.38</v>
      </c>
      <c r="P61" t="inlineStr">
        <is>
          <t>above</t>
        </is>
      </c>
      <c r="Q61" t="n">
        <v>4701.45</v>
      </c>
      <c r="R61" t="n">
        <v>1.14</v>
      </c>
      <c r="S61" t="n">
        <v>4844</v>
      </c>
      <c r="T61" t="n">
        <v>39</v>
      </c>
      <c r="U61" t="inlineStr">
        <is>
          <t>golden</t>
        </is>
      </c>
      <c r="V61" t="inlineStr">
        <is>
          <t>Good</t>
        </is>
      </c>
      <c r="W61" t="n">
        <v>2</v>
      </c>
      <c r="X61" t="inlineStr">
        <is>
          <t>No</t>
        </is>
      </c>
      <c r="Y61" t="inlineStr">
        <is>
          <t>bullish pin/hammer</t>
        </is>
      </c>
      <c r="Z61" t="n">
        <v>0.72</v>
      </c>
      <c r="AA61" t="inlineStr">
        <is>
          <t>No</t>
        </is>
      </c>
      <c r="AB61" t="inlineStr">
        <is>
          <t>No</t>
        </is>
      </c>
    </row>
    <row r="62">
      <c r="A62" t="inlineStr">
        <is>
          <t>2026-08-26</t>
        </is>
      </c>
      <c r="B62" t="inlineStr">
        <is>
          <t>09:50</t>
        </is>
      </c>
      <c r="C62" t="inlineStr">
        <is>
          <t>MGC</t>
        </is>
      </c>
      <c r="D62" t="inlineStr">
        <is>
          <t>Long</t>
        </is>
      </c>
      <c r="E62" t="n">
        <v>21</v>
      </c>
      <c r="F62" t="inlineStr">
        <is>
          <t>flat</t>
        </is>
      </c>
      <c r="G62" t="inlineStr">
        <is>
          <t>down</t>
        </is>
      </c>
      <c r="H62" t="inlineStr">
        <is>
          <t>down</t>
        </is>
      </c>
      <c r="I62" t="inlineStr">
        <is>
          <t>down</t>
        </is>
      </c>
      <c r="J62" t="n">
        <v>56.3</v>
      </c>
      <c r="K62" t="inlineStr">
        <is>
          <t>bull</t>
        </is>
      </c>
      <c r="L62" t="inlineStr">
        <is>
          <t>+</t>
        </is>
      </c>
      <c r="M62" t="n">
        <v>31.7</v>
      </c>
      <c r="N62" t="n">
        <v>7.81</v>
      </c>
      <c r="O62" t="n">
        <v>4673.72</v>
      </c>
      <c r="P62" t="inlineStr">
        <is>
          <t>above</t>
        </is>
      </c>
      <c r="Q62" t="n">
        <v>4669.87</v>
      </c>
      <c r="R62" t="n">
        <v>1</v>
      </c>
      <c r="S62" t="n">
        <v>1026</v>
      </c>
      <c r="T62" t="n">
        <v>14</v>
      </c>
      <c r="U62" t="inlineStr">
        <is>
          <t>extended (no pullback)</t>
        </is>
      </c>
      <c r="V62" t="inlineStr">
        <is>
          <t>Weak</t>
        </is>
      </c>
      <c r="W62" t="n">
        <v>1</v>
      </c>
      <c r="X62" t="inlineStr">
        <is>
          <t>Round</t>
        </is>
      </c>
      <c r="Y62" t="inlineStr">
        <is>
          <t>strong bearish close</t>
        </is>
      </c>
      <c r="Z62" t="n">
        <v>1.02</v>
      </c>
      <c r="AA62" t="inlineStr">
        <is>
          <t>No</t>
        </is>
      </c>
      <c r="AB62" t="inlineStr">
        <is>
          <t>No</t>
        </is>
      </c>
    </row>
    <row r="63">
      <c r="A63" t="inlineStr">
        <is>
          <t>2026-08-26</t>
        </is>
      </c>
      <c r="B63" t="inlineStr">
        <is>
          <t>10:18</t>
        </is>
      </c>
      <c r="C63" t="inlineStr">
        <is>
          <t>MGC</t>
        </is>
      </c>
      <c r="D63" t="inlineStr">
        <is>
          <t>Short</t>
        </is>
      </c>
      <c r="E63" t="n">
        <v>96</v>
      </c>
      <c r="F63" t="inlineStr">
        <is>
          <t>flat</t>
        </is>
      </c>
      <c r="G63" t="inlineStr">
        <is>
          <t>down</t>
        </is>
      </c>
      <c r="H63" t="inlineStr">
        <is>
          <t>down</t>
        </is>
      </c>
      <c r="I63" t="inlineStr">
        <is>
          <t>down</t>
        </is>
      </c>
      <c r="J63" t="n">
        <v>53.5</v>
      </c>
      <c r="K63" t="inlineStr">
        <is>
          <t>bull</t>
        </is>
      </c>
      <c r="L63" t="inlineStr">
        <is>
          <t>+</t>
        </is>
      </c>
      <c r="M63" t="n">
        <v>24.4</v>
      </c>
      <c r="N63" t="n">
        <v>7.68</v>
      </c>
      <c r="O63" t="n">
        <v>4677.36</v>
      </c>
      <c r="P63" t="inlineStr">
        <is>
          <t>above</t>
        </is>
      </c>
      <c r="Q63" t="n">
        <v>4683.11</v>
      </c>
      <c r="R63" t="n">
        <v>0.62</v>
      </c>
      <c r="S63" t="n">
        <v>1320</v>
      </c>
      <c r="T63" t="n">
        <v>71</v>
      </c>
      <c r="U63" t="inlineStr">
        <is>
          <t>deep</t>
        </is>
      </c>
      <c r="V63" t="inlineStr">
        <is>
          <t>Weak</t>
        </is>
      </c>
      <c r="W63" t="n">
        <v>1</v>
      </c>
      <c r="X63" t="inlineStr">
        <is>
          <t>Round</t>
        </is>
      </c>
      <c r="Y63" t="inlineStr">
        <is>
          <t>strong bullish close</t>
        </is>
      </c>
      <c r="Z63" t="n">
        <v>0.48</v>
      </c>
      <c r="AA63" t="inlineStr">
        <is>
          <t>Yes</t>
        </is>
      </c>
      <c r="AB63" t="inlineStr">
        <is>
          <t>No</t>
        </is>
      </c>
    </row>
    <row r="64">
      <c r="A64" t="inlineStr">
        <is>
          <t>2026-08-26</t>
        </is>
      </c>
      <c r="B64" t="inlineStr">
        <is>
          <t>11:46</t>
        </is>
      </c>
      <c r="C64" t="inlineStr">
        <is>
          <t>MGC</t>
        </is>
      </c>
      <c r="D64" t="inlineStr">
        <is>
          <t>Long</t>
        </is>
      </c>
      <c r="E64" t="n">
        <v>-165</v>
      </c>
      <c r="F64" t="inlineStr">
        <is>
          <t>down</t>
        </is>
      </c>
      <c r="G64" t="inlineStr">
        <is>
          <t>down</t>
        </is>
      </c>
      <c r="H64" t="inlineStr">
        <is>
          <t>down</t>
        </is>
      </c>
      <c r="I64" t="inlineStr">
        <is>
          <t>down</t>
        </is>
      </c>
      <c r="J64" t="n">
        <v>50.7</v>
      </c>
      <c r="K64" t="inlineStr">
        <is>
          <t>bear</t>
        </is>
      </c>
      <c r="L64" t="inlineStr">
        <is>
          <t>+</t>
        </is>
      </c>
      <c r="M64" t="n">
        <v>27.1</v>
      </c>
      <c r="N64" t="n">
        <v>7.39</v>
      </c>
      <c r="O64" t="n">
        <v>4664.43</v>
      </c>
      <c r="P64" t="inlineStr">
        <is>
          <t>below</t>
        </is>
      </c>
      <c r="Q64" t="n">
        <v>4653.95</v>
      </c>
      <c r="R64" t="n">
        <v>1.4</v>
      </c>
      <c r="S64" t="n">
        <v>1914</v>
      </c>
      <c r="T64" t="n">
        <v>11</v>
      </c>
      <c r="U64" t="inlineStr">
        <is>
          <t>extended (no pullback)</t>
        </is>
      </c>
      <c r="V64" t="inlineStr">
        <is>
          <t>Good</t>
        </is>
      </c>
      <c r="W64" t="n">
        <v>2</v>
      </c>
      <c r="X64" t="inlineStr">
        <is>
          <t>Round</t>
        </is>
      </c>
      <c r="Y64" t="inlineStr">
        <is>
          <t>strong bullish close</t>
        </is>
      </c>
      <c r="Z64" t="n">
        <v>0.91</v>
      </c>
      <c r="AA64" t="inlineStr">
        <is>
          <t>No</t>
        </is>
      </c>
      <c r="AB64" t="inlineStr">
        <is>
          <t>No</t>
        </is>
      </c>
    </row>
    <row r="65">
      <c r="A65" t="inlineStr">
        <is>
          <t>2026-08-26</t>
        </is>
      </c>
      <c r="B65" t="inlineStr">
        <is>
          <t>11:55</t>
        </is>
      </c>
      <c r="C65" t="inlineStr">
        <is>
          <t>MGC</t>
        </is>
      </c>
      <c r="D65" t="inlineStr">
        <is>
          <t>Short</t>
        </is>
      </c>
      <c r="E65" t="n">
        <v>185</v>
      </c>
      <c r="F65" t="inlineStr">
        <is>
          <t>down</t>
        </is>
      </c>
      <c r="G65" t="inlineStr">
        <is>
          <t>down</t>
        </is>
      </c>
      <c r="H65" t="inlineStr">
        <is>
          <t>down</t>
        </is>
      </c>
      <c r="I65" t="inlineStr">
        <is>
          <t>down</t>
        </is>
      </c>
      <c r="J65" t="n">
        <v>40</v>
      </c>
      <c r="K65" t="inlineStr">
        <is>
          <t>bear</t>
        </is>
      </c>
      <c r="L65" t="inlineStr">
        <is>
          <t>+</t>
        </is>
      </c>
      <c r="M65" t="n">
        <v>26.2</v>
      </c>
      <c r="N65" t="n">
        <v>7.62</v>
      </c>
      <c r="O65" t="n">
        <v>4664.04</v>
      </c>
      <c r="P65" t="inlineStr">
        <is>
          <t>below</t>
        </is>
      </c>
      <c r="Q65" t="n">
        <v>4653.95</v>
      </c>
      <c r="R65" t="n">
        <v>1.15</v>
      </c>
      <c r="S65" t="n">
        <v>286</v>
      </c>
      <c r="T65" t="n">
        <v>34</v>
      </c>
      <c r="U65" t="inlineStr">
        <is>
          <t>shallow</t>
        </is>
      </c>
      <c r="V65" t="inlineStr">
        <is>
          <t>Good</t>
        </is>
      </c>
      <c r="W65" t="n">
        <v>2</v>
      </c>
      <c r="X65" t="inlineStr">
        <is>
          <t>ONL</t>
        </is>
      </c>
      <c r="Y65" t="inlineStr">
        <is>
          <t>strong bearish close</t>
        </is>
      </c>
      <c r="Z65" t="n">
        <v>0.67</v>
      </c>
      <c r="AA65" t="inlineStr">
        <is>
          <t>Yes</t>
        </is>
      </c>
      <c r="AB65" t="inlineStr">
        <is>
          <t>Yes</t>
        </is>
      </c>
    </row>
    <row r="66">
      <c r="A66" t="inlineStr">
        <is>
          <t>2026-08-26</t>
        </is>
      </c>
      <c r="B66" t="inlineStr">
        <is>
          <t>13:11</t>
        </is>
      </c>
      <c r="C66" t="inlineStr">
        <is>
          <t>MGC</t>
        </is>
      </c>
      <c r="D66" t="inlineStr">
        <is>
          <t>Short</t>
        </is>
      </c>
      <c r="E66" t="n">
        <v>-255</v>
      </c>
      <c r="F66" t="inlineStr">
        <is>
          <t>down</t>
        </is>
      </c>
      <c r="G66" t="inlineStr">
        <is>
          <t>down</t>
        </is>
      </c>
      <c r="H66" t="inlineStr">
        <is>
          <t>down</t>
        </is>
      </c>
      <c r="I66" t="inlineStr">
        <is>
          <t>down</t>
        </is>
      </c>
      <c r="J66" t="n">
        <v>46</v>
      </c>
      <c r="K66" t="inlineStr">
        <is>
          <t>bear</t>
        </is>
      </c>
      <c r="L66" t="inlineStr">
        <is>
          <t>+</t>
        </is>
      </c>
      <c r="M66" t="n">
        <v>25.2</v>
      </c>
      <c r="N66" t="n">
        <v>5.81</v>
      </c>
      <c r="O66" t="n">
        <v>4660.62</v>
      </c>
      <c r="P66" t="inlineStr">
        <is>
          <t>below</t>
        </is>
      </c>
      <c r="Q66" t="n">
        <v>4653.95</v>
      </c>
      <c r="R66" t="n">
        <v>0.71</v>
      </c>
      <c r="S66" t="n">
        <v>1659</v>
      </c>
      <c r="T66" t="n">
        <v>21</v>
      </c>
      <c r="U66" t="inlineStr">
        <is>
          <t>shallow</t>
        </is>
      </c>
      <c r="V66" t="inlineStr">
        <is>
          <t>Good</t>
        </is>
      </c>
      <c r="W66" t="n">
        <v>2</v>
      </c>
      <c r="X66" t="inlineStr">
        <is>
          <t>Round</t>
        </is>
      </c>
      <c r="Y66" t="inlineStr">
        <is>
          <t>strong bullish close</t>
        </is>
      </c>
      <c r="Z66" t="n">
        <v>0.35</v>
      </c>
      <c r="AA66" t="inlineStr">
        <is>
          <t>Yes</t>
        </is>
      </c>
      <c r="AB66" t="inlineStr">
        <is>
          <t>Yes</t>
        </is>
      </c>
    </row>
    <row r="67">
      <c r="A67" t="inlineStr">
        <is>
          <t>2026-08-26</t>
        </is>
      </c>
      <c r="B67" t="inlineStr">
        <is>
          <t>19:54</t>
        </is>
      </c>
      <c r="C67" t="inlineStr">
        <is>
          <t>MNQ</t>
        </is>
      </c>
      <c r="D67" t="inlineStr">
        <is>
          <t>Long</t>
        </is>
      </c>
      <c r="E67" t="n">
        <v>81.5</v>
      </c>
      <c r="F67" t="inlineStr">
        <is>
          <t>up</t>
        </is>
      </c>
      <c r="G67" t="inlineStr">
        <is>
          <t>up</t>
        </is>
      </c>
      <c r="H67" t="inlineStr">
        <is>
          <t>up</t>
        </is>
      </c>
      <c r="I67" t="inlineStr">
        <is>
          <t>up</t>
        </is>
      </c>
      <c r="J67" t="n">
        <v>72.59999999999999</v>
      </c>
      <c r="K67" t="inlineStr">
        <is>
          <t>bull</t>
        </is>
      </c>
      <c r="L67" t="inlineStr">
        <is>
          <t>-</t>
        </is>
      </c>
      <c r="M67" t="n">
        <v>52.8</v>
      </c>
      <c r="N67" t="n">
        <v>21.31</v>
      </c>
      <c r="O67" t="n">
        <v>29282.24</v>
      </c>
      <c r="P67" t="inlineStr">
        <is>
          <t>above</t>
        </is>
      </c>
      <c r="Q67" t="n">
        <v>29245.2</v>
      </c>
      <c r="R67" t="n">
        <v>0.97</v>
      </c>
      <c r="S67" t="n">
        <v>18909</v>
      </c>
      <c r="T67" t="n">
        <v>4</v>
      </c>
      <c r="U67" t="inlineStr">
        <is>
          <t>extended (no pullback)</t>
        </is>
      </c>
      <c r="V67" t="inlineStr">
        <is>
          <t>Weak</t>
        </is>
      </c>
      <c r="W67" t="n">
        <v>1</v>
      </c>
      <c r="X67" t="inlineStr">
        <is>
          <t>No</t>
        </is>
      </c>
      <c r="Z67" t="n">
        <v>0.74</v>
      </c>
      <c r="AA67" t="inlineStr">
        <is>
          <t>Yes</t>
        </is>
      </c>
      <c r="AB67" t="inlineStr">
        <is>
          <t>Yes</t>
        </is>
      </c>
    </row>
    <row r="68">
      <c r="A68" t="inlineStr">
        <is>
          <t>2026-08-26</t>
        </is>
      </c>
      <c r="B68" t="inlineStr">
        <is>
          <t>20:04</t>
        </is>
      </c>
      <c r="C68" t="inlineStr">
        <is>
          <t>MNQ</t>
        </is>
      </c>
      <c r="D68" t="inlineStr">
        <is>
          <t>Long</t>
        </is>
      </c>
      <c r="E68" t="n">
        <v>-81</v>
      </c>
      <c r="F68" t="inlineStr">
        <is>
          <t>up</t>
        </is>
      </c>
      <c r="G68" t="inlineStr">
        <is>
          <t>up</t>
        </is>
      </c>
      <c r="H68" t="inlineStr">
        <is>
          <t>up</t>
        </is>
      </c>
      <c r="I68" t="inlineStr">
        <is>
          <t>up</t>
        </is>
      </c>
      <c r="J68" t="n">
        <v>64.40000000000001</v>
      </c>
      <c r="K68" t="inlineStr">
        <is>
          <t>bull</t>
        </is>
      </c>
      <c r="L68" t="inlineStr">
        <is>
          <t>-</t>
        </is>
      </c>
      <c r="M68" t="n">
        <v>55</v>
      </c>
      <c r="N68" t="n">
        <v>23.83</v>
      </c>
      <c r="O68" t="n">
        <v>29284.88</v>
      </c>
      <c r="P68" t="inlineStr">
        <is>
          <t>above</t>
        </is>
      </c>
      <c r="Q68" t="n">
        <v>29225.22</v>
      </c>
      <c r="R68" t="n">
        <v>1.07</v>
      </c>
      <c r="S68" t="n">
        <v>18478</v>
      </c>
      <c r="T68" t="n">
        <v>11</v>
      </c>
      <c r="U68" t="inlineStr">
        <is>
          <t>extended (no pullback)</t>
        </is>
      </c>
      <c r="V68" t="inlineStr">
        <is>
          <t>Weak</t>
        </is>
      </c>
      <c r="W68" t="n">
        <v>1</v>
      </c>
      <c r="X68" t="inlineStr">
        <is>
          <t>No</t>
        </is>
      </c>
      <c r="Y68" t="inlineStr">
        <is>
          <t>bearish engulfing</t>
        </is>
      </c>
      <c r="Z68" t="n">
        <v>2.38</v>
      </c>
      <c r="AA68" t="inlineStr">
        <is>
          <t>Yes</t>
        </is>
      </c>
      <c r="AB68" t="inlineStr">
        <is>
          <t>Yes</t>
        </is>
      </c>
    </row>
    <row r="69">
      <c r="A69" t="inlineStr">
        <is>
          <t>2026-08-26</t>
        </is>
      </c>
      <c r="B69" t="inlineStr">
        <is>
          <t>21:05</t>
        </is>
      </c>
      <c r="C69" t="inlineStr">
        <is>
          <t>MNQ</t>
        </is>
      </c>
      <c r="D69" t="inlineStr">
        <is>
          <t>Long</t>
        </is>
      </c>
      <c r="E69" t="n">
        <v>-120</v>
      </c>
      <c r="F69" t="inlineStr">
        <is>
          <t>up</t>
        </is>
      </c>
      <c r="G69" t="inlineStr">
        <is>
          <t>up</t>
        </is>
      </c>
      <c r="H69" t="inlineStr">
        <is>
          <t>down</t>
        </is>
      </c>
      <c r="I69" t="inlineStr">
        <is>
          <t>down</t>
        </is>
      </c>
      <c r="J69" t="n">
        <v>39.8</v>
      </c>
      <c r="K69" t="inlineStr">
        <is>
          <t>bear</t>
        </is>
      </c>
      <c r="L69" t="inlineStr">
        <is>
          <t>-</t>
        </is>
      </c>
      <c r="M69" t="n">
        <v>39.3</v>
      </c>
      <c r="N69" t="n">
        <v>28.2</v>
      </c>
      <c r="O69" t="n">
        <v>29295.68</v>
      </c>
      <c r="P69" t="inlineStr">
        <is>
          <t>above</t>
        </is>
      </c>
      <c r="Q69" t="n">
        <v>29225.22</v>
      </c>
      <c r="R69" t="n">
        <v>1.59</v>
      </c>
      <c r="S69" t="n">
        <v>14973</v>
      </c>
      <c r="T69" t="n">
        <v>50</v>
      </c>
      <c r="U69" t="inlineStr">
        <is>
          <t>golden</t>
        </is>
      </c>
      <c r="V69" t="inlineStr">
        <is>
          <t>Good</t>
        </is>
      </c>
      <c r="W69" t="n">
        <v>2</v>
      </c>
      <c r="X69" t="inlineStr">
        <is>
          <t>No</t>
        </is>
      </c>
      <c r="Y69" t="inlineStr">
        <is>
          <t>strong bullish close</t>
        </is>
      </c>
      <c r="Z69" t="n">
        <v>1.01</v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2026-08-26</t>
        </is>
      </c>
      <c r="B70" t="inlineStr">
        <is>
          <t>21:16</t>
        </is>
      </c>
      <c r="C70" t="inlineStr">
        <is>
          <t>MNQ</t>
        </is>
      </c>
      <c r="D70" t="inlineStr">
        <is>
          <t>Long</t>
        </is>
      </c>
      <c r="E70" t="n">
        <v>302.5</v>
      </c>
      <c r="F70" t="inlineStr">
        <is>
          <t>up</t>
        </is>
      </c>
      <c r="G70" t="inlineStr">
        <is>
          <t>up</t>
        </is>
      </c>
      <c r="H70" t="inlineStr">
        <is>
          <t>down</t>
        </is>
      </c>
      <c r="I70" t="inlineStr">
        <is>
          <t>down</t>
        </is>
      </c>
      <c r="J70" t="n">
        <v>41.9</v>
      </c>
      <c r="K70" t="inlineStr">
        <is>
          <t>bear</t>
        </is>
      </c>
      <c r="L70" t="inlineStr">
        <is>
          <t>-</t>
        </is>
      </c>
      <c r="M70" t="n">
        <v>37.8</v>
      </c>
      <c r="N70" t="n">
        <v>29.85</v>
      </c>
      <c r="O70" t="n">
        <v>29296.65</v>
      </c>
      <c r="P70" t="inlineStr">
        <is>
          <t>above</t>
        </is>
      </c>
      <c r="Q70" t="n">
        <v>29225.22</v>
      </c>
      <c r="R70" t="n">
        <v>1.27</v>
      </c>
      <c r="S70" t="n">
        <v>14908</v>
      </c>
      <c r="T70" t="n">
        <v>46</v>
      </c>
      <c r="U70" t="inlineStr">
        <is>
          <t>golden</t>
        </is>
      </c>
      <c r="V70" t="inlineStr">
        <is>
          <t>Good</t>
        </is>
      </c>
      <c r="W70" t="n">
        <v>2</v>
      </c>
      <c r="X70" t="inlineStr">
        <is>
          <t>No</t>
        </is>
      </c>
      <c r="Y70" t="inlineStr">
        <is>
          <t>strong bullish close</t>
        </is>
      </c>
      <c r="Z70" t="n">
        <v>0.78</v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2026-08-26</t>
        </is>
      </c>
      <c r="B71" t="inlineStr">
        <is>
          <t>21:27</t>
        </is>
      </c>
      <c r="C71" t="inlineStr">
        <is>
          <t>MNQ</t>
        </is>
      </c>
      <c r="D71" t="inlineStr">
        <is>
          <t>Long</t>
        </is>
      </c>
      <c r="E71" t="n">
        <v>42</v>
      </c>
      <c r="F71" t="inlineStr">
        <is>
          <t>up</t>
        </is>
      </c>
      <c r="G71" t="inlineStr">
        <is>
          <t>up</t>
        </is>
      </c>
      <c r="H71" t="inlineStr">
        <is>
          <t>down</t>
        </is>
      </c>
      <c r="I71" t="inlineStr">
        <is>
          <t>down</t>
        </is>
      </c>
      <c r="J71" t="n">
        <v>46.9</v>
      </c>
      <c r="K71" t="inlineStr">
        <is>
          <t>bear</t>
        </is>
      </c>
      <c r="L71" t="inlineStr">
        <is>
          <t>-</t>
        </is>
      </c>
      <c r="M71" t="n">
        <v>34.6</v>
      </c>
      <c r="N71" t="n">
        <v>28.36</v>
      </c>
      <c r="O71" t="n">
        <v>29297.43</v>
      </c>
      <c r="P71" t="inlineStr">
        <is>
          <t>above</t>
        </is>
      </c>
      <c r="Q71" t="n">
        <v>29225.22</v>
      </c>
      <c r="R71" t="n">
        <v>1.16</v>
      </c>
      <c r="S71" t="n">
        <v>15841</v>
      </c>
      <c r="T71" t="n">
        <v>40</v>
      </c>
      <c r="U71" t="inlineStr">
        <is>
          <t>golden</t>
        </is>
      </c>
      <c r="V71" t="inlineStr">
        <is>
          <t>Good</t>
        </is>
      </c>
      <c r="W71" t="n">
        <v>2</v>
      </c>
      <c r="X71" t="inlineStr">
        <is>
          <t>Round</t>
        </is>
      </c>
      <c r="Z71" t="n">
        <v>0.58</v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2026-08-26</t>
        </is>
      </c>
      <c r="B72" t="inlineStr">
        <is>
          <t>21:35</t>
        </is>
      </c>
      <c r="C72" t="inlineStr">
        <is>
          <t>MNQ</t>
        </is>
      </c>
      <c r="D72" t="inlineStr">
        <is>
          <t>Long</t>
        </is>
      </c>
      <c r="E72" t="n">
        <v>88.5</v>
      </c>
      <c r="F72" t="inlineStr">
        <is>
          <t>up</t>
        </is>
      </c>
      <c r="G72" t="inlineStr">
        <is>
          <t>up</t>
        </is>
      </c>
      <c r="H72" t="inlineStr">
        <is>
          <t>down</t>
        </is>
      </c>
      <c r="I72" t="inlineStr">
        <is>
          <t>down</t>
        </is>
      </c>
      <c r="J72" t="n">
        <v>52.6</v>
      </c>
      <c r="K72" t="inlineStr">
        <is>
          <t>bear</t>
        </is>
      </c>
      <c r="L72" t="inlineStr">
        <is>
          <t>+</t>
        </is>
      </c>
      <c r="M72" t="n">
        <v>30.3</v>
      </c>
      <c r="N72" t="n">
        <v>27.69</v>
      </c>
      <c r="O72" t="n">
        <v>29298.41</v>
      </c>
      <c r="P72" t="inlineStr">
        <is>
          <t>above</t>
        </is>
      </c>
      <c r="Q72" t="n">
        <v>29225.22</v>
      </c>
      <c r="R72" t="n">
        <v>1.29</v>
      </c>
      <c r="S72" t="n">
        <v>16672</v>
      </c>
      <c r="T72" t="n">
        <v>37</v>
      </c>
      <c r="U72" t="inlineStr">
        <is>
          <t>shallow</t>
        </is>
      </c>
      <c r="V72" t="inlineStr">
        <is>
          <t>A+</t>
        </is>
      </c>
      <c r="W72" t="n">
        <v>3</v>
      </c>
      <c r="X72" t="inlineStr">
        <is>
          <t>No</t>
        </is>
      </c>
      <c r="Y72" t="inlineStr">
        <is>
          <t>strong bullish close</t>
        </is>
      </c>
      <c r="Z72" t="n">
        <v>0.61</v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2026-08-26</t>
        </is>
      </c>
      <c r="B73" t="inlineStr">
        <is>
          <t>22:22</t>
        </is>
      </c>
      <c r="C73" t="inlineStr">
        <is>
          <t>MNQ</t>
        </is>
      </c>
      <c r="D73" t="inlineStr">
        <is>
          <t>Short</t>
        </is>
      </c>
      <c r="E73" t="n">
        <v>50</v>
      </c>
      <c r="F73" t="inlineStr">
        <is>
          <t>up</t>
        </is>
      </c>
      <c r="G73" t="inlineStr">
        <is>
          <t>up</t>
        </is>
      </c>
      <c r="H73" t="inlineStr">
        <is>
          <t>down</t>
        </is>
      </c>
      <c r="I73" t="inlineStr">
        <is>
          <t>up</t>
        </is>
      </c>
      <c r="J73" t="n">
        <v>51.9</v>
      </c>
      <c r="K73" t="inlineStr">
        <is>
          <t>bull</t>
        </is>
      </c>
      <c r="L73" t="inlineStr">
        <is>
          <t>+</t>
        </is>
      </c>
      <c r="M73" t="n">
        <v>17.3</v>
      </c>
      <c r="N73" t="n">
        <v>25.06</v>
      </c>
      <c r="O73" t="n">
        <v>29301.92</v>
      </c>
      <c r="P73" t="inlineStr">
        <is>
          <t>above</t>
        </is>
      </c>
      <c r="Q73" t="n">
        <v>29225.22</v>
      </c>
      <c r="R73" t="n">
        <v>0.49</v>
      </c>
      <c r="S73" t="n">
        <v>17858</v>
      </c>
      <c r="T73" t="n">
        <v>46</v>
      </c>
      <c r="U73" t="inlineStr">
        <is>
          <t>golden</t>
        </is>
      </c>
      <c r="V73" t="inlineStr">
        <is>
          <t>Weak</t>
        </is>
      </c>
      <c r="W73" t="n">
        <v>1</v>
      </c>
      <c r="X73" t="inlineStr">
        <is>
          <t>No</t>
        </is>
      </c>
      <c r="Z73" t="n">
        <v>0.23</v>
      </c>
      <c r="AA73" t="inlineStr">
        <is>
          <t>No</t>
        </is>
      </c>
      <c r="AB73" t="inlineStr">
        <is>
          <t>No</t>
        </is>
      </c>
    </row>
    <row r="74">
      <c r="A74" t="inlineStr">
        <is>
          <t>2026-08-26</t>
        </is>
      </c>
      <c r="B74" t="inlineStr">
        <is>
          <t>22:27</t>
        </is>
      </c>
      <c r="C74" t="inlineStr">
        <is>
          <t>MNQ</t>
        </is>
      </c>
      <c r="D74" t="inlineStr">
        <is>
          <t>Short</t>
        </is>
      </c>
      <c r="E74" t="n">
        <v>-46</v>
      </c>
      <c r="F74" t="inlineStr">
        <is>
          <t>up</t>
        </is>
      </c>
      <c r="G74" t="inlineStr">
        <is>
          <t>up</t>
        </is>
      </c>
      <c r="H74" t="inlineStr">
        <is>
          <t>down</t>
        </is>
      </c>
      <c r="I74" t="inlineStr">
        <is>
          <t>up</t>
        </is>
      </c>
      <c r="J74" t="n">
        <v>53.2</v>
      </c>
      <c r="K74" t="inlineStr">
        <is>
          <t>bull</t>
        </is>
      </c>
      <c r="L74" t="inlineStr">
        <is>
          <t>+</t>
        </is>
      </c>
      <c r="M74" t="n">
        <v>16.6</v>
      </c>
      <c r="N74" t="n">
        <v>24.52</v>
      </c>
      <c r="O74" t="n">
        <v>29302.09</v>
      </c>
      <c r="P74" t="inlineStr">
        <is>
          <t>above</t>
        </is>
      </c>
      <c r="Q74" t="n">
        <v>29225.22</v>
      </c>
      <c r="R74" t="n">
        <v>0.72</v>
      </c>
      <c r="S74" t="n">
        <v>18006</v>
      </c>
      <c r="T74" t="n">
        <v>46</v>
      </c>
      <c r="U74" t="inlineStr">
        <is>
          <t>golden</t>
        </is>
      </c>
      <c r="V74" t="inlineStr">
        <is>
          <t>Weak</t>
        </is>
      </c>
      <c r="W74" t="n">
        <v>1</v>
      </c>
      <c r="X74" t="inlineStr">
        <is>
          <t>No</t>
        </is>
      </c>
      <c r="Y74" t="inlineStr">
        <is>
          <t>bullish engulfing</t>
        </is>
      </c>
      <c r="Z74" t="n">
        <v>0.31</v>
      </c>
      <c r="AA74" t="inlineStr">
        <is>
          <t>No</t>
        </is>
      </c>
      <c r="AB74" t="inlineStr">
        <is>
          <t>No</t>
        </is>
      </c>
    </row>
    <row r="75">
      <c r="A75" t="inlineStr">
        <is>
          <t>2026-08-27</t>
        </is>
      </c>
      <c r="B75" t="inlineStr">
        <is>
          <t>09:43</t>
        </is>
      </c>
      <c r="C75" t="inlineStr">
        <is>
          <t>MGC</t>
        </is>
      </c>
      <c r="D75" t="inlineStr">
        <is>
          <t>Short</t>
        </is>
      </c>
      <c r="E75" t="n">
        <v>360</v>
      </c>
      <c r="F75" t="inlineStr">
        <is>
          <t>down</t>
        </is>
      </c>
      <c r="G75" t="inlineStr">
        <is>
          <t>down</t>
        </is>
      </c>
      <c r="H75" t="inlineStr">
        <is>
          <t>down</t>
        </is>
      </c>
      <c r="I75" t="inlineStr">
        <is>
          <t>down</t>
        </is>
      </c>
      <c r="J75" t="n">
        <v>37.1</v>
      </c>
      <c r="K75" t="inlineStr">
        <is>
          <t>bear</t>
        </is>
      </c>
      <c r="L75" t="inlineStr">
        <is>
          <t>-</t>
        </is>
      </c>
      <c r="M75" t="n">
        <v>24.1</v>
      </c>
      <c r="N75" t="n">
        <v>6.47</v>
      </c>
      <c r="O75" t="n">
        <v>4632.83</v>
      </c>
      <c r="P75" t="inlineStr">
        <is>
          <t>above</t>
        </is>
      </c>
      <c r="Q75" t="n">
        <v>4630.68</v>
      </c>
      <c r="R75" t="n">
        <v>0.92</v>
      </c>
      <c r="S75" t="n">
        <v>-2545</v>
      </c>
      <c r="T75" t="n">
        <v>40</v>
      </c>
      <c r="U75" t="inlineStr">
        <is>
          <t>golden</t>
        </is>
      </c>
      <c r="V75" t="inlineStr">
        <is>
          <t>Good</t>
        </is>
      </c>
      <c r="W75" t="n">
        <v>2</v>
      </c>
      <c r="X75" t="inlineStr">
        <is>
          <t>No</t>
        </is>
      </c>
      <c r="Z75" t="n">
        <v>1.7</v>
      </c>
      <c r="AA75" t="inlineStr">
        <is>
          <t>Yes</t>
        </is>
      </c>
      <c r="AB75" t="inlineStr">
        <is>
          <t>Yes</t>
        </is>
      </c>
    </row>
    <row r="76">
      <c r="A76" t="inlineStr">
        <is>
          <t>2026-08-27</t>
        </is>
      </c>
      <c r="B76" t="inlineStr">
        <is>
          <t>10:17</t>
        </is>
      </c>
      <c r="C76" t="inlineStr">
        <is>
          <t>MGC</t>
        </is>
      </c>
      <c r="D76" t="inlineStr">
        <is>
          <t>Short</t>
        </is>
      </c>
      <c r="E76" t="n">
        <v>54</v>
      </c>
      <c r="F76" t="inlineStr">
        <is>
          <t>down</t>
        </is>
      </c>
      <c r="G76" t="inlineStr">
        <is>
          <t>down</t>
        </is>
      </c>
      <c r="H76" t="inlineStr">
        <is>
          <t>down</t>
        </is>
      </c>
      <c r="I76" t="inlineStr">
        <is>
          <t>down</t>
        </is>
      </c>
      <c r="J76" t="n">
        <v>45.9</v>
      </c>
      <c r="K76" t="inlineStr">
        <is>
          <t>bear</t>
        </is>
      </c>
      <c r="L76" t="inlineStr">
        <is>
          <t>-</t>
        </is>
      </c>
      <c r="M76" t="n">
        <v>29.6</v>
      </c>
      <c r="N76" t="n">
        <v>7.42</v>
      </c>
      <c r="O76" t="n">
        <v>4629.41</v>
      </c>
      <c r="P76" t="inlineStr">
        <is>
          <t>above</t>
        </is>
      </c>
      <c r="Q76" t="n">
        <v>4630.62</v>
      </c>
      <c r="R76" t="n">
        <v>0.78</v>
      </c>
      <c r="S76" t="n">
        <v>-1296</v>
      </c>
      <c r="T76" t="n">
        <v>50</v>
      </c>
      <c r="U76" t="inlineStr">
        <is>
          <t>golden</t>
        </is>
      </c>
      <c r="V76" t="inlineStr">
        <is>
          <t>Good</t>
        </is>
      </c>
      <c r="W76" t="n">
        <v>2</v>
      </c>
      <c r="X76" t="inlineStr">
        <is>
          <t>No</t>
        </is>
      </c>
      <c r="Y76" t="inlineStr">
        <is>
          <t>bullish engulfing</t>
        </is>
      </c>
      <c r="Z76" t="n">
        <v>0.72</v>
      </c>
      <c r="AA76" t="inlineStr">
        <is>
          <t>Yes</t>
        </is>
      </c>
      <c r="AB76" t="inlineStr">
        <is>
          <t>Yes</t>
        </is>
      </c>
    </row>
    <row r="77">
      <c r="A77" t="inlineStr">
        <is>
          <t>2026-08-27</t>
        </is>
      </c>
      <c r="B77" t="inlineStr">
        <is>
          <t>20:02</t>
        </is>
      </c>
      <c r="C77" t="inlineStr">
        <is>
          <t>MGC</t>
        </is>
      </c>
      <c r="D77" t="inlineStr">
        <is>
          <t>Short</t>
        </is>
      </c>
      <c r="E77" t="n">
        <v>21</v>
      </c>
      <c r="F77" t="inlineStr">
        <is>
          <t>down</t>
        </is>
      </c>
      <c r="G77" t="inlineStr">
        <is>
          <t>down</t>
        </is>
      </c>
      <c r="H77" t="inlineStr">
        <is>
          <t>up</t>
        </is>
      </c>
      <c r="I77" t="inlineStr">
        <is>
          <t>down</t>
        </is>
      </c>
      <c r="J77" t="n">
        <v>36</v>
      </c>
      <c r="K77" t="inlineStr">
        <is>
          <t>bear</t>
        </is>
      </c>
      <c r="L77" t="inlineStr">
        <is>
          <t>-</t>
        </is>
      </c>
      <c r="M77" t="n">
        <v>22.6</v>
      </c>
      <c r="N77" t="n">
        <v>3.04</v>
      </c>
      <c r="O77" t="n">
        <v>4648.88</v>
      </c>
      <c r="P77" t="inlineStr">
        <is>
          <t>above</t>
        </is>
      </c>
      <c r="Q77" t="n">
        <v>4660.41</v>
      </c>
      <c r="R77" t="n">
        <v>1.02</v>
      </c>
      <c r="S77" t="n">
        <v>2382</v>
      </c>
      <c r="T77" t="n">
        <v>25</v>
      </c>
      <c r="U77" t="inlineStr">
        <is>
          <t>shallow</t>
        </is>
      </c>
      <c r="V77" t="inlineStr">
        <is>
          <t>Good</t>
        </is>
      </c>
      <c r="W77" t="n">
        <v>2</v>
      </c>
      <c r="X77" t="inlineStr">
        <is>
          <t>No</t>
        </is>
      </c>
      <c r="Z77" t="n">
        <v>2.84</v>
      </c>
      <c r="AA77" t="inlineStr">
        <is>
          <t>No</t>
        </is>
      </c>
      <c r="AB77" t="inlineStr">
        <is>
          <t>Yes</t>
        </is>
      </c>
    </row>
    <row r="78">
      <c r="A78" t="inlineStr">
        <is>
          <t>2026-08-27</t>
        </is>
      </c>
      <c r="B78" t="inlineStr">
        <is>
          <t>21:18</t>
        </is>
      </c>
      <c r="C78" t="inlineStr">
        <is>
          <t>MGC</t>
        </is>
      </c>
      <c r="D78" t="inlineStr">
        <is>
          <t>Short</t>
        </is>
      </c>
      <c r="E78" t="n">
        <v>60</v>
      </c>
      <c r="F78" t="inlineStr">
        <is>
          <t>down</t>
        </is>
      </c>
      <c r="G78" t="inlineStr">
        <is>
          <t>down</t>
        </is>
      </c>
      <c r="H78" t="inlineStr">
        <is>
          <t>down</t>
        </is>
      </c>
      <c r="I78" t="inlineStr">
        <is>
          <t>up</t>
        </is>
      </c>
      <c r="J78" t="n">
        <v>49.5</v>
      </c>
      <c r="K78" t="inlineStr">
        <is>
          <t>bear</t>
        </is>
      </c>
      <c r="L78" t="inlineStr">
        <is>
          <t>+</t>
        </is>
      </c>
      <c r="M78" t="n">
        <v>23.6</v>
      </c>
      <c r="N78" t="n">
        <v>4.77</v>
      </c>
      <c r="O78" t="n">
        <v>4648.71</v>
      </c>
      <c r="P78" t="inlineStr">
        <is>
          <t>below</t>
        </is>
      </c>
      <c r="Q78" t="n">
        <v>4660.41</v>
      </c>
      <c r="R78" t="n">
        <v>0.64</v>
      </c>
      <c r="S78" t="n">
        <v>3064</v>
      </c>
      <c r="T78" t="n">
        <v>34</v>
      </c>
      <c r="U78" t="inlineStr">
        <is>
          <t>shallow</t>
        </is>
      </c>
      <c r="V78" t="inlineStr">
        <is>
          <t>Good</t>
        </is>
      </c>
      <c r="W78" t="n">
        <v>2</v>
      </c>
      <c r="X78" t="inlineStr">
        <is>
          <t>ORH/Round</t>
        </is>
      </c>
      <c r="Z78" t="n">
        <v>1.28</v>
      </c>
      <c r="AA78" t="inlineStr">
        <is>
          <t>No</t>
        </is>
      </c>
      <c r="AB78" t="inlineStr">
        <is>
          <t>Yes</t>
        </is>
      </c>
    </row>
    <row r="79">
      <c r="A79" t="inlineStr">
        <is>
          <t>2026-08-28</t>
        </is>
      </c>
      <c r="B79" t="inlineStr">
        <is>
          <t>10:09</t>
        </is>
      </c>
      <c r="C79" t="inlineStr">
        <is>
          <t>MGC</t>
        </is>
      </c>
      <c r="D79" t="inlineStr">
        <is>
          <t>Short</t>
        </is>
      </c>
      <c r="E79" t="n">
        <v>426</v>
      </c>
      <c r="F79" t="inlineStr">
        <is>
          <t>down</t>
        </is>
      </c>
      <c r="G79" t="inlineStr">
        <is>
          <t>down</t>
        </is>
      </c>
      <c r="H79" t="inlineStr">
        <is>
          <t>down</t>
        </is>
      </c>
      <c r="I79" t="inlineStr">
        <is>
          <t>down</t>
        </is>
      </c>
      <c r="J79" t="n">
        <v>27.3</v>
      </c>
      <c r="K79" t="inlineStr">
        <is>
          <t>bear</t>
        </is>
      </c>
      <c r="L79" t="inlineStr">
        <is>
          <t>-</t>
        </is>
      </c>
      <c r="M79" t="n">
        <v>22.4</v>
      </c>
      <c r="N79" t="n">
        <v>12.36</v>
      </c>
      <c r="O79" t="n">
        <v>4643.29</v>
      </c>
      <c r="P79" t="inlineStr">
        <is>
          <t>below</t>
        </is>
      </c>
      <c r="Q79" t="n">
        <v>4656.24</v>
      </c>
      <c r="R79" t="n">
        <v>9.6</v>
      </c>
      <c r="S79" t="n">
        <v>-4760</v>
      </c>
      <c r="T79" t="n">
        <v>33</v>
      </c>
      <c r="U79" t="inlineStr">
        <is>
          <t>shallow</t>
        </is>
      </c>
      <c r="V79" t="inlineStr">
        <is>
          <t>Good</t>
        </is>
      </c>
      <c r="W79" t="n">
        <v>2</v>
      </c>
      <c r="X79" t="inlineStr">
        <is>
          <t>Round</t>
        </is>
      </c>
      <c r="Y79" t="inlineStr">
        <is>
          <t>bullish pin/hammer</t>
        </is>
      </c>
      <c r="Z79" t="n">
        <v>7.85</v>
      </c>
      <c r="AA79" t="inlineStr">
        <is>
          <t>Yes</t>
        </is>
      </c>
      <c r="AB79" t="inlineStr">
        <is>
          <t>Yes</t>
        </is>
      </c>
    </row>
    <row r="80">
      <c r="A80" t="inlineStr">
        <is>
          <t>2026-08-28</t>
        </is>
      </c>
      <c r="B80" t="inlineStr">
        <is>
          <t>10:25</t>
        </is>
      </c>
      <c r="C80" t="inlineStr">
        <is>
          <t>MNQ</t>
        </is>
      </c>
      <c r="D80" t="inlineStr">
        <is>
          <t>Short</t>
        </is>
      </c>
      <c r="E80" t="n">
        <v>134</v>
      </c>
      <c r="F80" t="inlineStr">
        <is>
          <t>up</t>
        </is>
      </c>
      <c r="G80" t="inlineStr">
        <is>
          <t>up</t>
        </is>
      </c>
      <c r="H80" t="inlineStr">
        <is>
          <t>down</t>
        </is>
      </c>
      <c r="I80" t="inlineStr">
        <is>
          <t>down</t>
        </is>
      </c>
      <c r="J80" t="n">
        <v>54</v>
      </c>
      <c r="K80" t="inlineStr">
        <is>
          <t>bear</t>
        </is>
      </c>
      <c r="L80" t="inlineStr">
        <is>
          <t>-</t>
        </is>
      </c>
      <c r="M80" t="n">
        <v>15</v>
      </c>
      <c r="N80" t="n">
        <v>48.7</v>
      </c>
      <c r="O80" t="n">
        <v>29621.33</v>
      </c>
      <c r="P80" t="inlineStr">
        <is>
          <t>above</t>
        </is>
      </c>
      <c r="Q80" t="n">
        <v>29597.96</v>
      </c>
      <c r="R80" t="n">
        <v>1.34</v>
      </c>
      <c r="S80" t="n">
        <v>-1150</v>
      </c>
      <c r="T80" t="n">
        <v>68</v>
      </c>
      <c r="U80" t="inlineStr">
        <is>
          <t>deep</t>
        </is>
      </c>
      <c r="V80" t="inlineStr">
        <is>
          <t>Weak</t>
        </is>
      </c>
      <c r="W80" t="n">
        <v>1</v>
      </c>
      <c r="X80" t="inlineStr">
        <is>
          <t>Round</t>
        </is>
      </c>
      <c r="Y80" t="inlineStr">
        <is>
          <t>bullish pin/hammer</t>
        </is>
      </c>
      <c r="Z80" t="n">
        <v>1.44</v>
      </c>
      <c r="AA80" t="inlineStr">
        <is>
          <t>No</t>
        </is>
      </c>
      <c r="AB80" t="inlineStr">
        <is>
          <t>No</t>
        </is>
      </c>
    </row>
    <row r="81">
      <c r="A81" t="inlineStr">
        <is>
          <t>2026-08-28</t>
        </is>
      </c>
      <c r="B81" t="inlineStr">
        <is>
          <t>10:40</t>
        </is>
      </c>
      <c r="C81" t="inlineStr">
        <is>
          <t>MNQ</t>
        </is>
      </c>
      <c r="D81" t="inlineStr">
        <is>
          <t>Short</t>
        </is>
      </c>
      <c r="E81" t="n">
        <v>-102</v>
      </c>
      <c r="F81" t="inlineStr">
        <is>
          <t>up</t>
        </is>
      </c>
      <c r="G81" t="inlineStr">
        <is>
          <t>up</t>
        </is>
      </c>
      <c r="H81" t="inlineStr">
        <is>
          <t>down</t>
        </is>
      </c>
      <c r="I81" t="inlineStr">
        <is>
          <t>up</t>
        </is>
      </c>
      <c r="J81" t="n">
        <v>64.5</v>
      </c>
      <c r="K81" t="inlineStr">
        <is>
          <t>bull</t>
        </is>
      </c>
      <c r="L81" t="inlineStr">
        <is>
          <t>+</t>
        </is>
      </c>
      <c r="M81" t="n">
        <v>16.3</v>
      </c>
      <c r="N81" t="n">
        <v>50.22</v>
      </c>
      <c r="O81" t="n">
        <v>29632.06</v>
      </c>
      <c r="P81" t="inlineStr">
        <is>
          <t>above</t>
        </is>
      </c>
      <c r="Q81" t="n">
        <v>29597.61</v>
      </c>
      <c r="R81" t="n">
        <v>1.62</v>
      </c>
      <c r="S81" t="n">
        <v>8113</v>
      </c>
      <c r="V81" t="inlineStr">
        <is>
          <t>No setup</t>
        </is>
      </c>
      <c r="W81" t="n">
        <v>0</v>
      </c>
      <c r="X81" t="inlineStr">
        <is>
          <t>PDH/ONH/ORH/Round</t>
        </is>
      </c>
      <c r="Y81" t="inlineStr">
        <is>
          <t>strong bullish close</t>
        </is>
      </c>
      <c r="Z81" t="n">
        <v>1.08</v>
      </c>
      <c r="AA81" t="inlineStr">
        <is>
          <t>No</t>
        </is>
      </c>
      <c r="AB81" t="inlineStr">
        <is>
          <t>No</t>
        </is>
      </c>
    </row>
    <row r="82">
      <c r="A82" t="inlineStr">
        <is>
          <t>2026-08-28</t>
        </is>
      </c>
      <c r="B82" t="inlineStr">
        <is>
          <t>11:12</t>
        </is>
      </c>
      <c r="C82" t="inlineStr">
        <is>
          <t>MNQ</t>
        </is>
      </c>
      <c r="D82" t="inlineStr">
        <is>
          <t>Short</t>
        </is>
      </c>
      <c r="E82" t="n">
        <v>-13.5</v>
      </c>
      <c r="F82" t="inlineStr">
        <is>
          <t>up</t>
        </is>
      </c>
      <c r="G82" t="inlineStr">
        <is>
          <t>up</t>
        </is>
      </c>
      <c r="H82" t="inlineStr">
        <is>
          <t>up</t>
        </is>
      </c>
      <c r="I82" t="inlineStr">
        <is>
          <t>up</t>
        </is>
      </c>
      <c r="J82" t="n">
        <v>60.4</v>
      </c>
      <c r="K82" t="inlineStr">
        <is>
          <t>bull</t>
        </is>
      </c>
      <c r="L82" t="inlineStr">
        <is>
          <t>+</t>
        </is>
      </c>
      <c r="M82" t="n">
        <v>22.7</v>
      </c>
      <c r="N82" t="n">
        <v>45.18</v>
      </c>
      <c r="O82" t="n">
        <v>29661.43</v>
      </c>
      <c r="P82" t="inlineStr">
        <is>
          <t>above</t>
        </is>
      </c>
      <c r="Q82" t="n">
        <v>29677.41</v>
      </c>
      <c r="R82" t="n">
        <v>1.4</v>
      </c>
      <c r="S82" t="n">
        <v>18971</v>
      </c>
      <c r="T82" t="n">
        <v>16</v>
      </c>
      <c r="U82" t="inlineStr">
        <is>
          <t>shallow</t>
        </is>
      </c>
      <c r="V82" t="inlineStr">
        <is>
          <t>No setup</t>
        </is>
      </c>
      <c r="W82" t="n">
        <v>0</v>
      </c>
      <c r="X82" t="inlineStr">
        <is>
          <t>Round</t>
        </is>
      </c>
      <c r="Z82" t="n">
        <v>0.62</v>
      </c>
      <c r="AA82" t="inlineStr">
        <is>
          <t>No</t>
        </is>
      </c>
      <c r="AB82" t="inlineStr">
        <is>
          <t>No</t>
        </is>
      </c>
    </row>
    <row r="83">
      <c r="A83" t="inlineStr">
        <is>
          <t>2026-08-28</t>
        </is>
      </c>
      <c r="B83" t="inlineStr">
        <is>
          <t>12:53</t>
        </is>
      </c>
      <c r="C83" t="inlineStr">
        <is>
          <t>MNQ</t>
        </is>
      </c>
      <c r="D83" t="inlineStr">
        <is>
          <t>Long</t>
        </is>
      </c>
      <c r="E83" t="n">
        <v>-162</v>
      </c>
      <c r="F83" t="inlineStr">
        <is>
          <t>flat</t>
        </is>
      </c>
      <c r="G83" t="inlineStr">
        <is>
          <t>up</t>
        </is>
      </c>
      <c r="H83" t="inlineStr">
        <is>
          <t>down</t>
        </is>
      </c>
      <c r="I83" t="inlineStr">
        <is>
          <t>down</t>
        </is>
      </c>
      <c r="J83" t="n">
        <v>39.7</v>
      </c>
      <c r="K83" t="inlineStr">
        <is>
          <t>bear</t>
        </is>
      </c>
      <c r="L83" t="inlineStr">
        <is>
          <t>-</t>
        </is>
      </c>
      <c r="M83" t="n">
        <v>31.6</v>
      </c>
      <c r="N83" t="n">
        <v>49.23</v>
      </c>
      <c r="O83" t="n">
        <v>29635.25</v>
      </c>
      <c r="P83" t="inlineStr">
        <is>
          <t>below</t>
        </is>
      </c>
      <c r="Q83" t="n">
        <v>29651.01</v>
      </c>
      <c r="R83" t="n">
        <v>1.57</v>
      </c>
      <c r="S83" t="n">
        <v>-23005</v>
      </c>
      <c r="T83" t="n">
        <v>14</v>
      </c>
      <c r="U83" t="inlineStr">
        <is>
          <t>extended (no pullback)</t>
        </is>
      </c>
      <c r="V83" t="inlineStr">
        <is>
          <t>No setup</t>
        </is>
      </c>
      <c r="W83" t="n">
        <v>0</v>
      </c>
      <c r="X83" t="inlineStr">
        <is>
          <t>Round</t>
        </is>
      </c>
      <c r="Y83" t="inlineStr">
        <is>
          <t>strong bearish close</t>
        </is>
      </c>
      <c r="Z83" t="n">
        <v>0.67</v>
      </c>
      <c r="AA83" t="inlineStr">
        <is>
          <t>No</t>
        </is>
      </c>
      <c r="AB83" t="inlineStr">
        <is>
          <t>No</t>
        </is>
      </c>
    </row>
    <row r="84">
      <c r="A84" t="inlineStr">
        <is>
          <t>2026-08-30</t>
        </is>
      </c>
      <c r="B84" t="inlineStr">
        <is>
          <t>18:03</t>
        </is>
      </c>
      <c r="C84" t="inlineStr">
        <is>
          <t>MGC</t>
        </is>
      </c>
      <c r="D84" t="inlineStr">
        <is>
          <t>Long</t>
        </is>
      </c>
      <c r="E84" t="n">
        <v>199</v>
      </c>
      <c r="F84" t="inlineStr">
        <is>
          <t>down</t>
        </is>
      </c>
      <c r="G84" t="inlineStr">
        <is>
          <t>down</t>
        </is>
      </c>
      <c r="H84" t="inlineStr">
        <is>
          <t>down</t>
        </is>
      </c>
      <c r="I84" t="inlineStr">
        <is>
          <t>up</t>
        </is>
      </c>
      <c r="J84" t="n">
        <v>66.09999999999999</v>
      </c>
      <c r="K84" t="inlineStr">
        <is>
          <t>bull</t>
        </is>
      </c>
      <c r="L84" t="inlineStr">
        <is>
          <t>+</t>
        </is>
      </c>
      <c r="M84" t="n">
        <v>41.8</v>
      </c>
      <c r="N84" t="n">
        <v>6.92</v>
      </c>
      <c r="T84" t="n">
        <v>87</v>
      </c>
      <c r="U84" t="inlineStr">
        <is>
          <t>broke the leg (reversal risk)</t>
        </is>
      </c>
      <c r="V84" t="inlineStr">
        <is>
          <t>Weak</t>
        </is>
      </c>
      <c r="W84" t="n">
        <v>1</v>
      </c>
      <c r="X84" t="inlineStr">
        <is>
          <t>Round</t>
        </is>
      </c>
      <c r="Y84" t="inlineStr">
        <is>
          <t>strong bullish close</t>
        </is>
      </c>
      <c r="Z84" t="n">
        <v>0.75</v>
      </c>
      <c r="AA84" t="inlineStr">
        <is>
          <t>No</t>
        </is>
      </c>
      <c r="AB84" t="inlineStr">
        <is>
          <t>No</t>
        </is>
      </c>
    </row>
    <row r="85">
      <c r="A85" t="inlineStr">
        <is>
          <t>2026-08-30</t>
        </is>
      </c>
      <c r="B85" t="inlineStr">
        <is>
          <t>18:28</t>
        </is>
      </c>
      <c r="C85" t="inlineStr">
        <is>
          <t>MGC</t>
        </is>
      </c>
      <c r="D85" t="inlineStr">
        <is>
          <t>Short</t>
        </is>
      </c>
      <c r="E85" t="n">
        <v>25</v>
      </c>
      <c r="F85" t="inlineStr">
        <is>
          <t>down</t>
        </is>
      </c>
      <c r="G85" t="inlineStr">
        <is>
          <t>down</t>
        </is>
      </c>
      <c r="H85" t="inlineStr">
        <is>
          <t>down</t>
        </is>
      </c>
      <c r="I85" t="inlineStr">
        <is>
          <t>up</t>
        </is>
      </c>
      <c r="J85" t="n">
        <v>48.3</v>
      </c>
      <c r="K85" t="inlineStr">
        <is>
          <t>bull</t>
        </is>
      </c>
      <c r="L85" t="inlineStr">
        <is>
          <t>+</t>
        </is>
      </c>
      <c r="M85" t="n">
        <v>37.9</v>
      </c>
      <c r="N85" t="n">
        <v>7.97</v>
      </c>
      <c r="O85" t="n">
        <v>4510.46</v>
      </c>
      <c r="P85" t="inlineStr">
        <is>
          <t>below</t>
        </is>
      </c>
      <c r="Q85" t="n">
        <v>4511.4</v>
      </c>
      <c r="R85" t="n">
        <v>5.83</v>
      </c>
      <c r="S85" t="n">
        <v>-230</v>
      </c>
      <c r="T85" t="n">
        <v>32</v>
      </c>
      <c r="U85" t="inlineStr">
        <is>
          <t>shallow</t>
        </is>
      </c>
      <c r="V85" t="inlineStr">
        <is>
          <t>Good</t>
        </is>
      </c>
      <c r="W85" t="n">
        <v>2</v>
      </c>
      <c r="X85" t="inlineStr">
        <is>
          <t>Round</t>
        </is>
      </c>
      <c r="Y85" t="inlineStr">
        <is>
          <t>bearish engulfing</t>
        </is>
      </c>
      <c r="Z85" t="n">
        <v>2.31</v>
      </c>
      <c r="AA85" t="inlineStr">
        <is>
          <t>No</t>
        </is>
      </c>
      <c r="AB85" t="inlineStr">
        <is>
          <t>Yes</t>
        </is>
      </c>
    </row>
    <row r="86">
      <c r="A86" t="inlineStr">
        <is>
          <t>2026-08-30</t>
        </is>
      </c>
      <c r="B86" t="inlineStr">
        <is>
          <t>21:25</t>
        </is>
      </c>
      <c r="C86" t="inlineStr">
        <is>
          <t>MGC</t>
        </is>
      </c>
      <c r="D86" t="inlineStr">
        <is>
          <t>Short</t>
        </is>
      </c>
      <c r="E86" t="n">
        <v>42</v>
      </c>
      <c r="F86" t="inlineStr">
        <is>
          <t>down</t>
        </is>
      </c>
      <c r="G86" t="inlineStr">
        <is>
          <t>down</t>
        </is>
      </c>
      <c r="H86" t="inlineStr">
        <is>
          <t>down</t>
        </is>
      </c>
      <c r="I86" t="inlineStr">
        <is>
          <t>down</t>
        </is>
      </c>
      <c r="J86" t="n">
        <v>41.9</v>
      </c>
      <c r="K86" t="inlineStr">
        <is>
          <t>bear</t>
        </is>
      </c>
      <c r="L86" t="inlineStr">
        <is>
          <t>-</t>
        </is>
      </c>
      <c r="M86" t="n">
        <v>18.1</v>
      </c>
      <c r="N86" t="n">
        <v>9.27</v>
      </c>
      <c r="O86" t="n">
        <v>4504.89</v>
      </c>
      <c r="P86" t="inlineStr">
        <is>
          <t>below</t>
        </is>
      </c>
      <c r="Q86" t="n">
        <v>4500.17</v>
      </c>
      <c r="R86" t="n">
        <v>1</v>
      </c>
      <c r="S86" t="n">
        <v>2081</v>
      </c>
      <c r="T86" t="n">
        <v>23</v>
      </c>
      <c r="U86" t="inlineStr">
        <is>
          <t>shallow</t>
        </is>
      </c>
      <c r="V86" t="inlineStr">
        <is>
          <t>No setup</t>
        </is>
      </c>
      <c r="W86" t="n">
        <v>0</v>
      </c>
      <c r="X86" t="inlineStr">
        <is>
          <t>Round</t>
        </is>
      </c>
      <c r="Y86" t="inlineStr">
        <is>
          <t>strong bearish close</t>
        </is>
      </c>
      <c r="Z86" t="n">
        <v>0.58</v>
      </c>
      <c r="AA86" t="inlineStr">
        <is>
          <t>Yes</t>
        </is>
      </c>
      <c r="AB86" t="inlineStr">
        <is>
          <t>Yes</t>
        </is>
      </c>
    </row>
    <row r="87">
      <c r="A87" t="inlineStr">
        <is>
          <t>2026-08-30</t>
        </is>
      </c>
      <c r="B87" t="inlineStr">
        <is>
          <t>23:30</t>
        </is>
      </c>
      <c r="C87" t="inlineStr">
        <is>
          <t>MGC</t>
        </is>
      </c>
      <c r="D87" t="inlineStr">
        <is>
          <t>Short</t>
        </is>
      </c>
      <c r="E87" t="n">
        <v>326</v>
      </c>
      <c r="F87" t="inlineStr">
        <is>
          <t>down</t>
        </is>
      </c>
      <c r="G87" t="inlineStr">
        <is>
          <t>down</t>
        </is>
      </c>
      <c r="H87" t="inlineStr">
        <is>
          <t>down</t>
        </is>
      </c>
      <c r="I87" t="inlineStr">
        <is>
          <t>up</t>
        </is>
      </c>
      <c r="J87" t="n">
        <v>45.5</v>
      </c>
      <c r="K87" t="inlineStr">
        <is>
          <t>bear</t>
        </is>
      </c>
      <c r="L87" t="inlineStr">
        <is>
          <t>+</t>
        </is>
      </c>
      <c r="M87" t="n">
        <v>27.4</v>
      </c>
      <c r="N87" t="n">
        <v>8.07</v>
      </c>
      <c r="O87" t="n">
        <v>4489.69</v>
      </c>
      <c r="P87" t="inlineStr">
        <is>
          <t>below</t>
        </is>
      </c>
      <c r="Q87" t="n">
        <v>4478.81</v>
      </c>
      <c r="R87" t="n">
        <v>1.42</v>
      </c>
      <c r="S87" t="n">
        <v>-1099</v>
      </c>
      <c r="T87" t="n">
        <v>36</v>
      </c>
      <c r="U87" t="inlineStr">
        <is>
          <t>shallow</t>
        </is>
      </c>
      <c r="V87" t="inlineStr">
        <is>
          <t>Good</t>
        </is>
      </c>
      <c r="W87" t="n">
        <v>2</v>
      </c>
      <c r="X87" t="inlineStr">
        <is>
          <t>Round</t>
        </is>
      </c>
      <c r="Y87" t="inlineStr">
        <is>
          <t>strong bearish close</t>
        </is>
      </c>
      <c r="Z87" t="n">
        <v>0.38</v>
      </c>
      <c r="AA87" t="inlineStr">
        <is>
          <t>No</t>
        </is>
      </c>
      <c r="AB87" t="inlineStr">
        <is>
          <t>Yes</t>
        </is>
      </c>
    </row>
    <row r="88">
      <c r="A88" t="inlineStr">
        <is>
          <t>2026-08-31</t>
        </is>
      </c>
      <c r="B88" t="inlineStr">
        <is>
          <t>00:07</t>
        </is>
      </c>
      <c r="C88" t="inlineStr">
        <is>
          <t>MGC</t>
        </is>
      </c>
      <c r="D88" t="inlineStr">
        <is>
          <t>Short</t>
        </is>
      </c>
      <c r="E88" t="n">
        <v>47</v>
      </c>
      <c r="F88" t="inlineStr">
        <is>
          <t>down</t>
        </is>
      </c>
      <c r="G88" t="inlineStr">
        <is>
          <t>down</t>
        </is>
      </c>
      <c r="H88" t="inlineStr">
        <is>
          <t>down</t>
        </is>
      </c>
      <c r="I88" t="inlineStr">
        <is>
          <t>up</t>
        </is>
      </c>
      <c r="J88" t="n">
        <v>41.8</v>
      </c>
      <c r="K88" t="inlineStr">
        <is>
          <t>bear</t>
        </is>
      </c>
      <c r="L88" t="inlineStr">
        <is>
          <t>+</t>
        </is>
      </c>
      <c r="M88" t="n">
        <v>23.8</v>
      </c>
      <c r="N88" t="n">
        <v>6.17</v>
      </c>
      <c r="O88" t="n">
        <v>4489</v>
      </c>
      <c r="P88" t="inlineStr">
        <is>
          <t>below</t>
        </is>
      </c>
      <c r="Q88" t="n">
        <v>4478.81</v>
      </c>
      <c r="R88" t="n">
        <v>1.17</v>
      </c>
      <c r="S88" t="n">
        <v>-1597</v>
      </c>
      <c r="T88" t="n">
        <v>30</v>
      </c>
      <c r="U88" t="inlineStr">
        <is>
          <t>shallow</t>
        </is>
      </c>
      <c r="V88" t="inlineStr">
        <is>
          <t>Weak</t>
        </is>
      </c>
      <c r="W88" t="n">
        <v>1</v>
      </c>
      <c r="X88" t="inlineStr">
        <is>
          <t>Round</t>
        </is>
      </c>
      <c r="Z88" t="n">
        <v>0.44</v>
      </c>
      <c r="AA88" t="inlineStr">
        <is>
          <t>No</t>
        </is>
      </c>
      <c r="AB88" t="inlineStr">
        <is>
          <t>Yes</t>
        </is>
      </c>
    </row>
    <row r="89">
      <c r="A89" t="inlineStr">
        <is>
          <t>2026-08-31</t>
        </is>
      </c>
      <c r="B89" t="inlineStr">
        <is>
          <t>00:11</t>
        </is>
      </c>
      <c r="C89" t="inlineStr">
        <is>
          <t>MGC</t>
        </is>
      </c>
      <c r="D89" t="inlineStr">
        <is>
          <t>Long</t>
        </is>
      </c>
      <c r="E89" t="n">
        <v>46</v>
      </c>
      <c r="F89" t="inlineStr">
        <is>
          <t>down</t>
        </is>
      </c>
      <c r="G89" t="inlineStr">
        <is>
          <t>down</t>
        </is>
      </c>
      <c r="H89" t="inlineStr">
        <is>
          <t>down</t>
        </is>
      </c>
      <c r="I89" t="inlineStr">
        <is>
          <t>up</t>
        </is>
      </c>
      <c r="J89" t="n">
        <v>45.5</v>
      </c>
      <c r="K89" t="inlineStr">
        <is>
          <t>bear</t>
        </is>
      </c>
      <c r="L89" t="inlineStr">
        <is>
          <t>+</t>
        </is>
      </c>
      <c r="M89" t="n">
        <v>23.1</v>
      </c>
      <c r="N89" t="n">
        <v>6.15</v>
      </c>
      <c r="O89" t="n">
        <v>4488.63</v>
      </c>
      <c r="P89" t="inlineStr">
        <is>
          <t>below</t>
        </is>
      </c>
      <c r="Q89" t="n">
        <v>4478.81</v>
      </c>
      <c r="R89" t="n">
        <v>3.96</v>
      </c>
      <c r="S89" t="n">
        <v>-1154</v>
      </c>
      <c r="T89" t="n">
        <v>44</v>
      </c>
      <c r="U89" t="inlineStr">
        <is>
          <t>golden</t>
        </is>
      </c>
      <c r="V89" t="inlineStr">
        <is>
          <t>Weak</t>
        </is>
      </c>
      <c r="W89" t="n">
        <v>1</v>
      </c>
      <c r="X89" t="inlineStr">
        <is>
          <t>No</t>
        </is>
      </c>
      <c r="Y89" t="inlineStr">
        <is>
          <t>bullish engulfing</t>
        </is>
      </c>
      <c r="Z89" t="n">
        <v>1.38</v>
      </c>
      <c r="AA89" t="inlineStr">
        <is>
          <t>No</t>
        </is>
      </c>
      <c r="AB89" t="inlineStr">
        <is>
          <t>No</t>
        </is>
      </c>
    </row>
    <row r="90">
      <c r="A90" t="inlineStr">
        <is>
          <t>2026-08-31</t>
        </is>
      </c>
      <c r="B90" t="inlineStr">
        <is>
          <t>00:40</t>
        </is>
      </c>
      <c r="C90" t="inlineStr">
        <is>
          <t>MGC</t>
        </is>
      </c>
      <c r="D90" t="inlineStr">
        <is>
          <t>Short</t>
        </is>
      </c>
      <c r="E90" t="n">
        <v>-161</v>
      </c>
      <c r="F90" t="inlineStr">
        <is>
          <t>down</t>
        </is>
      </c>
      <c r="G90" t="inlineStr">
        <is>
          <t>down</t>
        </is>
      </c>
      <c r="H90" t="inlineStr">
        <is>
          <t>down</t>
        </is>
      </c>
      <c r="I90" t="inlineStr">
        <is>
          <t>up</t>
        </is>
      </c>
      <c r="J90" t="n">
        <v>46.3</v>
      </c>
      <c r="K90" t="inlineStr">
        <is>
          <t>bear</t>
        </is>
      </c>
      <c r="L90" t="inlineStr">
        <is>
          <t>+</t>
        </is>
      </c>
      <c r="M90" t="n">
        <v>19.3</v>
      </c>
      <c r="N90" t="n">
        <v>5.48</v>
      </c>
      <c r="O90" t="n">
        <v>4487.97</v>
      </c>
      <c r="P90" t="inlineStr">
        <is>
          <t>below</t>
        </is>
      </c>
      <c r="Q90" t="n">
        <v>4478.81</v>
      </c>
      <c r="R90" t="n">
        <v>0.95</v>
      </c>
      <c r="S90" t="n">
        <v>-719</v>
      </c>
      <c r="T90" t="n">
        <v>30</v>
      </c>
      <c r="U90" t="inlineStr">
        <is>
          <t>shallow</t>
        </is>
      </c>
      <c r="V90" t="inlineStr">
        <is>
          <t>Weak</t>
        </is>
      </c>
      <c r="W90" t="n">
        <v>1</v>
      </c>
      <c r="X90" t="inlineStr">
        <is>
          <t>Round</t>
        </is>
      </c>
      <c r="Y90" t="inlineStr">
        <is>
          <t>bullish pin/hammer</t>
        </is>
      </c>
      <c r="Z90" t="n">
        <v>0.46</v>
      </c>
      <c r="AA90" t="inlineStr">
        <is>
          <t>No</t>
        </is>
      </c>
      <c r="AB90" t="inlineStr">
        <is>
          <t>Yes</t>
        </is>
      </c>
    </row>
    <row r="91">
      <c r="A91" t="inlineStr">
        <is>
          <t>2026-08-31</t>
        </is>
      </c>
      <c r="B91" t="inlineStr">
        <is>
          <t>09:42</t>
        </is>
      </c>
      <c r="C91" t="inlineStr">
        <is>
          <t>MNQ</t>
        </is>
      </c>
      <c r="D91" t="inlineStr">
        <is>
          <t>Short</t>
        </is>
      </c>
      <c r="E91" t="n">
        <v>134</v>
      </c>
      <c r="F91" t="inlineStr">
        <is>
          <t>down</t>
        </is>
      </c>
      <c r="G91" t="inlineStr">
        <is>
          <t>down</t>
        </is>
      </c>
      <c r="H91" t="inlineStr">
        <is>
          <t>down</t>
        </is>
      </c>
      <c r="I91" t="inlineStr">
        <is>
          <t>up</t>
        </is>
      </c>
      <c r="J91" t="n">
        <v>45.7</v>
      </c>
      <c r="K91" t="inlineStr">
        <is>
          <t>bear</t>
        </is>
      </c>
      <c r="L91" t="inlineStr">
        <is>
          <t>+</t>
        </is>
      </c>
      <c r="M91" t="n">
        <v>20.5</v>
      </c>
      <c r="N91" t="n">
        <v>32.05</v>
      </c>
      <c r="O91" t="n">
        <v>29437.45</v>
      </c>
      <c r="P91" t="inlineStr">
        <is>
          <t>below</t>
        </is>
      </c>
      <c r="Q91" t="n">
        <v>29467.73</v>
      </c>
      <c r="R91" t="n">
        <v>0.89</v>
      </c>
      <c r="S91" t="n">
        <v>-14014</v>
      </c>
      <c r="T91" t="n">
        <v>31</v>
      </c>
      <c r="U91" t="inlineStr">
        <is>
          <t>shallow</t>
        </is>
      </c>
      <c r="V91" t="inlineStr">
        <is>
          <t>A+</t>
        </is>
      </c>
      <c r="W91" t="n">
        <v>3</v>
      </c>
      <c r="X91" t="inlineStr">
        <is>
          <t>PDL</t>
        </is>
      </c>
      <c r="Z91" t="n">
        <v>4.01</v>
      </c>
      <c r="AA91" t="inlineStr">
        <is>
          <t>No</t>
        </is>
      </c>
      <c r="AB91" t="inlineStr">
        <is>
          <t>Yes</t>
        </is>
      </c>
    </row>
    <row r="92">
      <c r="A92" t="inlineStr">
        <is>
          <t>2026-08-31</t>
        </is>
      </c>
      <c r="B92" t="inlineStr">
        <is>
          <t>09:56</t>
        </is>
      </c>
      <c r="C92" t="inlineStr">
        <is>
          <t>MNQ</t>
        </is>
      </c>
      <c r="D92" t="inlineStr">
        <is>
          <t>Long</t>
        </is>
      </c>
      <c r="E92" t="n">
        <v>-129</v>
      </c>
      <c r="F92" t="inlineStr">
        <is>
          <t>down</t>
        </is>
      </c>
      <c r="G92" t="inlineStr">
        <is>
          <t>down</t>
        </is>
      </c>
      <c r="H92" t="inlineStr">
        <is>
          <t>down</t>
        </is>
      </c>
      <c r="I92" t="inlineStr">
        <is>
          <t>up</t>
        </is>
      </c>
      <c r="J92" t="n">
        <v>52.3</v>
      </c>
      <c r="K92" t="inlineStr">
        <is>
          <t>bull</t>
        </is>
      </c>
      <c r="L92" t="inlineStr">
        <is>
          <t>+</t>
        </is>
      </c>
      <c r="M92" t="n">
        <v>24.9</v>
      </c>
      <c r="N92" t="n">
        <v>38.19</v>
      </c>
      <c r="O92" t="n">
        <v>29438.41</v>
      </c>
      <c r="P92" t="inlineStr">
        <is>
          <t>above</t>
        </is>
      </c>
      <c r="Q92" t="n">
        <v>29466.76</v>
      </c>
      <c r="R92" t="n">
        <v>0.74</v>
      </c>
      <c r="S92" t="n">
        <v>-8579</v>
      </c>
      <c r="T92" t="n">
        <v>40</v>
      </c>
      <c r="U92" t="inlineStr">
        <is>
          <t>golden</t>
        </is>
      </c>
      <c r="V92" t="inlineStr">
        <is>
          <t>Good</t>
        </is>
      </c>
      <c r="W92" t="n">
        <v>2</v>
      </c>
      <c r="X92" t="inlineStr">
        <is>
          <t>Round</t>
        </is>
      </c>
      <c r="Y92" t="inlineStr">
        <is>
          <t>strong bearish close</t>
        </is>
      </c>
      <c r="Z92" t="n">
        <v>1.68</v>
      </c>
      <c r="AA92" t="inlineStr">
        <is>
          <t>No</t>
        </is>
      </c>
      <c r="AB92" t="inlineStr">
        <is>
          <t>No</t>
        </is>
      </c>
    </row>
    <row r="93">
      <c r="A93" t="inlineStr">
        <is>
          <t>2026-08-31</t>
        </is>
      </c>
      <c r="B93" t="inlineStr">
        <is>
          <t>10:01</t>
        </is>
      </c>
      <c r="C93" t="inlineStr">
        <is>
          <t>MGC</t>
        </is>
      </c>
      <c r="D93" t="inlineStr">
        <is>
          <t>Short</t>
        </is>
      </c>
      <c r="E93" t="n">
        <v>-78</v>
      </c>
      <c r="F93" t="inlineStr">
        <is>
          <t>down</t>
        </is>
      </c>
      <c r="G93" t="inlineStr">
        <is>
          <t>down</t>
        </is>
      </c>
      <c r="H93" t="inlineStr">
        <is>
          <t>down</t>
        </is>
      </c>
      <c r="I93" t="inlineStr">
        <is>
          <t>down</t>
        </is>
      </c>
      <c r="J93" t="n">
        <v>28.2</v>
      </c>
      <c r="K93" t="inlineStr">
        <is>
          <t>bear</t>
        </is>
      </c>
      <c r="L93" t="inlineStr">
        <is>
          <t>-</t>
        </is>
      </c>
      <c r="M93" t="n">
        <v>32.7</v>
      </c>
      <c r="N93" t="n">
        <v>6.62</v>
      </c>
      <c r="O93" t="n">
        <v>4479.19</v>
      </c>
      <c r="P93" t="inlineStr">
        <is>
          <t>below</t>
        </is>
      </c>
      <c r="Q93" t="n">
        <v>4470.81</v>
      </c>
      <c r="R93" t="n">
        <v>0.83</v>
      </c>
      <c r="S93" t="n">
        <v>-5090</v>
      </c>
      <c r="T93" t="n">
        <v>13</v>
      </c>
      <c r="U93" t="inlineStr">
        <is>
          <t>extended (no pullback)</t>
        </is>
      </c>
      <c r="V93" t="inlineStr">
        <is>
          <t>Weak</t>
        </is>
      </c>
      <c r="W93" t="n">
        <v>1</v>
      </c>
      <c r="X93" t="inlineStr">
        <is>
          <t>Round</t>
        </is>
      </c>
      <c r="Z93" t="n">
        <v>1.38</v>
      </c>
      <c r="AA93" t="inlineStr">
        <is>
          <t>Yes</t>
        </is>
      </c>
      <c r="AB93" t="inlineStr">
        <is>
          <t>Yes</t>
        </is>
      </c>
    </row>
    <row r="94">
      <c r="A94" t="inlineStr">
        <is>
          <t>2026-08-31</t>
        </is>
      </c>
      <c r="B94" t="inlineStr">
        <is>
          <t>10:11</t>
        </is>
      </c>
      <c r="C94" t="inlineStr">
        <is>
          <t>MNQ</t>
        </is>
      </c>
      <c r="D94" t="inlineStr">
        <is>
          <t>Short</t>
        </is>
      </c>
      <c r="E94" t="n">
        <v>-120</v>
      </c>
      <c r="F94" t="inlineStr">
        <is>
          <t>down</t>
        </is>
      </c>
      <c r="G94" t="inlineStr">
        <is>
          <t>down</t>
        </is>
      </c>
      <c r="H94" t="inlineStr">
        <is>
          <t>down</t>
        </is>
      </c>
      <c r="I94" t="inlineStr">
        <is>
          <t>down</t>
        </is>
      </c>
      <c r="J94" t="n">
        <v>44.6</v>
      </c>
      <c r="K94" t="inlineStr">
        <is>
          <t>bear</t>
        </is>
      </c>
      <c r="L94" t="inlineStr">
        <is>
          <t>-</t>
        </is>
      </c>
      <c r="M94" t="n">
        <v>22.4</v>
      </c>
      <c r="N94" t="n">
        <v>39.3</v>
      </c>
      <c r="O94" t="n">
        <v>29430.09</v>
      </c>
      <c r="P94" t="inlineStr">
        <is>
          <t>below</t>
        </is>
      </c>
      <c r="Q94" t="n">
        <v>29467.56</v>
      </c>
      <c r="R94" t="n">
        <v>0.79</v>
      </c>
      <c r="S94" t="n">
        <v>-18379</v>
      </c>
      <c r="T94" t="n">
        <v>16</v>
      </c>
      <c r="U94" t="inlineStr">
        <is>
          <t>shallow</t>
        </is>
      </c>
      <c r="V94" t="inlineStr">
        <is>
          <t>A+</t>
        </is>
      </c>
      <c r="W94" t="n">
        <v>3</v>
      </c>
      <c r="X94" t="inlineStr">
        <is>
          <t>ORL/Round</t>
        </is>
      </c>
      <c r="Z94" t="n">
        <v>1.19</v>
      </c>
      <c r="AA94" t="inlineStr">
        <is>
          <t>Yes</t>
        </is>
      </c>
      <c r="AB94" t="inlineStr">
        <is>
          <t>Yes</t>
        </is>
      </c>
    </row>
    <row r="95">
      <c r="A95" t="inlineStr">
        <is>
          <t>2026-08-31</t>
        </is>
      </c>
      <c r="B95" t="inlineStr">
        <is>
          <t>10:28</t>
        </is>
      </c>
      <c r="C95" t="inlineStr">
        <is>
          <t>MGC</t>
        </is>
      </c>
      <c r="D95" t="inlineStr">
        <is>
          <t>Short</t>
        </is>
      </c>
      <c r="E95" t="n">
        <v>-126</v>
      </c>
      <c r="F95" t="inlineStr">
        <is>
          <t>down</t>
        </is>
      </c>
      <c r="G95" t="inlineStr">
        <is>
          <t>down</t>
        </is>
      </c>
      <c r="H95" t="inlineStr">
        <is>
          <t>down</t>
        </is>
      </c>
      <c r="I95" t="inlineStr">
        <is>
          <t>down</t>
        </is>
      </c>
      <c r="J95" t="n">
        <v>32.8</v>
      </c>
      <c r="K95" t="inlineStr">
        <is>
          <t>bear</t>
        </is>
      </c>
      <c r="L95" t="inlineStr">
        <is>
          <t>-</t>
        </is>
      </c>
      <c r="M95" t="n">
        <v>33.9</v>
      </c>
      <c r="N95" t="n">
        <v>6.89</v>
      </c>
      <c r="O95" t="n">
        <v>4477.82</v>
      </c>
      <c r="P95" t="inlineStr">
        <is>
          <t>below</t>
        </is>
      </c>
      <c r="Q95" t="n">
        <v>4470.81</v>
      </c>
      <c r="R95" t="n">
        <v>0.7</v>
      </c>
      <c r="S95" t="n">
        <v>-4540</v>
      </c>
      <c r="T95" t="n">
        <v>13</v>
      </c>
      <c r="U95" t="inlineStr">
        <is>
          <t>extended (no pullback)</t>
        </is>
      </c>
      <c r="V95" t="inlineStr">
        <is>
          <t>Weak</t>
        </is>
      </c>
      <c r="W95" t="n">
        <v>1</v>
      </c>
      <c r="X95" t="inlineStr">
        <is>
          <t>Round</t>
        </is>
      </c>
      <c r="Z95" t="n">
        <v>0.5600000000000001</v>
      </c>
      <c r="AA95" t="inlineStr">
        <is>
          <t>Yes</t>
        </is>
      </c>
      <c r="AB95" t="inlineStr">
        <is>
          <t>Yes</t>
        </is>
      </c>
    </row>
    <row r="96">
      <c r="A96" t="inlineStr">
        <is>
          <t>2026-08-31</t>
        </is>
      </c>
      <c r="B96" t="inlineStr">
        <is>
          <t>10:41</t>
        </is>
      </c>
      <c r="C96" t="inlineStr">
        <is>
          <t>MNQ</t>
        </is>
      </c>
      <c r="D96" t="inlineStr">
        <is>
          <t>Long</t>
        </is>
      </c>
      <c r="E96" t="n">
        <v>250</v>
      </c>
      <c r="F96" t="inlineStr">
        <is>
          <t>down</t>
        </is>
      </c>
      <c r="G96" t="inlineStr">
        <is>
          <t>down</t>
        </is>
      </c>
      <c r="H96" t="inlineStr">
        <is>
          <t>down</t>
        </is>
      </c>
      <c r="I96" t="inlineStr">
        <is>
          <t>down</t>
        </is>
      </c>
      <c r="J96" t="n">
        <v>52.5</v>
      </c>
      <c r="K96" t="inlineStr">
        <is>
          <t>bear</t>
        </is>
      </c>
      <c r="L96" t="inlineStr">
        <is>
          <t>+</t>
        </is>
      </c>
      <c r="M96" t="n">
        <v>19.4</v>
      </c>
      <c r="N96" t="n">
        <v>40.2</v>
      </c>
      <c r="O96" t="n">
        <v>29420.42</v>
      </c>
      <c r="P96" t="inlineStr">
        <is>
          <t>below</t>
        </is>
      </c>
      <c r="Q96" t="n">
        <v>29429.81</v>
      </c>
      <c r="R96" t="n">
        <v>0.98</v>
      </c>
      <c r="S96" t="n">
        <v>-15436</v>
      </c>
      <c r="T96" t="n">
        <v>31</v>
      </c>
      <c r="U96" t="inlineStr">
        <is>
          <t>shallow</t>
        </is>
      </c>
      <c r="V96" t="inlineStr">
        <is>
          <t>Good</t>
        </is>
      </c>
      <c r="W96" t="n">
        <v>2</v>
      </c>
      <c r="X96" t="inlineStr">
        <is>
          <t>Round</t>
        </is>
      </c>
      <c r="Z96" t="n">
        <v>0.83</v>
      </c>
      <c r="AA96" t="inlineStr">
        <is>
          <t>No</t>
        </is>
      </c>
      <c r="AB96" t="inlineStr">
        <is>
          <t>No</t>
        </is>
      </c>
    </row>
    <row r="97">
      <c r="A97" t="inlineStr">
        <is>
          <t>2026-08-31</t>
        </is>
      </c>
      <c r="B97" t="inlineStr">
        <is>
          <t>10:47</t>
        </is>
      </c>
      <c r="C97" t="inlineStr">
        <is>
          <t>MNQ</t>
        </is>
      </c>
      <c r="D97" t="inlineStr">
        <is>
          <t>Long</t>
        </is>
      </c>
      <c r="E97" t="n">
        <v>-87.5</v>
      </c>
      <c r="F97" t="inlineStr">
        <is>
          <t>down</t>
        </is>
      </c>
      <c r="G97" t="inlineStr">
        <is>
          <t>down</t>
        </is>
      </c>
      <c r="H97" t="inlineStr">
        <is>
          <t>down</t>
        </is>
      </c>
      <c r="I97" t="inlineStr">
        <is>
          <t>down</t>
        </is>
      </c>
      <c r="J97" t="n">
        <v>46.3</v>
      </c>
      <c r="K97" t="inlineStr">
        <is>
          <t>bear</t>
        </is>
      </c>
      <c r="L97" t="inlineStr">
        <is>
          <t>+</t>
        </is>
      </c>
      <c r="M97" t="n">
        <v>19</v>
      </c>
      <c r="N97" t="n">
        <v>40.48</v>
      </c>
      <c r="O97" t="n">
        <v>29419.96</v>
      </c>
      <c r="P97" t="inlineStr">
        <is>
          <t>below</t>
        </is>
      </c>
      <c r="Q97" t="n">
        <v>29429.81</v>
      </c>
      <c r="R97" t="n">
        <v>0.8</v>
      </c>
      <c r="S97" t="n">
        <v>-18500</v>
      </c>
      <c r="T97" t="n">
        <v>33</v>
      </c>
      <c r="U97" t="inlineStr">
        <is>
          <t>shallow</t>
        </is>
      </c>
      <c r="V97" t="inlineStr">
        <is>
          <t>Good</t>
        </is>
      </c>
      <c r="W97" t="n">
        <v>2</v>
      </c>
      <c r="X97" t="inlineStr">
        <is>
          <t>Round</t>
        </is>
      </c>
      <c r="Y97" t="inlineStr">
        <is>
          <t>bearish engulfing</t>
        </is>
      </c>
      <c r="Z97" t="n">
        <v>0.68</v>
      </c>
      <c r="AA97" t="inlineStr">
        <is>
          <t>No</t>
        </is>
      </c>
      <c r="AB97" t="inlineStr">
        <is>
          <t>No</t>
        </is>
      </c>
    </row>
    <row r="98">
      <c r="A98" t="inlineStr">
        <is>
          <t>2026-08-31</t>
        </is>
      </c>
      <c r="B98" t="inlineStr">
        <is>
          <t>10:48</t>
        </is>
      </c>
      <c r="C98" t="inlineStr">
        <is>
          <t>MNQ</t>
        </is>
      </c>
      <c r="D98" t="inlineStr">
        <is>
          <t>Long</t>
        </is>
      </c>
      <c r="E98" t="n">
        <v>-57</v>
      </c>
      <c r="F98" t="inlineStr">
        <is>
          <t>down</t>
        </is>
      </c>
      <c r="G98" t="inlineStr">
        <is>
          <t>down</t>
        </is>
      </c>
      <c r="H98" t="inlineStr">
        <is>
          <t>down</t>
        </is>
      </c>
      <c r="I98" t="inlineStr">
        <is>
          <t>down</t>
        </is>
      </c>
      <c r="J98" t="n">
        <v>46.3</v>
      </c>
      <c r="K98" t="inlineStr">
        <is>
          <t>bear</t>
        </is>
      </c>
      <c r="L98" t="inlineStr">
        <is>
          <t>+</t>
        </is>
      </c>
      <c r="M98" t="n">
        <v>19</v>
      </c>
      <c r="N98" t="n">
        <v>40.48</v>
      </c>
      <c r="O98" t="n">
        <v>29419.96</v>
      </c>
      <c r="P98" t="inlineStr">
        <is>
          <t>below</t>
        </is>
      </c>
      <c r="Q98" t="n">
        <v>29429.81</v>
      </c>
      <c r="R98" t="n">
        <v>0.8</v>
      </c>
      <c r="S98" t="n">
        <v>-18500</v>
      </c>
      <c r="T98" t="n">
        <v>42</v>
      </c>
      <c r="U98" t="inlineStr">
        <is>
          <t>golden</t>
        </is>
      </c>
      <c r="V98" t="inlineStr">
        <is>
          <t>Good</t>
        </is>
      </c>
      <c r="W98" t="n">
        <v>2</v>
      </c>
      <c r="X98" t="inlineStr">
        <is>
          <t>ORL/Round</t>
        </is>
      </c>
      <c r="Y98" t="inlineStr">
        <is>
          <t>bearish engulfing</t>
        </is>
      </c>
      <c r="Z98" t="n">
        <v>0.68</v>
      </c>
      <c r="AA98" t="inlineStr">
        <is>
          <t>No</t>
        </is>
      </c>
      <c r="AB98" t="inlineStr">
        <is>
          <t>No</t>
        </is>
      </c>
    </row>
    <row r="99">
      <c r="A99" t="inlineStr">
        <is>
          <t>2026-08-31</t>
        </is>
      </c>
      <c r="B99" t="inlineStr">
        <is>
          <t>10:55</t>
        </is>
      </c>
      <c r="C99" t="inlineStr">
        <is>
          <t>MGC</t>
        </is>
      </c>
      <c r="D99" t="inlineStr">
        <is>
          <t>Short</t>
        </is>
      </c>
      <c r="E99" t="n">
        <v>108</v>
      </c>
      <c r="F99" t="inlineStr">
        <is>
          <t>down</t>
        </is>
      </c>
      <c r="G99" t="inlineStr">
        <is>
          <t>down</t>
        </is>
      </c>
      <c r="H99" t="inlineStr">
        <is>
          <t>down</t>
        </is>
      </c>
      <c r="I99" t="inlineStr">
        <is>
          <t>down</t>
        </is>
      </c>
      <c r="J99" t="n">
        <v>47.9</v>
      </c>
      <c r="K99" t="inlineStr">
        <is>
          <t>bear</t>
        </is>
      </c>
      <c r="L99" t="inlineStr">
        <is>
          <t>+</t>
        </is>
      </c>
      <c r="M99" t="n">
        <v>25</v>
      </c>
      <c r="N99" t="n">
        <v>7.13</v>
      </c>
      <c r="O99" t="n">
        <v>4478.31</v>
      </c>
      <c r="P99" t="inlineStr">
        <is>
          <t>above</t>
        </is>
      </c>
      <c r="Q99" t="n">
        <v>4474.83</v>
      </c>
      <c r="R99" t="n">
        <v>0.99</v>
      </c>
      <c r="S99" t="n">
        <v>-4347</v>
      </c>
      <c r="T99" t="n">
        <v>36</v>
      </c>
      <c r="U99" t="inlineStr">
        <is>
          <t>shallow</t>
        </is>
      </c>
      <c r="V99" t="inlineStr">
        <is>
          <t>Good</t>
        </is>
      </c>
      <c r="W99" t="n">
        <v>2</v>
      </c>
      <c r="X99" t="inlineStr">
        <is>
          <t>No</t>
        </is>
      </c>
      <c r="Y99" t="inlineStr">
        <is>
          <t>bearish pin</t>
        </is>
      </c>
      <c r="Z99" t="n">
        <v>0.71</v>
      </c>
      <c r="AA99" t="inlineStr">
        <is>
          <t>Yes</t>
        </is>
      </c>
      <c r="AB99" t="inlineStr">
        <is>
          <t>Yes</t>
        </is>
      </c>
    </row>
    <row r="100">
      <c r="A100" t="inlineStr">
        <is>
          <t>2026-08-31</t>
        </is>
      </c>
      <c r="B100" t="inlineStr">
        <is>
          <t>22:25</t>
        </is>
      </c>
      <c r="C100" t="inlineStr">
        <is>
          <t>MGC</t>
        </is>
      </c>
      <c r="D100" t="inlineStr">
        <is>
          <t>Long</t>
        </is>
      </c>
      <c r="E100" t="n">
        <v>-16</v>
      </c>
      <c r="F100" t="inlineStr">
        <is>
          <t>down</t>
        </is>
      </c>
      <c r="G100" t="inlineStr">
        <is>
          <t>down</t>
        </is>
      </c>
      <c r="H100" t="inlineStr">
        <is>
          <t>up</t>
        </is>
      </c>
      <c r="I100" t="inlineStr">
        <is>
          <t>down</t>
        </is>
      </c>
      <c r="J100" t="n">
        <v>41.4</v>
      </c>
      <c r="K100" t="inlineStr">
        <is>
          <t>bear</t>
        </is>
      </c>
      <c r="L100" t="inlineStr">
        <is>
          <t>-</t>
        </is>
      </c>
      <c r="M100" t="n">
        <v>15.5</v>
      </c>
      <c r="N100" t="n">
        <v>4.68</v>
      </c>
      <c r="O100" t="n">
        <v>4484.98</v>
      </c>
      <c r="P100" t="inlineStr">
        <is>
          <t>above</t>
        </is>
      </c>
      <c r="Q100" t="n">
        <v>4481.28</v>
      </c>
      <c r="R100" t="n">
        <v>0.78</v>
      </c>
      <c r="S100" t="n">
        <v>-7255</v>
      </c>
      <c r="T100" t="n">
        <v>49</v>
      </c>
      <c r="U100" t="inlineStr">
        <is>
          <t>golden</t>
        </is>
      </c>
      <c r="V100" t="inlineStr">
        <is>
          <t>Weak</t>
        </is>
      </c>
      <c r="W100" t="n">
        <v>1</v>
      </c>
      <c r="X100" t="inlineStr">
        <is>
          <t>Round</t>
        </is>
      </c>
      <c r="Y100" t="inlineStr">
        <is>
          <t>strong bearish close</t>
        </is>
      </c>
      <c r="Z100" t="n">
        <v>0.7</v>
      </c>
      <c r="AA100" t="inlineStr">
        <is>
          <t>No</t>
        </is>
      </c>
      <c r="AB100" t="inlineStr">
        <is>
          <t>No</t>
        </is>
      </c>
    </row>
    <row r="101">
      <c r="A101" t="inlineStr">
        <is>
          <t>2026-08-31</t>
        </is>
      </c>
      <c r="B101" t="inlineStr">
        <is>
          <t>22:26</t>
        </is>
      </c>
      <c r="C101" t="inlineStr">
        <is>
          <t>MGC</t>
        </is>
      </c>
      <c r="D101" t="inlineStr">
        <is>
          <t>Long</t>
        </is>
      </c>
      <c r="E101" t="n">
        <v>-60</v>
      </c>
      <c r="F101" t="inlineStr">
        <is>
          <t>down</t>
        </is>
      </c>
      <c r="G101" t="inlineStr">
        <is>
          <t>down</t>
        </is>
      </c>
      <c r="H101" t="inlineStr">
        <is>
          <t>up</t>
        </is>
      </c>
      <c r="I101" t="inlineStr">
        <is>
          <t>down</t>
        </is>
      </c>
      <c r="J101" t="n">
        <v>41.4</v>
      </c>
      <c r="K101" t="inlineStr">
        <is>
          <t>bear</t>
        </is>
      </c>
      <c r="L101" t="inlineStr">
        <is>
          <t>-</t>
        </is>
      </c>
      <c r="M101" t="n">
        <v>15.5</v>
      </c>
      <c r="N101" t="n">
        <v>4.68</v>
      </c>
      <c r="O101" t="n">
        <v>4484.98</v>
      </c>
      <c r="P101" t="inlineStr">
        <is>
          <t>above</t>
        </is>
      </c>
      <c r="Q101" t="n">
        <v>4481.28</v>
      </c>
      <c r="R101" t="n">
        <v>0.78</v>
      </c>
      <c r="S101" t="n">
        <v>-7255</v>
      </c>
      <c r="T101" t="n">
        <v>59</v>
      </c>
      <c r="U101" t="inlineStr">
        <is>
          <t>golden</t>
        </is>
      </c>
      <c r="V101" t="inlineStr">
        <is>
          <t>Weak</t>
        </is>
      </c>
      <c r="W101" t="n">
        <v>1</v>
      </c>
      <c r="X101" t="inlineStr">
        <is>
          <t>Round</t>
        </is>
      </c>
      <c r="Y101" t="inlineStr">
        <is>
          <t>strong bearish close</t>
        </is>
      </c>
      <c r="Z101" t="n">
        <v>0.7</v>
      </c>
      <c r="AA101" t="inlineStr">
        <is>
          <t>No</t>
        </is>
      </c>
      <c r="AB101" t="inlineStr">
        <is>
          <t>No</t>
        </is>
      </c>
    </row>
    <row r="102">
      <c r="A102" t="inlineStr">
        <is>
          <t>2026-08-31</t>
        </is>
      </c>
      <c r="B102" t="inlineStr">
        <is>
          <t>22:47</t>
        </is>
      </c>
      <c r="C102" t="inlineStr">
        <is>
          <t>MGC</t>
        </is>
      </c>
      <c r="D102" t="inlineStr">
        <is>
          <t>Short</t>
        </is>
      </c>
      <c r="E102" t="n">
        <v>-180</v>
      </c>
      <c r="F102" t="inlineStr">
        <is>
          <t>down</t>
        </is>
      </c>
      <c r="G102" t="inlineStr">
        <is>
          <t>down</t>
        </is>
      </c>
      <c r="H102" t="inlineStr">
        <is>
          <t>down</t>
        </is>
      </c>
      <c r="I102" t="inlineStr">
        <is>
          <t>down</t>
        </is>
      </c>
      <c r="J102" t="n">
        <v>38.6</v>
      </c>
      <c r="K102" t="inlineStr">
        <is>
          <t>bear</t>
        </is>
      </c>
      <c r="L102" t="inlineStr">
        <is>
          <t>-</t>
        </is>
      </c>
      <c r="M102" t="n">
        <v>20.4</v>
      </c>
      <c r="N102" t="n">
        <v>5.09</v>
      </c>
      <c r="O102" t="n">
        <v>4484.93</v>
      </c>
      <c r="P102" t="inlineStr">
        <is>
          <t>below</t>
        </is>
      </c>
      <c r="Q102" t="n">
        <v>4481.28</v>
      </c>
      <c r="R102" t="n">
        <v>2.63</v>
      </c>
      <c r="S102" t="n">
        <v>-7614</v>
      </c>
      <c r="T102" t="n">
        <v>12</v>
      </c>
      <c r="U102" t="inlineStr">
        <is>
          <t>extended (no pullback)</t>
        </is>
      </c>
      <c r="V102" t="inlineStr">
        <is>
          <t>Weak</t>
        </is>
      </c>
      <c r="W102" t="n">
        <v>1</v>
      </c>
      <c r="X102" t="inlineStr">
        <is>
          <t>Round</t>
        </is>
      </c>
      <c r="Y102" t="inlineStr">
        <is>
          <t>bullish engulfing</t>
        </is>
      </c>
      <c r="Z102" t="n">
        <v>2.86</v>
      </c>
      <c r="AA102" t="inlineStr">
        <is>
          <t>Yes</t>
        </is>
      </c>
      <c r="AB102" t="inlineStr">
        <is>
          <t>Yes</t>
        </is>
      </c>
    </row>
    <row r="103">
      <c r="A103" t="inlineStr">
        <is>
          <t>2026-08-31</t>
        </is>
      </c>
      <c r="B103" t="inlineStr">
        <is>
          <t>23:00</t>
        </is>
      </c>
      <c r="C103" t="inlineStr">
        <is>
          <t>MGC</t>
        </is>
      </c>
      <c r="D103" t="inlineStr">
        <is>
          <t>Short</t>
        </is>
      </c>
      <c r="E103" t="n">
        <v>230</v>
      </c>
      <c r="F103" t="inlineStr">
        <is>
          <t>down</t>
        </is>
      </c>
      <c r="G103" t="inlineStr">
        <is>
          <t>down</t>
        </is>
      </c>
      <c r="H103" t="inlineStr">
        <is>
          <t>down</t>
        </is>
      </c>
      <c r="I103" t="inlineStr">
        <is>
          <t>down</t>
        </is>
      </c>
      <c r="J103" t="n">
        <v>47.8</v>
      </c>
      <c r="K103" t="inlineStr">
        <is>
          <t>bear</t>
        </is>
      </c>
      <c r="L103" t="inlineStr">
        <is>
          <t>+</t>
        </is>
      </c>
      <c r="M103" t="n">
        <v>19.1</v>
      </c>
      <c r="N103" t="n">
        <v>5.06</v>
      </c>
      <c r="O103" t="n">
        <v>4484.99</v>
      </c>
      <c r="P103" t="inlineStr">
        <is>
          <t>above</t>
        </is>
      </c>
      <c r="Q103" t="n">
        <v>4481.28</v>
      </c>
      <c r="R103" t="n">
        <v>1.4</v>
      </c>
      <c r="S103" t="n">
        <v>-7474</v>
      </c>
      <c r="T103" t="n">
        <v>34</v>
      </c>
      <c r="U103" t="inlineStr">
        <is>
          <t>shallow</t>
        </is>
      </c>
      <c r="V103" t="inlineStr">
        <is>
          <t>Weak</t>
        </is>
      </c>
      <c r="W103" t="n">
        <v>1</v>
      </c>
      <c r="X103" t="inlineStr">
        <is>
          <t>Round</t>
        </is>
      </c>
      <c r="Y103" t="inlineStr">
        <is>
          <t>strong bearish close</t>
        </is>
      </c>
      <c r="Z103" t="n">
        <v>1.27</v>
      </c>
      <c r="AA103" t="inlineStr">
        <is>
          <t>Yes</t>
        </is>
      </c>
      <c r="AB103" t="inlineStr">
        <is>
          <t>Yes</t>
        </is>
      </c>
    </row>
    <row r="104">
      <c r="A104" t="inlineStr">
        <is>
          <t>2026-08-31</t>
        </is>
      </c>
      <c r="B104" t="inlineStr">
        <is>
          <t>23:58</t>
        </is>
      </c>
      <c r="C104" t="inlineStr">
        <is>
          <t>MGC</t>
        </is>
      </c>
      <c r="D104" t="inlineStr">
        <is>
          <t>Short</t>
        </is>
      </c>
      <c r="E104" t="n">
        <v>50</v>
      </c>
      <c r="F104" t="inlineStr">
        <is>
          <t>down</t>
        </is>
      </c>
      <c r="G104" t="inlineStr">
        <is>
          <t>down</t>
        </is>
      </c>
      <c r="H104" t="inlineStr">
        <is>
          <t>down</t>
        </is>
      </c>
      <c r="I104" t="inlineStr">
        <is>
          <t>down</t>
        </is>
      </c>
      <c r="J104" t="n">
        <v>46.4</v>
      </c>
      <c r="K104" t="inlineStr">
        <is>
          <t>bear</t>
        </is>
      </c>
      <c r="L104" t="inlineStr">
        <is>
          <t>+</t>
        </is>
      </c>
      <c r="M104" t="n">
        <v>17.7</v>
      </c>
      <c r="N104" t="n">
        <v>4.27</v>
      </c>
      <c r="O104" t="n">
        <v>4485.1</v>
      </c>
      <c r="P104" t="inlineStr">
        <is>
          <t>above</t>
        </is>
      </c>
      <c r="Q104" t="n">
        <v>4481.28</v>
      </c>
      <c r="R104" t="n">
        <v>3.7</v>
      </c>
      <c r="S104" t="n">
        <v>-7669</v>
      </c>
      <c r="T104" t="n">
        <v>29</v>
      </c>
      <c r="U104" t="inlineStr">
        <is>
          <t>shallow</t>
        </is>
      </c>
      <c r="V104" t="inlineStr">
        <is>
          <t>Weak</t>
        </is>
      </c>
      <c r="W104" t="n">
        <v>1</v>
      </c>
      <c r="X104" t="inlineStr">
        <is>
          <t>No</t>
        </is>
      </c>
      <c r="Y104" t="inlineStr">
        <is>
          <t>strong bearish close</t>
        </is>
      </c>
      <c r="Z104" t="n">
        <v>1.21</v>
      </c>
      <c r="AA104" t="inlineStr">
        <is>
          <t>Yes</t>
        </is>
      </c>
      <c r="AB104" t="inlineStr">
        <is>
          <t>Yes</t>
        </is>
      </c>
    </row>
    <row r="105">
      <c r="A105" t="inlineStr">
        <is>
          <t>2026-09-01</t>
        </is>
      </c>
      <c r="B105" t="inlineStr">
        <is>
          <t>00:02</t>
        </is>
      </c>
      <c r="C105" t="inlineStr">
        <is>
          <t>MGC</t>
        </is>
      </c>
      <c r="D105" t="inlineStr">
        <is>
          <t>Short</t>
        </is>
      </c>
      <c r="E105" t="n">
        <v>15</v>
      </c>
      <c r="F105" t="inlineStr">
        <is>
          <t>down</t>
        </is>
      </c>
      <c r="G105" t="inlineStr">
        <is>
          <t>down</t>
        </is>
      </c>
      <c r="H105" t="inlineStr">
        <is>
          <t>down</t>
        </is>
      </c>
      <c r="I105" t="inlineStr">
        <is>
          <t>down</t>
        </is>
      </c>
      <c r="J105" t="n">
        <v>44.9</v>
      </c>
      <c r="K105" t="inlineStr">
        <is>
          <t>bear</t>
        </is>
      </c>
      <c r="L105" t="inlineStr">
        <is>
          <t>+</t>
        </is>
      </c>
      <c r="M105" t="n">
        <v>17.8</v>
      </c>
      <c r="N105" t="n">
        <v>4.13</v>
      </c>
      <c r="O105" t="n">
        <v>4485.11</v>
      </c>
      <c r="P105" t="inlineStr">
        <is>
          <t>above</t>
        </is>
      </c>
      <c r="Q105" t="n">
        <v>4481.28</v>
      </c>
      <c r="R105" t="n">
        <v>0.43</v>
      </c>
      <c r="S105" t="n">
        <v>-7634</v>
      </c>
      <c r="T105" t="n">
        <v>28</v>
      </c>
      <c r="U105" t="inlineStr">
        <is>
          <t>shallow</t>
        </is>
      </c>
      <c r="V105" t="inlineStr">
        <is>
          <t>Weak</t>
        </is>
      </c>
      <c r="W105" t="n">
        <v>1</v>
      </c>
      <c r="X105" t="inlineStr">
        <is>
          <t>No</t>
        </is>
      </c>
      <c r="Z105" t="n">
        <v>0.29</v>
      </c>
      <c r="AA105" t="inlineStr">
        <is>
          <t>Yes</t>
        </is>
      </c>
      <c r="AB105" t="inlineStr">
        <is>
          <t>Yes</t>
        </is>
      </c>
    </row>
    <row r="106">
      <c r="A106" t="inlineStr">
        <is>
          <t>2026-09-01</t>
        </is>
      </c>
      <c r="B106" t="inlineStr">
        <is>
          <t>10:27</t>
        </is>
      </c>
      <c r="C106" t="inlineStr">
        <is>
          <t>MGC</t>
        </is>
      </c>
      <c r="D106" t="inlineStr">
        <is>
          <t>Short</t>
        </is>
      </c>
      <c r="E106" t="n">
        <v>31</v>
      </c>
      <c r="F106" t="inlineStr">
        <is>
          <t>down</t>
        </is>
      </c>
      <c r="G106" t="inlineStr">
        <is>
          <t>down</t>
        </is>
      </c>
      <c r="H106" t="inlineStr">
        <is>
          <t>down</t>
        </is>
      </c>
      <c r="I106" t="inlineStr">
        <is>
          <t>up</t>
        </is>
      </c>
      <c r="J106" t="n">
        <v>53.2</v>
      </c>
      <c r="K106" t="inlineStr">
        <is>
          <t>bull</t>
        </is>
      </c>
      <c r="L106" t="inlineStr">
        <is>
          <t>+</t>
        </is>
      </c>
      <c r="M106" t="n">
        <v>17.2</v>
      </c>
      <c r="N106" t="n">
        <v>9.140000000000001</v>
      </c>
      <c r="O106" t="n">
        <v>4408.1</v>
      </c>
      <c r="P106" t="inlineStr">
        <is>
          <t>above</t>
        </is>
      </c>
      <c r="Q106" t="n">
        <v>4410.7</v>
      </c>
      <c r="R106" t="n">
        <v>1.4</v>
      </c>
      <c r="S106" t="n">
        <v>2867</v>
      </c>
      <c r="T106" t="n">
        <v>70</v>
      </c>
      <c r="U106" t="inlineStr">
        <is>
          <t>deep</t>
        </is>
      </c>
      <c r="V106" t="inlineStr">
        <is>
          <t>No setup</t>
        </is>
      </c>
      <c r="W106" t="n">
        <v>0</v>
      </c>
      <c r="X106" t="inlineStr">
        <is>
          <t>ORH/Round</t>
        </is>
      </c>
      <c r="Y106" t="inlineStr">
        <is>
          <t>bearish engulfing</t>
        </is>
      </c>
      <c r="Z106" t="n">
        <v>0.62</v>
      </c>
      <c r="AA106" t="inlineStr">
        <is>
          <t>No</t>
        </is>
      </c>
      <c r="AB106" t="inlineStr">
        <is>
          <t>Yes</t>
        </is>
      </c>
    </row>
    <row r="107">
      <c r="A107" t="inlineStr">
        <is>
          <t>2026-09-01</t>
        </is>
      </c>
      <c r="B107" t="inlineStr">
        <is>
          <t>10:39</t>
        </is>
      </c>
      <c r="C107" t="inlineStr">
        <is>
          <t>MNQ</t>
        </is>
      </c>
      <c r="D107" t="inlineStr">
        <is>
          <t>Long</t>
        </is>
      </c>
      <c r="E107" t="n">
        <v>482</v>
      </c>
      <c r="F107" t="inlineStr">
        <is>
          <t>down</t>
        </is>
      </c>
      <c r="G107" t="inlineStr">
        <is>
          <t>down</t>
        </is>
      </c>
      <c r="H107" t="inlineStr">
        <is>
          <t>up</t>
        </is>
      </c>
      <c r="I107" t="inlineStr">
        <is>
          <t>up</t>
        </is>
      </c>
      <c r="J107" t="n">
        <v>64</v>
      </c>
      <c r="K107" t="inlineStr">
        <is>
          <t>bull</t>
        </is>
      </c>
      <c r="L107" t="inlineStr">
        <is>
          <t>+</t>
        </is>
      </c>
      <c r="M107" t="n">
        <v>29.3</v>
      </c>
      <c r="N107" t="n">
        <v>36.39</v>
      </c>
      <c r="O107" t="n">
        <v>29122.08</v>
      </c>
      <c r="P107" t="inlineStr">
        <is>
          <t>above</t>
        </is>
      </c>
      <c r="Q107" t="n">
        <v>29094.86</v>
      </c>
      <c r="R107" t="n">
        <v>0.78</v>
      </c>
      <c r="S107" t="n">
        <v>10840</v>
      </c>
      <c r="T107" t="n">
        <v>4</v>
      </c>
      <c r="U107" t="inlineStr">
        <is>
          <t>extended (no pullback)</t>
        </is>
      </c>
      <c r="V107" t="inlineStr">
        <is>
          <t>No setup</t>
        </is>
      </c>
      <c r="W107" t="n">
        <v>0</v>
      </c>
      <c r="X107" t="inlineStr">
        <is>
          <t>Round</t>
        </is>
      </c>
      <c r="Z107" t="n">
        <v>0.78</v>
      </c>
      <c r="AA107" t="inlineStr">
        <is>
          <t>No</t>
        </is>
      </c>
      <c r="AB107" t="inlineStr">
        <is>
          <t>No</t>
        </is>
      </c>
    </row>
    <row r="108">
      <c r="A108" t="inlineStr">
        <is>
          <t>2026-09-01</t>
        </is>
      </c>
      <c r="B108" t="inlineStr">
        <is>
          <t>11:28</t>
        </is>
      </c>
      <c r="C108" t="inlineStr">
        <is>
          <t>MNQ</t>
        </is>
      </c>
      <c r="D108" t="inlineStr">
        <is>
          <t>Long</t>
        </is>
      </c>
      <c r="E108" t="n">
        <v>50</v>
      </c>
      <c r="F108" t="inlineStr">
        <is>
          <t>down</t>
        </is>
      </c>
      <c r="G108" t="inlineStr">
        <is>
          <t>down</t>
        </is>
      </c>
      <c r="H108" t="inlineStr">
        <is>
          <t>up</t>
        </is>
      </c>
      <c r="I108" t="inlineStr">
        <is>
          <t>up</t>
        </is>
      </c>
      <c r="J108" t="n">
        <v>61.7</v>
      </c>
      <c r="K108" t="inlineStr">
        <is>
          <t>bull</t>
        </is>
      </c>
      <c r="L108" t="inlineStr">
        <is>
          <t>+</t>
        </is>
      </c>
      <c r="M108" t="n">
        <v>33</v>
      </c>
      <c r="N108" t="n">
        <v>32.98</v>
      </c>
      <c r="O108" t="n">
        <v>29148.8</v>
      </c>
      <c r="P108" t="inlineStr">
        <is>
          <t>above</t>
        </is>
      </c>
      <c r="Q108" t="n">
        <v>29111.42</v>
      </c>
      <c r="R108" t="n">
        <v>0.77</v>
      </c>
      <c r="S108" t="n">
        <v>14006</v>
      </c>
      <c r="T108" t="n">
        <v>26</v>
      </c>
      <c r="U108" t="inlineStr">
        <is>
          <t>shallow</t>
        </is>
      </c>
      <c r="V108" t="inlineStr">
        <is>
          <t>No setup</t>
        </is>
      </c>
      <c r="W108" t="n">
        <v>0</v>
      </c>
      <c r="X108" t="inlineStr">
        <is>
          <t>Round</t>
        </is>
      </c>
      <c r="Y108" t="inlineStr">
        <is>
          <t>strong bullish close</t>
        </is>
      </c>
      <c r="Z108" t="n">
        <v>0.53</v>
      </c>
      <c r="AA108" t="inlineStr">
        <is>
          <t>No</t>
        </is>
      </c>
      <c r="AB108" t="inlineStr">
        <is>
          <t>No</t>
        </is>
      </c>
    </row>
    <row r="109">
      <c r="A109" t="inlineStr">
        <is>
          <t>2026-09-01</t>
        </is>
      </c>
      <c r="B109" t="inlineStr">
        <is>
          <t>12:25</t>
        </is>
      </c>
      <c r="C109" t="inlineStr">
        <is>
          <t>MNQ</t>
        </is>
      </c>
      <c r="D109" t="inlineStr">
        <is>
          <t>Long</t>
        </is>
      </c>
      <c r="E109" t="n">
        <v>-79</v>
      </c>
      <c r="F109" t="inlineStr">
        <is>
          <t>down</t>
        </is>
      </c>
      <c r="G109" t="inlineStr">
        <is>
          <t>down</t>
        </is>
      </c>
      <c r="H109" t="inlineStr">
        <is>
          <t>up</t>
        </is>
      </c>
      <c r="I109" t="inlineStr">
        <is>
          <t>down</t>
        </is>
      </c>
      <c r="J109" t="n">
        <v>40.4</v>
      </c>
      <c r="K109" t="inlineStr">
        <is>
          <t>bull</t>
        </is>
      </c>
      <c r="L109" t="inlineStr">
        <is>
          <t>-</t>
        </is>
      </c>
      <c r="M109" t="n">
        <v>33.3</v>
      </c>
      <c r="N109" t="n">
        <v>31.78</v>
      </c>
      <c r="O109" t="n">
        <v>29175.5</v>
      </c>
      <c r="P109" t="inlineStr">
        <is>
          <t>above</t>
        </is>
      </c>
      <c r="Q109" t="n">
        <v>29189.41</v>
      </c>
      <c r="R109" t="n">
        <v>2.06</v>
      </c>
      <c r="S109" t="n">
        <v>11928</v>
      </c>
      <c r="T109" t="n">
        <v>42</v>
      </c>
      <c r="U109" t="inlineStr">
        <is>
          <t>golden</t>
        </is>
      </c>
      <c r="V109" t="inlineStr">
        <is>
          <t>Weak</t>
        </is>
      </c>
      <c r="W109" t="n">
        <v>1</v>
      </c>
      <c r="X109" t="inlineStr">
        <is>
          <t>Round</t>
        </is>
      </c>
      <c r="Z109" t="n">
        <v>1.32</v>
      </c>
      <c r="AA109" t="inlineStr">
        <is>
          <t>No</t>
        </is>
      </c>
      <c r="AB109" t="inlineStr">
        <is>
          <t>No</t>
        </is>
      </c>
    </row>
    <row r="110">
      <c r="A110" t="inlineStr">
        <is>
          <t>2026-09-01</t>
        </is>
      </c>
      <c r="B110" t="inlineStr">
        <is>
          <t>14:47</t>
        </is>
      </c>
      <c r="C110" t="inlineStr">
        <is>
          <t>MNQ</t>
        </is>
      </c>
      <c r="D110" t="inlineStr">
        <is>
          <t>Long</t>
        </is>
      </c>
      <c r="E110" t="n">
        <v>308</v>
      </c>
      <c r="F110" t="inlineStr">
        <is>
          <t>down</t>
        </is>
      </c>
      <c r="G110" t="inlineStr">
        <is>
          <t>down</t>
        </is>
      </c>
      <c r="H110" t="inlineStr">
        <is>
          <t>down</t>
        </is>
      </c>
      <c r="I110" t="inlineStr">
        <is>
          <t>down</t>
        </is>
      </c>
      <c r="J110" t="n">
        <v>32.8</v>
      </c>
      <c r="K110" t="inlineStr">
        <is>
          <t>bear</t>
        </is>
      </c>
      <c r="L110" t="inlineStr">
        <is>
          <t>-</t>
        </is>
      </c>
      <c r="M110" t="n">
        <v>34.7</v>
      </c>
      <c r="N110" t="n">
        <v>28.96</v>
      </c>
      <c r="O110" t="n">
        <v>29159.72</v>
      </c>
      <c r="P110" t="inlineStr">
        <is>
          <t>below</t>
        </is>
      </c>
      <c r="Q110" t="n">
        <v>29108.57</v>
      </c>
      <c r="R110" t="n">
        <v>3.08</v>
      </c>
      <c r="S110" t="n">
        <v>4365</v>
      </c>
      <c r="V110" t="inlineStr">
        <is>
          <t>No setup</t>
        </is>
      </c>
      <c r="W110" t="n">
        <v>0</v>
      </c>
      <c r="X110" t="inlineStr">
        <is>
          <t>ORL/Round</t>
        </is>
      </c>
      <c r="Y110" t="inlineStr">
        <is>
          <t>strong bullish close</t>
        </is>
      </c>
      <c r="Z110" t="n">
        <v>2.34</v>
      </c>
      <c r="AA110" t="inlineStr">
        <is>
          <t>No</t>
        </is>
      </c>
      <c r="AB110" t="inlineStr">
        <is>
          <t>No</t>
        </is>
      </c>
    </row>
    <row r="111">
      <c r="A111" t="inlineStr">
        <is>
          <t>2026-09-01</t>
        </is>
      </c>
      <c r="B111" t="inlineStr">
        <is>
          <t>15:06</t>
        </is>
      </c>
      <c r="C111" t="inlineStr">
        <is>
          <t>MNQ</t>
        </is>
      </c>
      <c r="D111" t="inlineStr">
        <is>
          <t>Short</t>
        </is>
      </c>
      <c r="E111" t="n">
        <v>3</v>
      </c>
      <c r="F111" t="inlineStr">
        <is>
          <t>down</t>
        </is>
      </c>
      <c r="G111" t="inlineStr">
        <is>
          <t>down</t>
        </is>
      </c>
      <c r="H111" t="inlineStr">
        <is>
          <t>down</t>
        </is>
      </c>
      <c r="I111" t="inlineStr">
        <is>
          <t>down</t>
        </is>
      </c>
      <c r="J111" t="n">
        <v>48.3</v>
      </c>
      <c r="K111" t="inlineStr">
        <is>
          <t>bear</t>
        </is>
      </c>
      <c r="L111" t="inlineStr">
        <is>
          <t>+</t>
        </is>
      </c>
      <c r="M111" t="n">
        <v>33.6</v>
      </c>
      <c r="N111" t="n">
        <v>28.51</v>
      </c>
      <c r="O111" t="n">
        <v>29155.95</v>
      </c>
      <c r="P111" t="inlineStr">
        <is>
          <t>below</t>
        </is>
      </c>
      <c r="Q111" t="n">
        <v>29108.57</v>
      </c>
      <c r="R111" t="n">
        <v>1</v>
      </c>
      <c r="S111" t="n">
        <v>13485</v>
      </c>
      <c r="T111" t="n">
        <v>30</v>
      </c>
      <c r="U111" t="inlineStr">
        <is>
          <t>shallow</t>
        </is>
      </c>
      <c r="V111" t="inlineStr">
        <is>
          <t>Good</t>
        </is>
      </c>
      <c r="W111" t="n">
        <v>2</v>
      </c>
      <c r="X111" t="inlineStr">
        <is>
          <t>ONL/Round</t>
        </is>
      </c>
      <c r="Y111" t="inlineStr">
        <is>
          <t>strong bullish close</t>
        </is>
      </c>
      <c r="Z111" t="n">
        <v>0.83</v>
      </c>
      <c r="AA111" t="inlineStr">
        <is>
          <t>Yes</t>
        </is>
      </c>
      <c r="AB111" t="inlineStr">
        <is>
          <t>Yes</t>
        </is>
      </c>
    </row>
    <row r="112">
      <c r="A112" t="inlineStr">
        <is>
          <t>2026-09-01</t>
        </is>
      </c>
      <c r="B112" t="inlineStr">
        <is>
          <t>15:06</t>
        </is>
      </c>
      <c r="C112" t="inlineStr">
        <is>
          <t>MNQ</t>
        </is>
      </c>
      <c r="D112" t="inlineStr">
        <is>
          <t>Short</t>
        </is>
      </c>
      <c r="E112" t="n">
        <v>-88</v>
      </c>
      <c r="F112" t="inlineStr">
        <is>
          <t>down</t>
        </is>
      </c>
      <c r="G112" t="inlineStr">
        <is>
          <t>down</t>
        </is>
      </c>
      <c r="H112" t="inlineStr">
        <is>
          <t>down</t>
        </is>
      </c>
      <c r="I112" t="inlineStr">
        <is>
          <t>down</t>
        </is>
      </c>
      <c r="J112" t="n">
        <v>48.3</v>
      </c>
      <c r="K112" t="inlineStr">
        <is>
          <t>bear</t>
        </is>
      </c>
      <c r="L112" t="inlineStr">
        <is>
          <t>+</t>
        </is>
      </c>
      <c r="M112" t="n">
        <v>33.6</v>
      </c>
      <c r="N112" t="n">
        <v>28.51</v>
      </c>
      <c r="O112" t="n">
        <v>29155.95</v>
      </c>
      <c r="P112" t="inlineStr">
        <is>
          <t>below</t>
        </is>
      </c>
      <c r="Q112" t="n">
        <v>29108.57</v>
      </c>
      <c r="R112" t="n">
        <v>1</v>
      </c>
      <c r="S112" t="n">
        <v>13485</v>
      </c>
      <c r="T112" t="n">
        <v>31</v>
      </c>
      <c r="U112" t="inlineStr">
        <is>
          <t>shallow</t>
        </is>
      </c>
      <c r="V112" t="inlineStr">
        <is>
          <t>Good</t>
        </is>
      </c>
      <c r="W112" t="n">
        <v>2</v>
      </c>
      <c r="X112" t="inlineStr">
        <is>
          <t>Round</t>
        </is>
      </c>
      <c r="Y112" t="inlineStr">
        <is>
          <t>strong bullish close</t>
        </is>
      </c>
      <c r="Z112" t="n">
        <v>0.83</v>
      </c>
      <c r="AA112" t="inlineStr">
        <is>
          <t>Yes</t>
        </is>
      </c>
      <c r="AB112" t="inlineStr">
        <is>
          <t>Yes</t>
        </is>
      </c>
    </row>
    <row r="113">
      <c r="A113" t="inlineStr">
        <is>
          <t>2026-09-01</t>
        </is>
      </c>
      <c r="B113" t="inlineStr">
        <is>
          <t>22:52</t>
        </is>
      </c>
      <c r="C113" t="inlineStr">
        <is>
          <t>MGC</t>
        </is>
      </c>
      <c r="D113" t="inlineStr">
        <is>
          <t>Short</t>
        </is>
      </c>
      <c r="E113" t="n">
        <v>204</v>
      </c>
      <c r="F113" t="inlineStr">
        <is>
          <t>down</t>
        </is>
      </c>
      <c r="G113" t="inlineStr">
        <is>
          <t>down</t>
        </is>
      </c>
      <c r="H113" t="inlineStr">
        <is>
          <t>down</t>
        </is>
      </c>
      <c r="I113" t="inlineStr">
        <is>
          <t>down</t>
        </is>
      </c>
      <c r="J113" t="n">
        <v>46.3</v>
      </c>
      <c r="K113" t="inlineStr">
        <is>
          <t>bear</t>
        </is>
      </c>
      <c r="L113" t="inlineStr">
        <is>
          <t>+</t>
        </is>
      </c>
      <c r="M113" t="n">
        <v>21.5</v>
      </c>
      <c r="N113" t="n">
        <v>7.25</v>
      </c>
      <c r="O113" t="n">
        <v>4387.31</v>
      </c>
      <c r="P113" t="inlineStr">
        <is>
          <t>below</t>
        </is>
      </c>
      <c r="Q113" t="n">
        <v>4409.61</v>
      </c>
      <c r="R113" t="n">
        <v>1.05</v>
      </c>
      <c r="S113" t="n">
        <v>-2106</v>
      </c>
      <c r="T113" t="n">
        <v>36</v>
      </c>
      <c r="U113" t="inlineStr">
        <is>
          <t>shallow</t>
        </is>
      </c>
      <c r="V113" t="inlineStr">
        <is>
          <t>Good</t>
        </is>
      </c>
      <c r="W113" t="n">
        <v>2</v>
      </c>
      <c r="X113" t="inlineStr">
        <is>
          <t>Round</t>
        </is>
      </c>
      <c r="Y113" t="inlineStr">
        <is>
          <t>bearish engulfing</t>
        </is>
      </c>
      <c r="Z113" t="n">
        <v>0.39</v>
      </c>
      <c r="AA113" t="inlineStr">
        <is>
          <t>Yes</t>
        </is>
      </c>
      <c r="AB11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3" t="inlineStr">
        <is>
          <t>Date</t>
        </is>
      </c>
      <c r="B1" s="23" t="inlineStr">
        <is>
          <t>Time (ET)</t>
        </is>
      </c>
      <c r="C1" s="23" t="inlineStr">
        <is>
          <t>Currency</t>
        </is>
      </c>
      <c r="D1" s="23" t="inlineStr">
        <is>
          <t>Impact</t>
        </is>
      </c>
      <c r="E1" s="23" t="inlineStr">
        <is>
          <t>Event</t>
        </is>
      </c>
      <c r="F1" s="23" t="inlineStr">
        <is>
          <t>Actual</t>
        </is>
      </c>
      <c r="G1" s="23" t="inlineStr">
        <is>
          <t>Forecast</t>
        </is>
      </c>
      <c r="H1" s="23" t="inlineStr">
        <is>
          <t>Previous</t>
        </is>
      </c>
    </row>
    <row r="2">
      <c r="A2" t="inlineStr">
        <is>
          <t>2026-08-13</t>
        </is>
      </c>
      <c r="B2" t="inlineStr">
        <is>
          <t>08:30</t>
        </is>
      </c>
      <c r="C2" t="inlineStr">
        <is>
          <t>USD</t>
        </is>
      </c>
      <c r="D2" t="inlineStr">
        <is>
          <t>High</t>
        </is>
      </c>
      <c r="E2" t="inlineStr">
        <is>
          <t>CPI</t>
        </is>
      </c>
      <c r="F2" t="inlineStr">
        <is>
          <t>0.2%</t>
        </is>
      </c>
      <c r="G2" t="inlineStr">
        <is>
          <t>0.2%</t>
        </is>
      </c>
      <c r="H2" t="inlineStr">
        <is>
          <t>0.0%</t>
        </is>
      </c>
    </row>
    <row r="3">
      <c r="A3" t="inlineStr">
        <is>
          <t>2026-08-14</t>
        </is>
      </c>
      <c r="B3" t="inlineStr">
        <is>
          <t>08:30</t>
        </is>
      </c>
      <c r="C3" t="inlineStr">
        <is>
          <t>USD</t>
        </is>
      </c>
      <c r="D3" t="inlineStr">
        <is>
          <t>High</t>
        </is>
      </c>
      <c r="E3" t="inlineStr">
        <is>
          <t>PPI</t>
        </is>
      </c>
      <c r="F3" t="inlineStr">
        <is>
          <t>0.2%</t>
        </is>
      </c>
      <c r="G3" t="inlineStr">
        <is>
          <t>0.3%</t>
        </is>
      </c>
      <c r="H3" t="inlineStr">
        <is>
          <t>0.4%</t>
        </is>
      </c>
    </row>
    <row r="4">
      <c r="A4" t="inlineStr">
        <is>
          <t>2026-08-15</t>
        </is>
      </c>
      <c r="B4" t="inlineStr">
        <is>
          <t>08:30</t>
        </is>
      </c>
      <c r="C4" t="inlineStr">
        <is>
          <t>USD</t>
        </is>
      </c>
      <c r="D4" t="inlineStr">
        <is>
          <t>High</t>
        </is>
      </c>
      <c r="E4" t="inlineStr">
        <is>
          <t>Retail Sales</t>
        </is>
      </c>
      <c r="F4" t="inlineStr">
        <is>
          <t>-0.3%</t>
        </is>
      </c>
      <c r="G4" t="inlineStr">
        <is>
          <t>0.2%</t>
        </is>
      </c>
      <c r="H4" t="inlineStr">
        <is>
          <t>-0.2%</t>
        </is>
      </c>
    </row>
    <row r="5">
      <c r="A5" t="inlineStr">
        <is>
          <t>2026-08-20</t>
        </is>
      </c>
      <c r="B5" t="inlineStr">
        <is>
          <t>14:00</t>
        </is>
      </c>
      <c r="C5" t="inlineStr">
        <is>
          <t>USD</t>
        </is>
      </c>
      <c r="D5" t="inlineStr">
        <is>
          <t>High</t>
        </is>
      </c>
      <c r="E5" t="inlineStr">
        <is>
          <t>FOMC Minutes</t>
        </is>
      </c>
    </row>
    <row r="6">
      <c r="A6" t="inlineStr">
        <is>
          <t>2026-08-27</t>
        </is>
      </c>
      <c r="B6" t="inlineStr">
        <is>
          <t>08:30</t>
        </is>
      </c>
      <c r="C6" t="inlineStr">
        <is>
          <t>USD</t>
        </is>
      </c>
      <c r="D6" t="inlineStr">
        <is>
          <t>High</t>
        </is>
      </c>
      <c r="E6" t="inlineStr">
        <is>
          <t>PCE</t>
        </is>
      </c>
      <c r="F6" t="inlineStr">
        <is>
          <t>0.2%</t>
        </is>
      </c>
      <c r="G6" t="inlineStr">
        <is>
          <t>0.2%</t>
        </is>
      </c>
      <c r="H6" t="inlineStr">
        <is>
          <t>0.1%</t>
        </is>
      </c>
    </row>
    <row r="7">
      <c r="A7" t="inlineStr">
        <is>
          <t>2026-08-27</t>
        </is>
      </c>
      <c r="B7" t="inlineStr">
        <is>
          <t>08:30</t>
        </is>
      </c>
      <c r="C7" t="inlineStr">
        <is>
          <t>USD</t>
        </is>
      </c>
      <c r="D7" t="inlineStr">
        <is>
          <t>High</t>
        </is>
      </c>
      <c r="E7" t="inlineStr">
        <is>
          <t>GDP</t>
        </is>
      </c>
      <c r="F7" t="inlineStr">
        <is>
          <t>1.5%</t>
        </is>
      </c>
      <c r="G7" t="inlineStr">
        <is>
          <t>1.5%</t>
        </is>
      </c>
      <c r="H7" t="inlineStr">
        <is>
          <t>2.1%</t>
        </is>
      </c>
    </row>
    <row r="8">
      <c r="A8" t="inlineStr">
        <is>
          <t>2026-08-29</t>
        </is>
      </c>
      <c r="B8" t="inlineStr">
        <is>
          <t>10:00</t>
        </is>
      </c>
      <c r="C8" t="inlineStr">
        <is>
          <t>USD</t>
        </is>
      </c>
      <c r="D8" t="inlineStr">
        <is>
          <t>High</t>
        </is>
      </c>
      <c r="E8" t="inlineStr">
        <is>
          <t>Fed Chair Speaks</t>
        </is>
      </c>
    </row>
    <row r="9">
      <c r="A9" t="inlineStr">
        <is>
          <t>2026-08-29</t>
        </is>
      </c>
      <c r="B9" t="inlineStr">
        <is>
          <t>10:00</t>
        </is>
      </c>
      <c r="C9" t="inlineStr">
        <is>
          <t>USD</t>
        </is>
      </c>
      <c r="D9" t="inlineStr">
        <is>
          <t>High</t>
        </is>
      </c>
      <c r="E9" t="inlineStr">
        <is>
          <t>Payrolls</t>
        </is>
      </c>
      <c r="F9" t="inlineStr">
        <is>
          <t>-79.00K</t>
        </is>
      </c>
      <c r="H9" t="inlineStr">
        <is>
          <t>-862.00K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4" t="inlineStr">
        <is>
          <t>Overview</t>
        </is>
      </c>
    </row>
    <row r="2">
      <c r="A2" t="inlineStr">
        <is>
          <t>Generated</t>
        </is>
      </c>
      <c r="B2" t="inlineStr">
        <is>
          <t>2026-09-01 23:18</t>
        </is>
      </c>
    </row>
    <row r="3">
      <c r="A3" t="inlineStr">
        <is>
          <t>Date range</t>
        </is>
      </c>
      <c r="B3" t="inlineStr">
        <is>
          <t>2026-08-11 → 2026-09-01</t>
        </is>
      </c>
    </row>
    <row r="4">
      <c r="A4" t="inlineStr">
        <is>
          <t>Trades</t>
        </is>
      </c>
      <c r="B4" t="n">
        <v>112</v>
      </c>
    </row>
    <row r="5">
      <c r="A5" t="inlineStr">
        <is>
          <t>Win rate</t>
        </is>
      </c>
      <c r="B5" t="inlineStr">
        <is>
          <t>56.2%</t>
        </is>
      </c>
    </row>
    <row r="6">
      <c r="A6" t="inlineStr">
        <is>
          <t>Total P&amp;L</t>
        </is>
      </c>
      <c r="B6" t="n">
        <v>3213</v>
      </c>
    </row>
    <row r="7">
      <c r="A7" t="inlineStr">
        <is>
          <t>Profit factor</t>
        </is>
      </c>
      <c r="B7" t="n">
        <v>1.37</v>
      </c>
    </row>
    <row r="8">
      <c r="A8" t="inlineStr">
        <is>
          <t>Expectancy / trade</t>
        </is>
      </c>
      <c r="B8" t="n">
        <v>28.69</v>
      </c>
    </row>
    <row r="9">
      <c r="A9" t="inlineStr">
        <is>
          <t>Avg win</t>
        </is>
      </c>
      <c r="B9" t="n">
        <v>190.37</v>
      </c>
    </row>
    <row r="10">
      <c r="A10" t="inlineStr">
        <is>
          <t>Avg loss</t>
        </is>
      </c>
      <c r="B10" t="n">
        <v>-179.18</v>
      </c>
    </row>
    <row r="11">
      <c r="A11" t="inlineStr">
        <is>
          <t>Avg RR targeted</t>
        </is>
      </c>
      <c r="B11" t="n">
        <v>1.95</v>
      </c>
    </row>
    <row r="12">
      <c r="A12" t="inlineStr">
        <is>
          <t>Avg RR realized</t>
        </is>
      </c>
      <c r="B12" t="n">
        <v>0.48</v>
      </c>
    </row>
    <row r="13">
      <c r="A13" t="inlineStr">
        <is>
          <t>Max drawdown</t>
        </is>
      </c>
      <c r="B13" t="n">
        <v>-1750</v>
      </c>
    </row>
    <row r="14">
      <c r="A14" t="inlineStr">
        <is>
          <t>Max win streak</t>
        </is>
      </c>
      <c r="B14" t="n">
        <v>6</v>
      </c>
    </row>
    <row r="15">
      <c r="A15" t="inlineStr">
        <is>
          <t>Max loss streak</t>
        </is>
      </c>
      <c r="B15" t="n">
        <v>5</v>
      </c>
    </row>
    <row r="17">
      <c r="A17" s="24" t="inlineStr">
        <is>
          <t>By Setup</t>
        </is>
      </c>
    </row>
    <row r="18">
      <c r="A18" s="23" t="inlineStr">
        <is>
          <t>Setup</t>
        </is>
      </c>
      <c r="B18" s="23" t="inlineStr">
        <is>
          <t>Trades</t>
        </is>
      </c>
      <c r="C18" s="23" t="inlineStr">
        <is>
          <t>Win %</t>
        </is>
      </c>
      <c r="D18" s="23" t="inlineStr">
        <is>
          <t>Total P&amp;L</t>
        </is>
      </c>
      <c r="E18" s="23" t="inlineStr">
        <is>
          <t>Expectancy</t>
        </is>
      </c>
    </row>
    <row r="19">
      <c r="A19" t="inlineStr">
        <is>
          <t>Break and Retest</t>
        </is>
      </c>
      <c r="B19" t="n">
        <v>107</v>
      </c>
      <c r="C19" t="inlineStr">
        <is>
          <t>55%</t>
        </is>
      </c>
      <c r="D19" t="n">
        <v>2754</v>
      </c>
      <c r="E19" t="n">
        <v>25.74</v>
      </c>
    </row>
    <row r="20">
      <c r="A20" t="inlineStr">
        <is>
          <t>ZTH Indicator</t>
        </is>
      </c>
      <c r="B20" t="n">
        <v>2</v>
      </c>
      <c r="C20" t="inlineStr">
        <is>
          <t>100%</t>
        </is>
      </c>
      <c r="D20" t="n">
        <v>351</v>
      </c>
      <c r="E20" t="n">
        <v>175.5</v>
      </c>
    </row>
    <row r="21">
      <c r="A21" t="inlineStr">
        <is>
          <t>Gap up</t>
        </is>
      </c>
      <c r="B21" t="n">
        <v>1</v>
      </c>
      <c r="C21" t="inlineStr">
        <is>
          <t>100%</t>
        </is>
      </c>
      <c r="D21" t="n">
        <v>199</v>
      </c>
      <c r="E21" t="n">
        <v>199</v>
      </c>
    </row>
    <row r="22">
      <c r="A22" t="inlineStr">
        <is>
          <t>Rejection</t>
        </is>
      </c>
      <c r="B22" t="n">
        <v>1</v>
      </c>
      <c r="C22" t="inlineStr">
        <is>
          <t>100%</t>
        </is>
      </c>
      <c r="D22" t="n">
        <v>134</v>
      </c>
      <c r="E22" t="n">
        <v>134</v>
      </c>
    </row>
    <row r="23">
      <c r="A23" t="inlineStr">
        <is>
          <t>Break and Retest, Rejection</t>
        </is>
      </c>
      <c r="B23" t="n">
        <v>1</v>
      </c>
      <c r="C23" t="inlineStr">
        <is>
          <t>0%</t>
        </is>
      </c>
      <c r="D23" t="n">
        <v>-225</v>
      </c>
      <c r="E23" t="n">
        <v>-225</v>
      </c>
    </row>
    <row r="25">
      <c r="A25" s="24" t="inlineStr">
        <is>
          <t>By Instrument</t>
        </is>
      </c>
    </row>
    <row r="26">
      <c r="A26" s="23" t="inlineStr">
        <is>
          <t>Instrument</t>
        </is>
      </c>
      <c r="B26" s="23" t="inlineStr">
        <is>
          <t>Trades</t>
        </is>
      </c>
      <c r="C26" s="23" t="inlineStr">
        <is>
          <t>Win %</t>
        </is>
      </c>
      <c r="D26" s="23" t="inlineStr">
        <is>
          <t>Total P&amp;L</t>
        </is>
      </c>
      <c r="E26" s="23" t="inlineStr">
        <is>
          <t>Expectancy</t>
        </is>
      </c>
    </row>
    <row r="27">
      <c r="A27" t="inlineStr">
        <is>
          <t>MGC</t>
        </is>
      </c>
      <c r="B27" t="n">
        <v>63</v>
      </c>
      <c r="C27" t="inlineStr">
        <is>
          <t>59%</t>
        </is>
      </c>
      <c r="D27" t="n">
        <v>2221</v>
      </c>
      <c r="E27" t="n">
        <v>35.25</v>
      </c>
    </row>
    <row r="28">
      <c r="A28" t="inlineStr">
        <is>
          <t>MNQ</t>
        </is>
      </c>
      <c r="B28" t="n">
        <v>49</v>
      </c>
      <c r="C28" t="inlineStr">
        <is>
          <t>53%</t>
        </is>
      </c>
      <c r="D28" t="n">
        <v>992</v>
      </c>
      <c r="E28" t="n">
        <v>20.24</v>
      </c>
    </row>
    <row r="30">
      <c r="A30" s="24" t="inlineStr">
        <is>
          <t>By Direction</t>
        </is>
      </c>
    </row>
    <row r="31">
      <c r="A31" s="23" t="inlineStr">
        <is>
          <t>Direction</t>
        </is>
      </c>
      <c r="B31" s="23" t="inlineStr">
        <is>
          <t>Trades</t>
        </is>
      </c>
      <c r="C31" s="23" t="inlineStr">
        <is>
          <t>Win %</t>
        </is>
      </c>
      <c r="D31" s="23" t="inlineStr">
        <is>
          <t>Total P&amp;L</t>
        </is>
      </c>
      <c r="E31" s="23" t="inlineStr">
        <is>
          <t>Expectancy</t>
        </is>
      </c>
    </row>
    <row r="32">
      <c r="A32" t="inlineStr">
        <is>
          <t>Long</t>
        </is>
      </c>
      <c r="B32" t="n">
        <v>56</v>
      </c>
      <c r="C32" t="inlineStr">
        <is>
          <t>52%</t>
        </is>
      </c>
      <c r="D32" t="n">
        <v>3056.5</v>
      </c>
      <c r="E32" t="n">
        <v>54.58</v>
      </c>
    </row>
    <row r="33">
      <c r="A33" t="inlineStr">
        <is>
          <t>Short</t>
        </is>
      </c>
      <c r="B33" t="n">
        <v>56</v>
      </c>
      <c r="C33" t="inlineStr">
        <is>
          <t>61%</t>
        </is>
      </c>
      <c r="D33" t="n">
        <v>156.5</v>
      </c>
      <c r="E33" t="n">
        <v>2.79</v>
      </c>
    </row>
    <row r="35">
      <c r="A35" s="24" t="inlineStr">
        <is>
          <t>By Hour</t>
        </is>
      </c>
    </row>
    <row r="36">
      <c r="A36" s="23" t="inlineStr">
        <is>
          <t>Hour</t>
        </is>
      </c>
      <c r="B36" s="23" t="inlineStr">
        <is>
          <t>Trades</t>
        </is>
      </c>
      <c r="C36" s="23" t="inlineStr">
        <is>
          <t>Win %</t>
        </is>
      </c>
      <c r="D36" s="23" t="inlineStr">
        <is>
          <t>Total P&amp;L</t>
        </is>
      </c>
      <c r="E36" s="23" t="inlineStr">
        <is>
          <t>Expectancy</t>
        </is>
      </c>
    </row>
    <row r="37">
      <c r="A37" t="inlineStr">
        <is>
          <t>00:00</t>
        </is>
      </c>
      <c r="B37" t="n">
        <v>5</v>
      </c>
      <c r="C37" t="inlineStr">
        <is>
          <t>80%</t>
        </is>
      </c>
      <c r="D37" t="n">
        <v>-37</v>
      </c>
      <c r="E37" t="n">
        <v>-7.4</v>
      </c>
    </row>
    <row r="38">
      <c r="A38" t="inlineStr">
        <is>
          <t>08:00</t>
        </is>
      </c>
      <c r="B38" t="n">
        <v>1</v>
      </c>
      <c r="C38" t="inlineStr">
        <is>
          <t>0%</t>
        </is>
      </c>
      <c r="D38" t="n">
        <v>-57</v>
      </c>
      <c r="E38" t="n">
        <v>-57</v>
      </c>
    </row>
    <row r="39">
      <c r="A39" t="inlineStr">
        <is>
          <t>09:00</t>
        </is>
      </c>
      <c r="B39" t="n">
        <v>17</v>
      </c>
      <c r="C39" t="inlineStr">
        <is>
          <t>71%</t>
        </is>
      </c>
      <c r="D39" t="n">
        <v>1907.5</v>
      </c>
      <c r="E39" t="n">
        <v>112.21</v>
      </c>
    </row>
    <row r="40">
      <c r="A40" t="inlineStr">
        <is>
          <t>10:00</t>
        </is>
      </c>
      <c r="B40" t="n">
        <v>25</v>
      </c>
      <c r="C40" t="inlineStr">
        <is>
          <t>48%</t>
        </is>
      </c>
      <c r="D40" t="n">
        <v>698</v>
      </c>
      <c r="E40" t="n">
        <v>27.92</v>
      </c>
    </row>
    <row r="41">
      <c r="A41" t="inlineStr">
        <is>
          <t>11:00</t>
        </is>
      </c>
      <c r="B41" t="n">
        <v>11</v>
      </c>
      <c r="C41" t="inlineStr">
        <is>
          <t>45%</t>
        </is>
      </c>
      <c r="D41" t="n">
        <v>-89</v>
      </c>
      <c r="E41" t="n">
        <v>-8.09</v>
      </c>
    </row>
    <row r="42">
      <c r="A42" t="inlineStr">
        <is>
          <t>12:00</t>
        </is>
      </c>
      <c r="B42" t="n">
        <v>7</v>
      </c>
      <c r="C42" t="inlineStr">
        <is>
          <t>71%</t>
        </is>
      </c>
      <c r="D42" t="n">
        <v>-81</v>
      </c>
      <c r="E42" t="n">
        <v>-11.57</v>
      </c>
    </row>
    <row r="43">
      <c r="A43" t="inlineStr">
        <is>
          <t>13:00</t>
        </is>
      </c>
      <c r="B43" t="n">
        <v>1</v>
      </c>
      <c r="C43" t="inlineStr">
        <is>
          <t>0%</t>
        </is>
      </c>
      <c r="D43" t="n">
        <v>-255</v>
      </c>
      <c r="E43" t="n">
        <v>-255</v>
      </c>
    </row>
    <row r="44">
      <c r="A44" t="inlineStr">
        <is>
          <t>14:00</t>
        </is>
      </c>
      <c r="B44" t="n">
        <v>3</v>
      </c>
      <c r="C44" t="inlineStr">
        <is>
          <t>33%</t>
        </is>
      </c>
      <c r="D44" t="n">
        <v>-94</v>
      </c>
      <c r="E44" t="n">
        <v>-31.33</v>
      </c>
    </row>
    <row r="45">
      <c r="A45" t="inlineStr">
        <is>
          <t>15:00</t>
        </is>
      </c>
      <c r="B45" t="n">
        <v>3</v>
      </c>
      <c r="C45" t="inlineStr">
        <is>
          <t>33%</t>
        </is>
      </c>
      <c r="D45" t="n">
        <v>-205</v>
      </c>
      <c r="E45" t="n">
        <v>-68.33</v>
      </c>
    </row>
    <row r="46">
      <c r="A46" t="inlineStr">
        <is>
          <t>18:00</t>
        </is>
      </c>
      <c r="B46" t="n">
        <v>2</v>
      </c>
      <c r="C46" t="inlineStr">
        <is>
          <t>100%</t>
        </is>
      </c>
      <c r="D46" t="n">
        <v>224</v>
      </c>
      <c r="E46" t="n">
        <v>112</v>
      </c>
    </row>
    <row r="47">
      <c r="A47" t="inlineStr">
        <is>
          <t>19:00</t>
        </is>
      </c>
      <c r="B47" t="n">
        <v>7</v>
      </c>
      <c r="C47" t="inlineStr">
        <is>
          <t>57%</t>
        </is>
      </c>
      <c r="D47" t="n">
        <v>-1470.5</v>
      </c>
      <c r="E47" t="n">
        <v>-210.07</v>
      </c>
    </row>
    <row r="48">
      <c r="A48" t="inlineStr">
        <is>
          <t>20:00</t>
        </is>
      </c>
      <c r="B48" t="n">
        <v>5</v>
      </c>
      <c r="C48" t="inlineStr">
        <is>
          <t>60%</t>
        </is>
      </c>
      <c r="D48" t="n">
        <v>478</v>
      </c>
      <c r="E48" t="n">
        <v>95.59999999999999</v>
      </c>
    </row>
    <row r="49">
      <c r="A49" t="inlineStr">
        <is>
          <t>21:00</t>
        </is>
      </c>
      <c r="B49" t="n">
        <v>7</v>
      </c>
      <c r="C49" t="inlineStr">
        <is>
          <t>86%</t>
        </is>
      </c>
      <c r="D49" t="n">
        <v>605</v>
      </c>
      <c r="E49" t="n">
        <v>86.43000000000001</v>
      </c>
    </row>
    <row r="50">
      <c r="A50" t="inlineStr">
        <is>
          <t>22:00</t>
        </is>
      </c>
      <c r="B50" t="n">
        <v>10</v>
      </c>
      <c r="C50" t="inlineStr">
        <is>
          <t>30%</t>
        </is>
      </c>
      <c r="D50" t="n">
        <v>1788</v>
      </c>
      <c r="E50" t="n">
        <v>178.8</v>
      </c>
    </row>
    <row r="51">
      <c r="A51" t="inlineStr">
        <is>
          <t>23:00</t>
        </is>
      </c>
      <c r="B51" t="n">
        <v>8</v>
      </c>
      <c r="C51" t="inlineStr">
        <is>
          <t>62%</t>
        </is>
      </c>
      <c r="D51" t="n">
        <v>-199</v>
      </c>
      <c r="E51" t="n">
        <v>-24.88</v>
      </c>
    </row>
    <row r="53">
      <c r="A53" s="24" t="inlineStr">
        <is>
          <t>By Day of Week</t>
        </is>
      </c>
    </row>
    <row r="54">
      <c r="A54" s="23" t="inlineStr">
        <is>
          <t>Day</t>
        </is>
      </c>
      <c r="B54" s="23" t="inlineStr">
        <is>
          <t>Trades</t>
        </is>
      </c>
      <c r="C54" s="23" t="inlineStr">
        <is>
          <t>Win %</t>
        </is>
      </c>
      <c r="D54" s="23" t="inlineStr">
        <is>
          <t>Total P&amp;L</t>
        </is>
      </c>
      <c r="E54" s="23" t="inlineStr">
        <is>
          <t>Expectancy</t>
        </is>
      </c>
    </row>
    <row r="55">
      <c r="A55" t="inlineStr">
        <is>
          <t>Thu</t>
        </is>
      </c>
      <c r="B55" t="n">
        <v>11</v>
      </c>
      <c r="C55" t="inlineStr">
        <is>
          <t>64%</t>
        </is>
      </c>
      <c r="D55" t="n">
        <v>1468</v>
      </c>
      <c r="E55" t="n">
        <v>133.45</v>
      </c>
    </row>
    <row r="56">
      <c r="A56" t="inlineStr">
        <is>
          <t>Fri</t>
        </is>
      </c>
      <c r="B56" t="n">
        <v>12</v>
      </c>
      <c r="C56" t="inlineStr">
        <is>
          <t>67%</t>
        </is>
      </c>
      <c r="D56" t="n">
        <v>930.5</v>
      </c>
      <c r="E56" t="n">
        <v>77.54000000000001</v>
      </c>
    </row>
    <row r="57">
      <c r="A57" t="inlineStr">
        <is>
          <t>Sun</t>
        </is>
      </c>
      <c r="B57" t="n">
        <v>9</v>
      </c>
      <c r="C57" t="inlineStr">
        <is>
          <t>67%</t>
        </is>
      </c>
      <c r="D57" t="n">
        <v>755</v>
      </c>
      <c r="E57" t="n">
        <v>83.89</v>
      </c>
    </row>
    <row r="58">
      <c r="A58" t="inlineStr">
        <is>
          <t>Tue</t>
        </is>
      </c>
      <c r="B58" t="n">
        <v>30</v>
      </c>
      <c r="C58" t="inlineStr">
        <is>
          <t>57%</t>
        </is>
      </c>
      <c r="D58" t="n">
        <v>501</v>
      </c>
      <c r="E58" t="n">
        <v>16.7</v>
      </c>
    </row>
    <row r="59">
      <c r="A59" t="inlineStr">
        <is>
          <t>Wed</t>
        </is>
      </c>
      <c r="B59" t="n">
        <v>26</v>
      </c>
      <c r="C59" t="inlineStr">
        <is>
          <t>58%</t>
        </is>
      </c>
      <c r="D59" t="n">
        <v>-54.5</v>
      </c>
      <c r="E59" t="n">
        <v>-2.1</v>
      </c>
    </row>
    <row r="60">
      <c r="A60" t="inlineStr">
        <is>
          <t>Mon</t>
        </is>
      </c>
      <c r="B60" t="n">
        <v>24</v>
      </c>
      <c r="C60" t="inlineStr">
        <is>
          <t>42%</t>
        </is>
      </c>
      <c r="D60" t="n">
        <v>-387</v>
      </c>
      <c r="E60" t="n">
        <v>-16.13</v>
      </c>
    </row>
    <row r="62">
      <c r="A62" s="24" t="inlineStr">
        <is>
          <t>Behavior Flags</t>
        </is>
      </c>
    </row>
    <row r="63">
      <c r="A63" t="inlineStr">
        <is>
          <t>Overtrading</t>
        </is>
      </c>
      <c r="B63" t="inlineStr">
        <is>
          <t>11 trades on 2026-08-11 (&gt; 6)</t>
        </is>
      </c>
    </row>
    <row r="64">
      <c r="A64" t="inlineStr">
        <is>
          <t>Overtrading</t>
        </is>
      </c>
      <c r="B64" t="inlineStr">
        <is>
          <t>9 trades on 2026-08-12 (&gt; 6)</t>
        </is>
      </c>
    </row>
    <row r="65">
      <c r="A65" t="inlineStr">
        <is>
          <t>Overtrading</t>
        </is>
      </c>
      <c r="B65" t="inlineStr">
        <is>
          <t>13 trades on 2026-08-26 (&gt; 6)</t>
        </is>
      </c>
    </row>
    <row r="66">
      <c r="A66" t="inlineStr">
        <is>
          <t>Overtrading</t>
        </is>
      </c>
      <c r="B66" t="inlineStr">
        <is>
          <t>17 trades on 2026-08-31 (&gt; 6)</t>
        </is>
      </c>
    </row>
    <row r="67">
      <c r="A67" t="inlineStr">
        <is>
          <t>Overtrading</t>
        </is>
      </c>
      <c r="B67" t="inlineStr">
        <is>
          <t>9 trades on 2026-09-01 (&gt; 6)</t>
        </is>
      </c>
    </row>
    <row r="68">
      <c r="A68" t="inlineStr">
        <is>
          <t>Possible revenge trade</t>
        </is>
      </c>
      <c r="B68" t="inlineStr">
        <is>
          <t>MGC Short at 08/11 19:34 — 4 min after a loss, size 10</t>
        </is>
      </c>
    </row>
    <row r="69">
      <c r="A69" t="inlineStr">
        <is>
          <t>Possible revenge trade</t>
        </is>
      </c>
      <c r="B69" t="inlineStr">
        <is>
          <t>MGC Long at 08/11 23:25 — 14 min after a loss, size 10</t>
        </is>
      </c>
    </row>
    <row r="70">
      <c r="A70" t="inlineStr">
        <is>
          <t>Possible revenge trade</t>
        </is>
      </c>
      <c r="B70" t="inlineStr">
        <is>
          <t>MGC Short at 08/11 23:36 — 11 min after a loss, size 20</t>
        </is>
      </c>
    </row>
    <row r="71">
      <c r="A71" t="inlineStr">
        <is>
          <t>Possible revenge trade</t>
        </is>
      </c>
      <c r="B71" t="inlineStr">
        <is>
          <t>MGC Short at 08/13 22:59 — 9 min after a loss, size 3</t>
        </is>
      </c>
    </row>
    <row r="72">
      <c r="A72" t="inlineStr">
        <is>
          <t>Possible revenge trade</t>
        </is>
      </c>
      <c r="B72" t="inlineStr">
        <is>
          <t>MGC Long at 08/18 10:08 — 8 min after a loss, size 3</t>
        </is>
      </c>
    </row>
    <row r="73">
      <c r="A73" t="inlineStr">
        <is>
          <t>Possible revenge trade</t>
        </is>
      </c>
      <c r="B73" t="inlineStr">
        <is>
          <t>MNQ Short at 08/18 10:21 — 5 min after a loss, size 3</t>
        </is>
      </c>
    </row>
    <row r="74">
      <c r="A74" t="inlineStr">
        <is>
          <t>Possible revenge trade</t>
        </is>
      </c>
      <c r="B74" t="inlineStr">
        <is>
          <t>MGC Long at 08/23 19:46 — 11 min after a loss, size 1</t>
        </is>
      </c>
    </row>
    <row r="75">
      <c r="A75" t="inlineStr">
        <is>
          <t>Possible revenge trade</t>
        </is>
      </c>
      <c r="B75" t="inlineStr">
        <is>
          <t>MGC Long at 08/23 20:28 — 5 min after a loss, size 2</t>
        </is>
      </c>
    </row>
    <row r="76">
      <c r="A76" t="inlineStr">
        <is>
          <t>Possible revenge trade</t>
        </is>
      </c>
      <c r="B76" t="inlineStr">
        <is>
          <t>MNQ Short at 08/24 11:13 — 15 min after a loss, size 5</t>
        </is>
      </c>
    </row>
    <row r="77">
      <c r="A77" t="inlineStr">
        <is>
          <t>Possible revenge trade</t>
        </is>
      </c>
      <c r="B77" t="inlineStr">
        <is>
          <t>MGC Short at 08/26 11:55 — 9 min after a loss, size 5</t>
        </is>
      </c>
    </row>
    <row r="78">
      <c r="A78" t="inlineStr">
        <is>
          <t>Possible revenge trade</t>
        </is>
      </c>
      <c r="B78" t="inlineStr">
        <is>
          <t>MNQ Long at 08/26 21:16 — 11 min after a loss, size 12</t>
        </is>
      </c>
    </row>
    <row r="79">
      <c r="A79" t="inlineStr">
        <is>
          <t>Possible revenge trade</t>
        </is>
      </c>
      <c r="B79" t="inlineStr">
        <is>
          <t>MGC Short at 08/31 10:01 — 5 min after a loss, size 3</t>
        </is>
      </c>
    </row>
    <row r="80">
      <c r="A80" t="inlineStr">
        <is>
          <t>Possible revenge trade</t>
        </is>
      </c>
      <c r="B80" t="inlineStr">
        <is>
          <t>MNQ Short at 08/31 10:11 — 11 min after a loss, size 3</t>
        </is>
      </c>
    </row>
    <row r="81">
      <c r="A81" t="inlineStr">
        <is>
          <t>Possible revenge trade</t>
        </is>
      </c>
      <c r="B81" t="inlineStr">
        <is>
          <t>MNQ Long at 08/31 10:41 — 12 min after a loss, size 5</t>
        </is>
      </c>
    </row>
    <row r="82">
      <c r="A82" t="inlineStr">
        <is>
          <t>Possible revenge trade</t>
        </is>
      </c>
      <c r="B82" t="inlineStr">
        <is>
          <t>MGC Long at 08/31 22:26 — 1 min after a loss, size 1</t>
        </is>
      </c>
    </row>
    <row r="83">
      <c r="A83" t="inlineStr">
        <is>
          <t>Possible revenge trade</t>
        </is>
      </c>
      <c r="B83" t="inlineStr">
        <is>
          <t>MGC Short at 08/31 23:00 — 13 min after a loss, size 6</t>
        </is>
      </c>
    </row>
    <row r="84">
      <c r="A84" t="inlineStr">
        <is>
          <t>Stop overrun</t>
        </is>
      </c>
      <c r="B84" t="inlineStr">
        <is>
          <t>MNQ 08/12 11:57 realized RR -1.19 (worse than -1R)</t>
        </is>
      </c>
    </row>
    <row r="85">
      <c r="A85" t="inlineStr">
        <is>
          <t>Stop overrun</t>
        </is>
      </c>
      <c r="B85" t="inlineStr">
        <is>
          <t>MNQ 08/18 10:21 realized RR -1.19 (worse than -1R)</t>
        </is>
      </c>
    </row>
    <row r="86">
      <c r="A86" t="inlineStr">
        <is>
          <t>Winner cut short</t>
        </is>
      </c>
      <c r="B86" t="inlineStr">
        <is>
          <t>MGC 08/11 19:27 took 0.18R of 0.42R target</t>
        </is>
      </c>
    </row>
    <row r="87">
      <c r="A87" t="inlineStr">
        <is>
          <t>Winner cut short</t>
        </is>
      </c>
      <c r="B87" t="inlineStr">
        <is>
          <t>MNQ 08/25 10:32 took 0.49R of 2.16R target</t>
        </is>
      </c>
    </row>
    <row r="88">
      <c r="A88" t="inlineStr">
        <is>
          <t>Winner cut short</t>
        </is>
      </c>
      <c r="B88" t="inlineStr">
        <is>
          <t>MGC 08/27 20:02 took 0.11R of 2.44R target</t>
        </is>
      </c>
    </row>
    <row r="89">
      <c r="A89" t="inlineStr">
        <is>
          <t>Inconsistent sizing</t>
        </is>
      </c>
      <c r="B89" t="inlineStr">
        <is>
          <t>Position size varies a lot (CV 1.08)</t>
        </is>
      </c>
    </row>
    <row r="90">
      <c r="A90" t="inlineStr">
        <is>
          <t>Negative-edge hour</t>
        </is>
      </c>
      <c r="B90" t="inlineStr">
        <is>
          <t>00:00: 5 trades, 80% win, $-37 total</t>
        </is>
      </c>
    </row>
    <row r="91">
      <c r="A91" t="inlineStr">
        <is>
          <t>Negative-edge hour</t>
        </is>
      </c>
      <c r="B91" t="inlineStr">
        <is>
          <t>12:00: 7 trades, 71% win, $-81 total</t>
        </is>
      </c>
    </row>
    <row r="92">
      <c r="A92" t="inlineStr">
        <is>
          <t>Negative-edge hour</t>
        </is>
      </c>
      <c r="B92" t="inlineStr">
        <is>
          <t>11:00: 11 trades, 45% win, $-89 total</t>
        </is>
      </c>
    </row>
    <row r="93">
      <c r="A93" t="inlineStr">
        <is>
          <t>Negative-edge hour</t>
        </is>
      </c>
      <c r="B93" t="inlineStr">
        <is>
          <t>14:00: 3 trades, 33% win, $-94 total</t>
        </is>
      </c>
    </row>
    <row r="94">
      <c r="A94" t="inlineStr">
        <is>
          <t>Negative-edge hour</t>
        </is>
      </c>
      <c r="B94" t="inlineStr">
        <is>
          <t>23:00: 8 trades, 62% win, $-199 total</t>
        </is>
      </c>
    </row>
    <row r="95">
      <c r="A95" t="inlineStr">
        <is>
          <t>Negative-edge hour</t>
        </is>
      </c>
      <c r="B95" t="inlineStr">
        <is>
          <t>15:00: 3 trades, 33% win, $-205 total</t>
        </is>
      </c>
    </row>
    <row r="96">
      <c r="A96" t="inlineStr">
        <is>
          <t>Negative-edge hour</t>
        </is>
      </c>
      <c r="B96" t="inlineStr">
        <is>
          <t>19:00: 7 trades, 57% win, $-1471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4" t="inlineStr">
        <is>
          <t>Claude AI Coaching</t>
        </is>
      </c>
    </row>
    <row r="3">
      <c r="A3" s="14" t="inlineStr">
        <is>
          <t>## Bottom line</t>
        </is>
      </c>
    </row>
    <row r="4">
      <c r="A4" s="14" t="inlineStr"/>
    </row>
    <row r="5">
      <c r="A5" s="14" t="inlineStr">
        <is>
          <t>You're net profitable (+$3,213 over 112 trades, PF 1.37, expectancy $28.70/trade), but the edge is thin and it's being taxed by execution discipline, not setup selection. The single biggest structural problem: you target **1.95R** but realize **0.48R** on average — you're capturing roughly a quarter of the reward you're actually risking for. Fix that gap before anything else; it dwarfs every other leak in this data.</t>
        </is>
      </c>
    </row>
    <row r="6">
      <c r="A6" s="14" t="inlineStr"/>
    </row>
    <row r="7">
      <c r="A7" s="14" t="inlineStr">
        <is>
          <t>## What's actually working — press it</t>
        </is>
      </c>
    </row>
    <row r="8">
      <c r="A8" s="14" t="inlineStr"/>
    </row>
    <row r="9">
      <c r="A9" s="14" t="inlineStr">
        <is>
          <t>- **"Pullback grade: Good"** (n=36, 69% win, expectancy **$148**, total **$5,340**) is your best filter by far. This should be a hard entry criterion, not a nice-to-have.</t>
        </is>
      </c>
    </row>
    <row r="10">
      <c r="A10" s="14" t="inlineStr">
        <is>
          <t>- **"Entered at a key level"** (n=80, expectancy $65, total $5,183) vs. **"Not at a key level"** (n=32, expectancy **‑$62**, total **‑$1,970**) — this is a clean, large-sample split. Key-level entries are carrying the account; off-level entries are bleeding it.</t>
        </is>
      </c>
    </row>
    <row r="11">
      <c r="A11" s="14" t="inlineStr">
        <is>
          <t>- **With the 1H trend** ($56 expectancy, $3,877 total) vs. **against/unclear 1H trend** (‑$15 expectancy, ‑$664 total), and **ADX ≥25 trending** ($70 expectancy) vs. **ADX &lt;20 chop** (‑$33 expectancy, ‑$1,350 total) — you have a real edge trading with higher-timeframe trend in trending conditions, and a real leak fading into chop.</t>
        </is>
      </c>
    </row>
    <row r="12">
      <c r="A12" s="14" t="inlineStr">
        <is>
          <t>- MGC is outperforming MNQ (expectancy $35 vs $20) and is worth the larger allocation you're already giving it (63 vs 49 trades).</t>
        </is>
      </c>
    </row>
    <row r="13">
      <c r="A13" s="14" t="inlineStr">
        <is>
          <t>- Note: "Supertrends aligned" and "right side of VWAP" show flat-to-slightly-negative expectancy in your data — don't lean on those two as filters, they're not adding anything for you right now.</t>
        </is>
      </c>
    </row>
    <row r="14">
      <c r="A14" s="14" t="inlineStr"/>
    </row>
    <row r="15">
      <c r="A15" s="14" t="inlineStr">
        <is>
          <t>## What's costing you — ranked by dollars</t>
        </is>
      </c>
    </row>
    <row r="16">
      <c r="A16" s="14" t="inlineStr"/>
    </row>
    <row r="17">
      <c r="A17" s="14" t="inlineStr">
        <is>
          <t>1. **19:00 hour: ‑$1,471 across 7 trades** (57% win rate but net deeply negative — a few large losers are wiping out the wins). This is your worst single time block by a wide margin. Before anything else, figure out what you're doing differently at 19:00 and consider a hard no-trade rule there until you do.</t>
        </is>
      </c>
    </row>
    <row r="18">
      <c r="A18" s="14" t="inlineStr">
        <is>
          <t>2. **Exit discipline gap (0.48R realized vs 1.95R targeted).** The flags confirm both sides of this: "winner cut short" (e.g., MGC 08/27 took 0.11R of a 2.44R target) and "stop overrun" (two trades finishing worse than ‑1R, meaning stops moved or got blown through). You're capping upside and not capping downside — the worst combination.</t>
        </is>
      </c>
    </row>
    <row r="19">
      <c r="A19" s="14" t="inlineStr">
        <is>
          <t>3. **Trading against your own entry checklist.** "Weak pullback grade" (‑$2,164 total, n=56 — half your trades), "not at a key level" (‑$1,970), and "candle against trade" (‑$1,848, only 38% win rate) are your three biggest raw dollar drags. These aren't small samples or noise — they're half your trade log telling you the same thing: when the setup isn't clean, you still take it.</t>
        </is>
      </c>
    </row>
    <row r="20">
      <c r="A20" s="14" t="inlineStr">
        <is>
          <t>4. **Shorts are underperforming longs badly**: shorts win more often (61% vs 52%) but produce almost nothing (expectancy $2.79 vs $54.58 for longs, $156 vs $3,056 total). You're likely taking profit too early or letting losers run further on the short side — worth reviewing your short trade management specifically, not your short trade selection.</t>
        </is>
      </c>
    </row>
    <row r="21">
      <c r="A21" s="14" t="inlineStr">
        <is>
          <t>5. **Monday is your only clearly losing day** (‑$387, 42% win rate) against strongly positive Thu/Fri/Sun (all &gt;63% win rate). Tuesday is your highest-volume day (30 trades) but weakest positive edge relative to Thu/Fri/Sun — you may be over-trading Tuesday out of habit rather than opportunity.</t>
        </is>
      </c>
    </row>
    <row r="22">
      <c r="A22" s="14" t="inlineStr"/>
    </row>
    <row r="23">
      <c r="A23" s="14" t="inlineStr">
        <is>
          <t>## The dangerous pattern: overtrading → revenge → oversizing, stacked on the same days</t>
        </is>
      </c>
    </row>
    <row r="24">
      <c r="A24" s="14" t="inlineStr"/>
    </row>
    <row r="25">
      <c r="A25" s="14" t="inlineStr">
        <is>
          <t>08/11, 08/12, 08/26, 08/31, and today (09/01) all show &gt;6 trades with clustered revenge entries. The clearest example is **08/31**: both MGC and MNQ printed near-doji days (body 2% and 10% of range — textbook chop/ADX&lt;20 conditions, exactly where your data says you lose money), yet you took **17 trades**, your highest-volume day in the set, with five separate revenge-trade flags. Net result for that day, walking through the trade log, is negative.</t>
        </is>
      </c>
    </row>
    <row r="26">
      <c r="A26" s="14" t="inlineStr"/>
    </row>
    <row r="27">
      <c r="A27" s="14" t="inlineStr">
        <is>
          <t>Even more concerning: on **08/11** you took a revenge short at size 10 four minutes after a loss, then a revenge short at size 20 eleven minutes after another loss — in an instrument (MGC) where your normal size is 1–6 contracts. Position size CV is 1.08 (very high dispersion), and while the "Oversized" tag currently shows positive expectancy ($116) — meaning size-ups haven't hurt you yet — that's variance, not skill, and it's exactly the kind of pattern that produces a $1,310 max single loss and a $1,750 drawdown. It hasn't blown you up yet. It will eventually, because size is scaling *up* right when your emotional control is scaling *down*.</t>
        </is>
      </c>
    </row>
    <row r="28">
      <c r="A28" s="14" t="inlineStr"/>
    </row>
    <row r="29">
      <c r="A29" s="14" t="inlineStr">
        <is>
          <t>I checked the news calendar — the revenge-trade timestamps (mostly evening/overnight) don't line up with the high-impact release times (CPI, PPI, FOMC Minutes, PCE, Payrolls all hit 08:30–10:00 ET), so this isn't a news-reaction problem. It's a self-discipline problem on chop days.</t>
        </is>
      </c>
    </row>
    <row r="30">
      <c r="A30" s="14" t="inlineStr"/>
    </row>
    <row r="31">
      <c r="A31" s="14" t="inlineStr">
        <is>
          <t>## Concrete rules for next week</t>
        </is>
      </c>
    </row>
    <row r="32">
      <c r="A32" s="14" t="inlineStr"/>
    </row>
    <row r="33">
      <c r="A33" s="14" t="inlineStr">
        <is>
          <t>1. **Hard stop at 6 trades/day.** You've already flagged this threshold yourself; enforce it mechanically.</t>
        </is>
      </c>
    </row>
    <row r="34">
      <c r="A34" s="14" t="inlineStr">
        <is>
          <t>2. **No new position within 15 minutes of a loss, full stop** — this alone would have prevented most of the flagged revenge trades.</t>
        </is>
      </c>
    </row>
    <row r="35">
      <c r="A35" s="14" t="inlineStr">
        <is>
          <t>3. **Size cap: never exceed your median size (looks like ~3 contracts on MGC, ~3-5 on MNQ) after a loss.** If anything, cut size in half post-loss until you've had a winner.</t>
        </is>
      </c>
    </row>
    <row r="36">
      <c r="A36" s="14" t="inlineStr">
        <is>
          <t>4. **Pre-trade checklist gate**: only take the trade if pullback grade is Good/A+, price is at a key level, and you're with the 1H trend. If two of those three are missing, skip it — that's exactly the combination separating your winners from your losers in this data.</t>
        </is>
      </c>
    </row>
    <row r="37">
      <c r="A37" s="14" t="inlineStr">
        <is>
          <t>5. **Investigate 19:00 specifically** — pull those 7 trades and figure out what's different (fatigue, low liquidity, a specific setup that doesn't work there). Until you know, don't trade that hour.</t>
        </is>
      </c>
    </row>
    <row r="38">
      <c r="A38" s="14" t="inlineStr">
        <is>
          <t>6. **Manage winners to your stated 1.95R target, or at least to 1R, before touching the stop.** Whatever your current "take profit" impulse is, add friction to it — a 2-minute rule before closing a winner, or move to breakeven and let it run rather than manually closing early.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2026-08-17T16:33:06Z</dcterms:created>
  <dcterms:modified xmlns:dcterms="http://purl.org/dc/terms/" xmlns:xsi="http://www.w3.org/2001/XMLSchema-instance" xsi:type="dcterms:W3CDTF">2026-09-02T03:19:59Z</dcterms:modified>
  <cp:lastModifiedBy>Abdul Basit</cp:lastModifiedBy>
</cp:coreProperties>
</file>