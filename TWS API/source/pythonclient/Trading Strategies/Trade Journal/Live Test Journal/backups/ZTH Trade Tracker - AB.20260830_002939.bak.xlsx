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Indicators" sheetId="5" state="visible" r:id="rId5"/>
    <sheet xmlns:r="http://schemas.openxmlformats.org/officeDocument/2006/relationships" name="Economic News" sheetId="6" state="visible" r:id="rId6"/>
    <sheet xmlns:r="http://schemas.openxmlformats.org/officeDocument/2006/relationships" name="Analysis" sheetId="7" state="visible" r:id="rId7"/>
    <sheet xmlns:r="http://schemas.openxmlformats.org/officeDocument/2006/relationships" name="AI Suggestion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111827"/>
      <sz val="13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6B7280"/>
      <sz val="11"/>
    </font>
    <font>
      <b val="1"/>
      <color rgb="00FFFFFF"/>
    </font>
    <font>
      <b val="1"/>
      <color rgb="00111827"/>
      <sz val="13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x/soX7jXbm/" TargetMode="External" Id="rId1"/><Relationship Type="http://schemas.openxmlformats.org/officeDocument/2006/relationships/hyperlink" Target="https://www.tradingview.com/x/Hz1BKRjK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workbookViewId="0">
      <pane ySplit="1" topLeftCell="A28" activePane="bottomLeft" state="frozen"/>
      <selection pane="bottomLeft" activeCell="N47" sqref="N47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inlineStr">
        <is>
          <t xml:space="preserve">ZTH 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Asset Traded</t>
        </is>
      </c>
      <c r="E1" s="2" t="inlineStr">
        <is>
          <t>Direction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Stop Loss</t>
        </is>
      </c>
      <c r="J1" s="2" t="inlineStr">
        <is>
          <t>Take Profit</t>
        </is>
      </c>
      <c r="K1" s="4" t="inlineStr">
        <is>
          <t>RR Targeted</t>
        </is>
      </c>
      <c r="L1" s="4" t="inlineStr">
        <is>
          <t>RR Realized</t>
        </is>
      </c>
      <c r="M1" s="2" t="inlineStr">
        <is>
          <t>Win/Loss</t>
        </is>
      </c>
      <c r="N1" s="15" t="inlineStr">
        <is>
          <t>P&amp;L Amount</t>
        </is>
      </c>
      <c r="O1" s="2" t="inlineStr">
        <is>
          <t>P&amp;L %</t>
        </is>
      </c>
      <c r="P1" s="2" t="inlineStr">
        <is>
          <t>Cumulative P&amp;L</t>
        </is>
      </c>
      <c r="Q1" s="2" t="inlineStr">
        <is>
          <t>Trade Setup</t>
        </is>
      </c>
      <c r="R1" s="2" t="inlineStr">
        <is>
          <t>Notes</t>
        </is>
      </c>
      <c r="S1" s="2" t="inlineStr">
        <is>
          <t>Intrument Level</t>
        </is>
      </c>
      <c r="T1" s="2" t="inlineStr">
        <is>
          <t>Level Screenshot</t>
        </is>
      </c>
      <c r="U1" s="2" t="inlineStr">
        <is>
          <t>Trade Screenshot</t>
        </is>
      </c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7</v>
      </c>
      <c r="B2" s="6" t="n">
        <v>46251</v>
      </c>
      <c r="C2" s="10" t="n">
        <v>0.4131944444444444</v>
      </c>
      <c r="D2" s="5" t="inlineStr">
        <is>
          <t>MNQ</t>
        </is>
      </c>
      <c r="E2" s="5" t="inlineStr">
        <is>
          <t>Long</t>
        </is>
      </c>
      <c r="F2" s="7" t="n">
        <v>30240.75</v>
      </c>
      <c r="G2" s="7" t="n">
        <v>30220</v>
      </c>
      <c r="H2" s="5" t="n">
        <v>3</v>
      </c>
      <c r="I2" s="7" t="n">
        <v>30220.75</v>
      </c>
      <c r="J2" s="7" t="n">
        <v>30280.75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n"/>
      <c r="S2" s="5" t="inlineStr">
        <is>
          <t>MNQ</t>
        </is>
      </c>
      <c r="T2" s="5" t="inlineStr">
        <is>
          <t>https://www.tradingview.com/x/ygjyjXNE/</t>
        </is>
      </c>
      <c r="U2" s="5" t="inlineStr">
        <is>
          <t>https://www.tradingview.com/x/pqKL41ZW/</t>
        </is>
      </c>
      <c r="V2" s="5" t="inlineStr">
        <is>
          <t>Cut winner early, 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8</v>
      </c>
      <c r="B3" s="6" t="n">
        <v>46251</v>
      </c>
      <c r="C3" s="10" t="n">
        <v>0.4229166666666667</v>
      </c>
      <c r="D3" s="5" t="inlineStr">
        <is>
          <t>MGC</t>
        </is>
      </c>
      <c r="E3" s="5" t="inlineStr">
        <is>
          <t>Long</t>
        </is>
      </c>
      <c r="F3" s="7" t="n">
        <v>4461.4</v>
      </c>
      <c r="G3" s="7" t="n">
        <v>4473.4</v>
      </c>
      <c r="H3" s="5" t="n">
        <v>2</v>
      </c>
      <c r="I3" s="7" t="n">
        <v>4455.4</v>
      </c>
      <c r="J3" s="7" t="n">
        <v>4473.4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n"/>
      <c r="S3" s="5" t="inlineStr">
        <is>
          <t>MGC</t>
        </is>
      </c>
      <c r="T3" s="12" t="inlineStr">
        <is>
          <t>https://www.tradingview.com/x/soX7jXbm/</t>
        </is>
      </c>
      <c r="U3" s="12" t="inlineStr">
        <is>
          <t xml:space="preserve">https://www.tradingview.com/x/Hz1BKRjK/ </t>
        </is>
      </c>
      <c r="V3" s="5" t="inlineStr">
        <is>
          <t>Oversized, 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9</v>
      </c>
      <c r="B4" s="6" t="n">
        <v>46251</v>
      </c>
      <c r="C4" s="10" t="n">
        <v>0.49375</v>
      </c>
      <c r="D4" s="5" t="inlineStr">
        <is>
          <t>MNQ</t>
        </is>
      </c>
      <c r="E4" s="5" t="inlineStr">
        <is>
          <t>Short</t>
        </is>
      </c>
      <c r="F4" s="7" t="n">
        <v>30237.75</v>
      </c>
      <c r="G4" s="7" t="n">
        <v>30221.5</v>
      </c>
      <c r="H4" s="5" t="n">
        <v>3</v>
      </c>
      <c r="I4" s="7" t="n">
        <v>30257.75</v>
      </c>
      <c r="J4" s="7" t="n">
        <v>30221.5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n"/>
      <c r="S4" s="5" t="inlineStr">
        <is>
          <t>MNQ</t>
        </is>
      </c>
      <c r="T4" s="5" t="n"/>
      <c r="U4" s="5" t="inlineStr">
        <is>
          <t>https://www.tradingview.com/x/pqKL41ZW/</t>
        </is>
      </c>
      <c r="V4" s="5" t="inlineStr">
        <is>
          <t>Oversized,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10</v>
      </c>
      <c r="B5" s="13" t="n">
        <v>46245</v>
      </c>
      <c r="C5" s="10" t="n">
        <v>0.8108217592592593</v>
      </c>
      <c r="D5" s="5" t="inlineStr">
        <is>
          <t>MGC</t>
        </is>
      </c>
      <c r="E5" s="5" t="inlineStr">
        <is>
          <t>Long</t>
        </is>
      </c>
      <c r="F5" s="7" t="n">
        <v>4429.1</v>
      </c>
      <c r="G5" s="7" t="n">
        <v>4430.1</v>
      </c>
      <c r="H5" s="5" t="n">
        <v>3</v>
      </c>
      <c r="I5" s="7" t="n">
        <v>4423.4</v>
      </c>
      <c r="J5" s="7" t="n">
        <v>4431.5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MGC</t>
        </is>
      </c>
      <c r="T5" s="5" t="n"/>
      <c r="U5" s="5" t="n"/>
      <c r="V5" s="5" t="inlineStr">
        <is>
          <t>Oversized, Revenge trade, 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11</v>
      </c>
      <c r="B6" s="13" t="n">
        <v>46245</v>
      </c>
      <c r="C6" s="10" t="n">
        <v>0.8119444444444445</v>
      </c>
      <c r="D6" s="5" t="inlineStr">
        <is>
          <t>MGC</t>
        </is>
      </c>
      <c r="E6" s="5" t="inlineStr">
        <is>
          <t>Short</t>
        </is>
      </c>
      <c r="F6" s="7" t="n">
        <v>4431.6</v>
      </c>
      <c r="G6" s="7" t="n">
        <v>4430.5</v>
      </c>
      <c r="H6" s="5" t="n">
        <v>10</v>
      </c>
      <c r="I6" s="7" t="n"/>
      <c r="J6" s="7" t="n">
        <v>4430.5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MGC</t>
        </is>
      </c>
      <c r="T6" s="5" t="n"/>
      <c r="U6" s="5" t="n"/>
      <c r="V6" s="5" t="inlineStr">
        <is>
          <t>Oversized, 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12</v>
      </c>
      <c r="B7" s="13" t="n">
        <v>46245</v>
      </c>
      <c r="C7" s="10" t="n">
        <v>0.8128356481481481</v>
      </c>
      <c r="D7" s="5" t="inlineStr">
        <is>
          <t>MGC</t>
        </is>
      </c>
      <c r="E7" s="5" t="inlineStr">
        <is>
          <t>Long</t>
        </is>
      </c>
      <c r="F7" s="7" t="n">
        <v>4430.6</v>
      </c>
      <c r="G7" s="7" t="n">
        <v>4426.2</v>
      </c>
      <c r="H7" s="5" t="n">
        <v>10</v>
      </c>
      <c r="I7" s="7" t="n">
        <v>4423.4</v>
      </c>
      <c r="J7" s="7" t="n">
        <v>4431.5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MGC</t>
        </is>
      </c>
      <c r="T7" s="5" t="n"/>
      <c r="U7" s="5" t="n"/>
      <c r="V7" s="5" t="inlineStr">
        <is>
          <t>Oversized, 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13</v>
      </c>
      <c r="B8" s="13" t="n">
        <v>46245</v>
      </c>
      <c r="C8" s="10" t="n">
        <v>0.8156481481481481</v>
      </c>
      <c r="D8" s="5" t="inlineStr">
        <is>
          <t>MGC</t>
        </is>
      </c>
      <c r="E8" s="5" t="inlineStr">
        <is>
          <t>Short</t>
        </is>
      </c>
      <c r="F8" s="7" t="n">
        <v>4427</v>
      </c>
      <c r="G8" s="7" t="n">
        <v>4440.1</v>
      </c>
      <c r="H8" s="5" t="n">
        <v>10</v>
      </c>
      <c r="I8" s="7" t="n"/>
      <c r="J8" s="7" t="n">
        <v>4426.8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Oversized, 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14</v>
      </c>
      <c r="B9" s="13" t="n">
        <v>46245</v>
      </c>
      <c r="C9" s="10" t="n">
        <v>0.8551736111111111</v>
      </c>
      <c r="D9" s="5" t="inlineStr">
        <is>
          <t>MGC</t>
        </is>
      </c>
      <c r="E9" s="5" t="inlineStr">
        <is>
          <t>Long</t>
        </is>
      </c>
      <c r="F9" s="7" t="n">
        <v>4440.1</v>
      </c>
      <c r="G9" s="7" t="n">
        <v>4443.8</v>
      </c>
      <c r="H9" s="5" t="n">
        <v>10</v>
      </c>
      <c r="I9" s="7" t="n"/>
      <c r="J9" s="7" t="n">
        <v>4443.8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Oversized,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15</v>
      </c>
      <c r="B10" s="13" t="n">
        <v>46245</v>
      </c>
      <c r="C10" s="10" t="n">
        <v>0.8861574074074074</v>
      </c>
      <c r="D10" s="5" t="inlineStr">
        <is>
          <t>MGC</t>
        </is>
      </c>
      <c r="E10" s="5" t="inlineStr">
        <is>
          <t>Long</t>
        </is>
      </c>
      <c r="F10" s="7" t="n">
        <v>4457.166667</v>
      </c>
      <c r="G10" s="7" t="n">
        <v>4457.8</v>
      </c>
      <c r="H10" s="5" t="n">
        <v>30</v>
      </c>
      <c r="I10" s="7" t="n"/>
      <c r="J10" s="7" t="n">
        <v>4472.1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Oversized,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16</v>
      </c>
      <c r="B11" s="13" t="n">
        <v>46245</v>
      </c>
      <c r="C11" s="10" t="n">
        <v>0.9446412037037037</v>
      </c>
      <c r="D11" s="5" t="inlineStr">
        <is>
          <t>MGC</t>
        </is>
      </c>
      <c r="E11" s="5" t="inlineStr">
        <is>
          <t>Long</t>
        </is>
      </c>
      <c r="F11" s="7" t="n">
        <v>4461.8</v>
      </c>
      <c r="G11" s="7" t="n">
        <v>4469</v>
      </c>
      <c r="H11" s="5" t="n">
        <v>30</v>
      </c>
      <c r="I11" s="7" t="n"/>
      <c r="J11" s="7" t="n">
        <v>4474.1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Oversized, 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17</v>
      </c>
      <c r="B12" s="13" t="n">
        <v>46245</v>
      </c>
      <c r="C12" s="10" t="n">
        <v>0.9586574074074075</v>
      </c>
      <c r="D12" s="5" t="inlineStr">
        <is>
          <t>MGC</t>
        </is>
      </c>
      <c r="E12" s="5" t="inlineStr">
        <is>
          <t>Long</t>
        </is>
      </c>
      <c r="F12" s="7" t="n">
        <v>4472.3</v>
      </c>
      <c r="G12" s="7" t="n">
        <v>4470.9</v>
      </c>
      <c r="H12" s="5" t="n">
        <v>20</v>
      </c>
      <c r="I12" s="7" t="n"/>
      <c r="J12" s="7" t="n">
        <v>4475.9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Oversized, 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18</v>
      </c>
      <c r="B13" s="13" t="n">
        <v>46245</v>
      </c>
      <c r="C13" s="10" t="n">
        <v>0.9666550925925926</v>
      </c>
      <c r="D13" s="5" t="inlineStr">
        <is>
          <t>MGC</t>
        </is>
      </c>
      <c r="E13" s="5" t="inlineStr">
        <is>
          <t>Long</t>
        </is>
      </c>
      <c r="F13" s="7" t="n">
        <v>4473.9</v>
      </c>
      <c r="G13" s="7" t="n">
        <v>4464.8</v>
      </c>
      <c r="H13" s="5" t="n">
        <v>10</v>
      </c>
      <c r="I13" s="7" t="n"/>
      <c r="J13" s="7" t="n"/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MGC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19</v>
      </c>
      <c r="B14" s="13" t="n">
        <v>46245</v>
      </c>
      <c r="C14" s="10" t="n">
        <v>0.9762615740740741</v>
      </c>
      <c r="D14" s="5" t="inlineStr">
        <is>
          <t>MGC</t>
        </is>
      </c>
      <c r="E14" s="5" t="inlineStr">
        <is>
          <t>Long</t>
        </is>
      </c>
      <c r="F14" s="7" t="n">
        <v>4467.3</v>
      </c>
      <c r="G14" s="7" t="n">
        <v>4465.9</v>
      </c>
      <c r="H14" s="5" t="n">
        <v>10</v>
      </c>
      <c r="I14" s="7" t="n"/>
      <c r="J14" s="7" t="n"/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MGC</t>
        </is>
      </c>
      <c r="T14" s="5" t="n"/>
      <c r="U14" s="5" t="n"/>
      <c r="V14" s="5" t="inlineStr">
        <is>
          <t>Oversized, 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20</v>
      </c>
      <c r="B15" s="13" t="n">
        <v>46245</v>
      </c>
      <c r="C15" s="10" t="n">
        <v>0.9837037037037037</v>
      </c>
      <c r="D15" s="5" t="inlineStr">
        <is>
          <t>MGC</t>
        </is>
      </c>
      <c r="E15" s="5" t="inlineStr">
        <is>
          <t>Short</t>
        </is>
      </c>
      <c r="F15" s="7" t="n">
        <v>4461.05</v>
      </c>
      <c r="G15" s="7" t="n">
        <v>4458.6</v>
      </c>
      <c r="H15" s="5" t="n">
        <v>20</v>
      </c>
      <c r="I15" s="7" t="n"/>
      <c r="J15" s="7" t="n">
        <v>4458.6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MGC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21</v>
      </c>
      <c r="B16" s="13" t="n">
        <v>46246</v>
      </c>
      <c r="C16" s="10" t="n">
        <v>0.3835879629629629</v>
      </c>
      <c r="D16" s="5" t="inlineStr">
        <is>
          <t>MNQ</t>
        </is>
      </c>
      <c r="E16" s="5" t="inlineStr">
        <is>
          <t>Long</t>
        </is>
      </c>
      <c r="F16" s="7" t="n">
        <v>29931.25</v>
      </c>
      <c r="G16" s="7" t="n">
        <v>29936</v>
      </c>
      <c r="H16" s="5" t="n">
        <v>5</v>
      </c>
      <c r="I16" s="7" t="n"/>
      <c r="J16" s="7" t="n">
        <v>29936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Oversized, 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22</v>
      </c>
      <c r="B17" s="13" t="n">
        <v>46246</v>
      </c>
      <c r="C17" s="10" t="n">
        <v>0.3932523148148148</v>
      </c>
      <c r="D17" s="5" t="inlineStr">
        <is>
          <t>MGC</t>
        </is>
      </c>
      <c r="E17" s="5" t="inlineStr">
        <is>
          <t>Short</t>
        </is>
      </c>
      <c r="F17" s="7" t="n">
        <v>4475.7</v>
      </c>
      <c r="G17" s="7" t="n">
        <v>4474</v>
      </c>
      <c r="H17" s="5" t="n">
        <v>10</v>
      </c>
      <c r="I17" s="7" t="n"/>
      <c r="J17" s="7" t="n">
        <v>4474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23</v>
      </c>
      <c r="B18" s="13" t="n">
        <v>46246</v>
      </c>
      <c r="C18" s="10" t="n">
        <v>0.4015393518518519</v>
      </c>
      <c r="D18" s="5" t="inlineStr">
        <is>
          <t>MNQ</t>
        </is>
      </c>
      <c r="E18" s="5" t="inlineStr">
        <is>
          <t>Short</t>
        </is>
      </c>
      <c r="F18" s="7" t="n">
        <v>29915.75</v>
      </c>
      <c r="G18" s="7" t="n">
        <v>29881</v>
      </c>
      <c r="H18" s="5" t="n">
        <v>1</v>
      </c>
      <c r="I18" s="7" t="n"/>
      <c r="J18" s="7" t="n">
        <v>29881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24</v>
      </c>
      <c r="B19" s="13" t="n">
        <v>46246</v>
      </c>
      <c r="C19" s="10" t="n">
        <v>0.4109837962962963</v>
      </c>
      <c r="D19" s="5" t="inlineStr">
        <is>
          <t>MGC</t>
        </is>
      </c>
      <c r="E19" s="5" t="inlineStr">
        <is>
          <t>Long</t>
        </is>
      </c>
      <c r="F19" s="7" t="n">
        <v>4490</v>
      </c>
      <c r="G19" s="7" t="n">
        <v>4485.4</v>
      </c>
      <c r="H19" s="5" t="n">
        <v>10</v>
      </c>
      <c r="I19" s="7" t="n"/>
      <c r="J19" s="7" t="n"/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25</v>
      </c>
      <c r="B20" s="13" t="n">
        <v>46246</v>
      </c>
      <c r="C20" s="10" t="n">
        <v>0.4551967592592592</v>
      </c>
      <c r="D20" s="5" t="inlineStr">
        <is>
          <t>MNQ</t>
        </is>
      </c>
      <c r="E20" s="5" t="inlineStr">
        <is>
          <t>Long</t>
        </is>
      </c>
      <c r="F20" s="7" t="n">
        <v>29863</v>
      </c>
      <c r="G20" s="7" t="n">
        <v>29878.5</v>
      </c>
      <c r="H20" s="5" t="n">
        <v>3</v>
      </c>
      <c r="I20" s="7" t="n">
        <v>29833</v>
      </c>
      <c r="J20" s="7" t="n">
        <v>29878.5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MNQ</t>
        </is>
      </c>
      <c r="T20" s="5" t="n"/>
      <c r="U20" s="5" t="n"/>
      <c r="V20" s="5" t="inlineStr">
        <is>
          <t>Blew stop,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26</v>
      </c>
      <c r="B21" s="13" t="n">
        <v>46246</v>
      </c>
      <c r="C21" s="10" t="n">
        <v>0.473912037037037</v>
      </c>
      <c r="D21" s="5" t="inlineStr">
        <is>
          <t>MNQ</t>
        </is>
      </c>
      <c r="E21" s="5" t="inlineStr">
        <is>
          <t>Long</t>
        </is>
      </c>
      <c r="F21" s="7" t="n">
        <v>29854</v>
      </c>
      <c r="G21" s="7" t="n">
        <v>29879.75</v>
      </c>
      <c r="H21" s="5" t="n">
        <v>3</v>
      </c>
      <c r="I21" s="7" t="n">
        <v>29834.5</v>
      </c>
      <c r="J21" s="7" t="n">
        <v>29894.5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MNQ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27</v>
      </c>
      <c r="B22" s="13" t="n">
        <v>46246</v>
      </c>
      <c r="C22" s="10" t="n">
        <v>0.480625</v>
      </c>
      <c r="D22" s="5" t="inlineStr">
        <is>
          <t>MNQ</t>
        </is>
      </c>
      <c r="E22" s="5" t="inlineStr">
        <is>
          <t>Long</t>
        </is>
      </c>
      <c r="F22" s="7" t="n">
        <v>29855.75</v>
      </c>
      <c r="G22" s="7" t="n">
        <v>29833</v>
      </c>
      <c r="H22" s="5" t="n">
        <v>3</v>
      </c>
      <c r="I22" s="7" t="n">
        <v>29834.5</v>
      </c>
      <c r="J22" s="7" t="n">
        <v>29894.5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MNQ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5" t="n">
        <v>28</v>
      </c>
      <c r="B23" s="13" t="n">
        <v>46246</v>
      </c>
      <c r="C23" s="10" t="n">
        <v>0.4982523148148148</v>
      </c>
      <c r="D23" s="5" t="inlineStr">
        <is>
          <t>MNQ</t>
        </is>
      </c>
      <c r="E23" s="5" t="inlineStr">
        <is>
          <t>Short</t>
        </is>
      </c>
      <c r="F23" s="7" t="n">
        <v>29838.25</v>
      </c>
      <c r="G23" s="7" t="n">
        <v>29862.25</v>
      </c>
      <c r="H23" s="5" t="n">
        <v>3</v>
      </c>
      <c r="I23" s="7" t="n">
        <v>29858.5</v>
      </c>
      <c r="J23" s="7" t="n">
        <v>29823.5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MNQ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5" t="n">
        <v>29</v>
      </c>
      <c r="B24" s="13" t="n">
        <v>46246</v>
      </c>
      <c r="C24" s="10" t="n">
        <v>0.5917824074074074</v>
      </c>
      <c r="D24" s="5" t="inlineStr">
        <is>
          <t>MGC</t>
        </is>
      </c>
      <c r="E24" s="5" t="inlineStr">
        <is>
          <t>Short</t>
        </is>
      </c>
      <c r="F24" s="5" t="n">
        <v>4465.4</v>
      </c>
      <c r="G24" s="5" t="n">
        <v>4471.9</v>
      </c>
      <c r="H24" s="5" t="n">
        <v>3</v>
      </c>
      <c r="I24" s="7" t="n">
        <v>4471.8</v>
      </c>
      <c r="J24" s="7" t="n">
        <v>4458.5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5" t="n">
        <v>30</v>
      </c>
      <c r="B25" s="13" t="n">
        <v>46247</v>
      </c>
      <c r="C25" s="10" t="n">
        <v>0.3686689814814815</v>
      </c>
      <c r="D25" s="5" t="inlineStr">
        <is>
          <t>MGC</t>
        </is>
      </c>
      <c r="E25" s="5" t="inlineStr">
        <is>
          <t>Long</t>
        </is>
      </c>
      <c r="F25" s="5" t="n">
        <v>4450.95</v>
      </c>
      <c r="G25" s="5" t="n">
        <v>4448.1</v>
      </c>
      <c r="H25" s="5" t="n">
        <v>2</v>
      </c>
      <c r="I25" s="5" t="n">
        <v>4444.4</v>
      </c>
      <c r="J25" s="7" t="n">
        <v>4451.8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MGC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5" t="n">
        <v>31</v>
      </c>
      <c r="B26" s="13" t="n">
        <v>46247</v>
      </c>
      <c r="C26" s="10" t="n">
        <v>0.407337962962963</v>
      </c>
      <c r="D26" s="5" t="inlineStr">
        <is>
          <t>MNQ</t>
        </is>
      </c>
      <c r="E26" s="5" t="inlineStr">
        <is>
          <t>Long</t>
        </is>
      </c>
      <c r="F26" s="5" t="n">
        <v>30089.5</v>
      </c>
      <c r="G26" s="5" t="n">
        <v>30127</v>
      </c>
      <c r="H26" s="5" t="n">
        <v>5</v>
      </c>
      <c r="I26" s="5" t="n">
        <v>30067</v>
      </c>
      <c r="J26" s="7" t="n">
        <v>30127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32</v>
      </c>
      <c r="B27" s="13" t="n">
        <v>46247</v>
      </c>
      <c r="C27" s="10" t="n">
        <v>0.4751041666666667</v>
      </c>
      <c r="D27" s="5" t="inlineStr">
        <is>
          <t>MGC</t>
        </is>
      </c>
      <c r="E27" s="5" t="inlineStr">
        <is>
          <t>Short</t>
        </is>
      </c>
      <c r="F27" s="5" t="n">
        <v>4427.5</v>
      </c>
      <c r="G27" s="5" t="n">
        <v>4418</v>
      </c>
      <c r="H27" s="5" t="n">
        <v>3</v>
      </c>
      <c r="I27" s="5" t="n"/>
      <c r="J27" s="7" t="n">
        <v>4418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33</v>
      </c>
      <c r="B28" s="13" t="n">
        <v>46247</v>
      </c>
      <c r="C28" s="10" t="n">
        <v>0.9516203703703704</v>
      </c>
      <c r="D28" s="5" t="inlineStr">
        <is>
          <t>MGC</t>
        </is>
      </c>
      <c r="E28" s="5" t="inlineStr">
        <is>
          <t>Long</t>
        </is>
      </c>
      <c r="F28" s="5" t="n">
        <v>4371.8</v>
      </c>
      <c r="G28" s="5" t="n">
        <v>4369.6</v>
      </c>
      <c r="H28" s="5" t="n">
        <v>3</v>
      </c>
      <c r="I28" s="5" t="n"/>
      <c r="J28" s="7" t="n"/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34</v>
      </c>
      <c r="B29" s="13" t="n">
        <v>46247</v>
      </c>
      <c r="C29" s="10" t="n">
        <v>0.9580092592592593</v>
      </c>
      <c r="D29" s="5" t="inlineStr">
        <is>
          <t>MGC</t>
        </is>
      </c>
      <c r="E29" s="5" t="inlineStr">
        <is>
          <t>Short</t>
        </is>
      </c>
      <c r="F29" s="5" t="n">
        <v>4370.5</v>
      </c>
      <c r="G29" s="5" t="n">
        <v>4377</v>
      </c>
      <c r="H29" s="5" t="n">
        <v>3</v>
      </c>
      <c r="I29" s="5" t="n">
        <v>4377</v>
      </c>
      <c r="J29" s="7" t="n">
        <v>4369.3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35</v>
      </c>
      <c r="B30" s="13" t="n">
        <v>46248</v>
      </c>
      <c r="C30" s="10" t="n">
        <v>0.4076736111111111</v>
      </c>
      <c r="D30" s="5" t="inlineStr">
        <is>
          <t>MNQ</t>
        </is>
      </c>
      <c r="E30" s="5" t="inlineStr">
        <is>
          <t>Long</t>
        </is>
      </c>
      <c r="F30" s="5" t="n">
        <v>30233</v>
      </c>
      <c r="G30" s="5" t="n">
        <v>30255.75</v>
      </c>
      <c r="H30" s="5" t="n">
        <v>3</v>
      </c>
      <c r="I30" s="5" t="n"/>
      <c r="J30" s="7" t="n">
        <v>30272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36</v>
      </c>
      <c r="B31" s="13" t="n">
        <v>46248</v>
      </c>
      <c r="C31" s="10" t="n">
        <v>0.4152546296296296</v>
      </c>
      <c r="D31" s="5" t="inlineStr">
        <is>
          <t>MNQ</t>
        </is>
      </c>
      <c r="E31" s="5" t="inlineStr">
        <is>
          <t>Long</t>
        </is>
      </c>
      <c r="F31" s="5" t="n">
        <v>30221</v>
      </c>
      <c r="G31" s="5" t="n">
        <v>30225.5</v>
      </c>
      <c r="H31" s="5" t="n">
        <v>3</v>
      </c>
      <c r="I31" s="5" t="n">
        <v>30201</v>
      </c>
      <c r="J31" s="7" t="n">
        <v>30225.5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37</v>
      </c>
      <c r="B32" s="13" t="n">
        <v>46248</v>
      </c>
      <c r="C32" s="10" t="n">
        <v>0.4988888888888889</v>
      </c>
      <c r="D32" s="5" t="inlineStr">
        <is>
          <t>MNQ</t>
        </is>
      </c>
      <c r="E32" s="5" t="inlineStr">
        <is>
          <t>Short</t>
        </is>
      </c>
      <c r="F32" s="5" t="n">
        <v>30072.5</v>
      </c>
      <c r="G32" s="5" t="n">
        <v>30099.5</v>
      </c>
      <c r="H32" s="5" t="n">
        <v>3</v>
      </c>
      <c r="I32" s="5" t="n">
        <v>30099.5</v>
      </c>
      <c r="J32" s="7" t="n">
        <v>30058.25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MNQ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38</v>
      </c>
      <c r="B33" s="13" t="n">
        <v>46248</v>
      </c>
      <c r="C33" s="10" t="n">
        <v>0.5287037037037037</v>
      </c>
      <c r="D33" s="5" t="inlineStr">
        <is>
          <t>MNQ</t>
        </is>
      </c>
      <c r="E33" s="5" t="inlineStr">
        <is>
          <t>Short</t>
        </is>
      </c>
      <c r="F33" s="5" t="n">
        <v>30068.5</v>
      </c>
      <c r="G33" s="5" t="n">
        <v>30064</v>
      </c>
      <c r="H33" s="5" t="n">
        <v>3</v>
      </c>
      <c r="I33" s="5" t="n">
        <v>30088.5</v>
      </c>
      <c r="J33" s="7" t="n">
        <v>30064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39</v>
      </c>
      <c r="B34" s="13" t="n">
        <v>46248</v>
      </c>
      <c r="C34" s="10" t="n">
        <v>0.5321296296296296</v>
      </c>
      <c r="D34" s="5" t="inlineStr">
        <is>
          <t>MNQ</t>
        </is>
      </c>
      <c r="E34" s="5" t="inlineStr">
        <is>
          <t>Long</t>
        </is>
      </c>
      <c r="F34" s="5" t="n">
        <v>30067</v>
      </c>
      <c r="G34" s="5" t="n">
        <v>30071.25</v>
      </c>
      <c r="H34" s="5" t="n">
        <v>5</v>
      </c>
      <c r="I34" s="5" t="n">
        <v>30047.75</v>
      </c>
      <c r="J34" s="7" t="n">
        <v>30074.5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40</v>
      </c>
      <c r="B35" s="13" t="n">
        <v>46248</v>
      </c>
      <c r="C35" s="10" t="n">
        <v>0.5350231481481481</v>
      </c>
      <c r="D35" s="5" t="inlineStr">
        <is>
          <t>MNQ</t>
        </is>
      </c>
      <c r="E35" s="5" t="inlineStr">
        <is>
          <t>Long</t>
        </is>
      </c>
      <c r="F35" s="5" t="n">
        <v>30064.5</v>
      </c>
      <c r="G35" s="5" t="n">
        <v>30068</v>
      </c>
      <c r="H35" s="5" t="n">
        <v>5</v>
      </c>
      <c r="I35" s="5" t="n"/>
      <c r="J35" s="7" t="n">
        <v>30074.5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41</v>
      </c>
      <c r="B36" s="13" t="n">
        <v>46252</v>
      </c>
      <c r="C36" s="10" t="n">
        <v>0.4170601851851852</v>
      </c>
      <c r="D36" s="5" t="inlineStr">
        <is>
          <t>MGC</t>
        </is>
      </c>
      <c r="E36" s="5" t="inlineStr">
        <is>
          <t>Short</t>
        </is>
      </c>
      <c r="F36" s="5" t="n">
        <v>4454.7</v>
      </c>
      <c r="G36" s="5" t="n">
        <v>4460</v>
      </c>
      <c r="H36" s="5" t="n">
        <v>3</v>
      </c>
      <c r="I36" s="5" t="n">
        <v>4459.9</v>
      </c>
      <c r="J36" s="7" t="n">
        <v>4454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MGC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42</v>
      </c>
      <c r="B37" s="13" t="n">
        <v>46252</v>
      </c>
      <c r="C37" s="10" t="n">
        <v>0.4225347222222222</v>
      </c>
      <c r="D37" s="5" t="inlineStr">
        <is>
          <t>MGC</t>
        </is>
      </c>
      <c r="E37" s="5" t="inlineStr">
        <is>
          <t>Long</t>
        </is>
      </c>
      <c r="F37" s="5" t="n">
        <v>4454.2</v>
      </c>
      <c r="G37" s="5" t="n">
        <v>4448.2</v>
      </c>
      <c r="H37" s="5" t="n">
        <v>3</v>
      </c>
      <c r="I37" s="5" t="n">
        <v>4448.2</v>
      </c>
      <c r="J37" s="7" t="n">
        <v>4467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MGC</t>
        </is>
      </c>
      <c r="T37" s="5" t="n"/>
      <c r="U37" s="5" t="n"/>
      <c r="V37" s="5" t="inlineStr">
        <is>
          <t>Revenge trade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43</v>
      </c>
      <c r="B38" s="13" t="n">
        <v>46252</v>
      </c>
      <c r="C38" s="10" t="n">
        <v>0.4283217592592592</v>
      </c>
      <c r="D38" s="5" t="inlineStr">
        <is>
          <t>MNQ</t>
        </is>
      </c>
      <c r="E38" s="5" t="inlineStr">
        <is>
          <t>Short</t>
        </is>
      </c>
      <c r="F38" s="5" t="n">
        <v>29614</v>
      </c>
      <c r="G38" s="5" t="n">
        <v>29634</v>
      </c>
      <c r="H38" s="5" t="n">
        <v>2</v>
      </c>
      <c r="I38" s="5" t="n">
        <v>29634</v>
      </c>
      <c r="J38" s="5" t="n">
        <v>29574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MNQ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44</v>
      </c>
      <c r="B39" s="13" t="n">
        <v>46252</v>
      </c>
      <c r="C39" s="10" t="n">
        <v>0.4317824074074074</v>
      </c>
      <c r="D39" s="5" t="inlineStr">
        <is>
          <t>MNQ</t>
        </is>
      </c>
      <c r="E39" s="5" t="inlineStr">
        <is>
          <t>Short</t>
        </is>
      </c>
      <c r="F39" s="5" t="n">
        <v>29607.5</v>
      </c>
      <c r="G39" s="5" t="n">
        <v>29656.75</v>
      </c>
      <c r="H39" s="5" t="n">
        <v>3</v>
      </c>
      <c r="I39" s="5" t="n">
        <v>29649</v>
      </c>
      <c r="J39" s="5" t="n">
        <v>29552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MNQ</t>
        </is>
      </c>
      <c r="T39" s="5" t="n"/>
      <c r="U39" s="5" t="n"/>
      <c r="V39" s="5" t="inlineStr">
        <is>
          <t>Blew stop, Revenge trade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45</v>
      </c>
      <c r="B40" s="13" t="n">
        <v>46252</v>
      </c>
      <c r="C40" s="10" t="n">
        <v>0.4505902777777778</v>
      </c>
      <c r="D40" s="5" t="inlineStr">
        <is>
          <t>MGC</t>
        </is>
      </c>
      <c r="E40" s="5" t="inlineStr">
        <is>
          <t>Short</t>
        </is>
      </c>
      <c r="F40" s="5" t="n">
        <v>4444.2</v>
      </c>
      <c r="G40" s="5" t="n">
        <v>4434.5</v>
      </c>
      <c r="H40" s="5" t="n">
        <v>2</v>
      </c>
      <c r="I40" s="5" t="n">
        <v>4447.8</v>
      </c>
      <c r="J40" s="5" t="n">
        <v>4434.5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MGC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46</v>
      </c>
      <c r="B41" s="13" t="n">
        <v>46253</v>
      </c>
      <c r="C41" s="10" t="n">
        <v>0.4052314814814815</v>
      </c>
      <c r="D41" s="5" t="inlineStr">
        <is>
          <t>MNQ</t>
        </is>
      </c>
      <c r="E41" s="5" t="inlineStr">
        <is>
          <t>Short</t>
        </is>
      </c>
      <c r="F41" s="5" t="n">
        <v>29615.5</v>
      </c>
      <c r="G41" s="5" t="n">
        <v>29544.25</v>
      </c>
      <c r="H41" s="5" t="n">
        <v>3</v>
      </c>
      <c r="I41" s="5" t="n"/>
      <c r="J41" s="5" t="n">
        <v>29549</v>
      </c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MNQ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47</v>
      </c>
      <c r="B42" s="13" t="n">
        <v>46253</v>
      </c>
      <c r="C42" s="10" t="n">
        <v>0.5233564814814815</v>
      </c>
      <c r="D42" s="5" t="inlineStr">
        <is>
          <t>MNQ</t>
        </is>
      </c>
      <c r="E42" s="5" t="inlineStr">
        <is>
          <t>Short</t>
        </is>
      </c>
      <c r="F42" s="5" t="n">
        <v>29614.75</v>
      </c>
      <c r="G42" s="5" t="n">
        <v>29607</v>
      </c>
      <c r="H42" s="5" t="n">
        <v>3</v>
      </c>
      <c r="I42" s="5" t="n">
        <v>29638.75</v>
      </c>
      <c r="J42" s="5" t="n">
        <v>29607</v>
      </c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MNQ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48</v>
      </c>
      <c r="B43" s="13" t="n">
        <v>46253</v>
      </c>
      <c r="C43" s="10" t="n">
        <v>0.6075347222222223</v>
      </c>
      <c r="D43" s="5" t="inlineStr">
        <is>
          <t>MGC</t>
        </is>
      </c>
      <c r="E43" s="5" t="inlineStr">
        <is>
          <t>Short</t>
        </is>
      </c>
      <c r="F43" s="5" t="n">
        <v>4539.5</v>
      </c>
      <c r="G43" s="5" t="n">
        <v>4546.4</v>
      </c>
      <c r="H43" s="5" t="n">
        <v>3</v>
      </c>
      <c r="I43" s="5" t="n">
        <v>4545.5</v>
      </c>
      <c r="J43" s="5" t="n">
        <v>4537.6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MGC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49</v>
      </c>
      <c r="B44" s="13" t="n">
        <v>46253</v>
      </c>
      <c r="C44" s="10" t="n">
        <v>0.6256597222222222</v>
      </c>
      <c r="D44" s="5" t="inlineStr">
        <is>
          <t>MNQ</t>
        </is>
      </c>
      <c r="E44" s="5" t="inlineStr">
        <is>
          <t>Short</t>
        </is>
      </c>
      <c r="F44" s="5" t="n">
        <v>29544.5</v>
      </c>
      <c r="G44" s="5" t="n">
        <v>29564.5</v>
      </c>
      <c r="H44" s="5" t="n">
        <v>3</v>
      </c>
      <c r="I44" s="5" t="n">
        <v>29564.5</v>
      </c>
      <c r="J44" s="5" t="n">
        <v>29540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50</v>
      </c>
      <c r="B45" s="13" t="n">
        <v>46254</v>
      </c>
      <c r="C45" s="10" t="n">
        <v>0.4109953703703704</v>
      </c>
      <c r="D45" s="5" t="inlineStr">
        <is>
          <t>MGC</t>
        </is>
      </c>
      <c r="E45" s="5" t="inlineStr">
        <is>
          <t>Long</t>
        </is>
      </c>
      <c r="F45" s="5" t="n">
        <v>4538.74</v>
      </c>
      <c r="G45" s="5" t="n">
        <v>4551.86</v>
      </c>
      <c r="H45" s="5" t="n">
        <v>5</v>
      </c>
      <c r="I45" s="5" t="n">
        <v>4530.8</v>
      </c>
      <c r="J45" s="5" t="n">
        <v>4555.5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51</v>
      </c>
      <c r="B46" s="13" t="n">
        <v>46254</v>
      </c>
      <c r="C46" s="10" t="n">
        <v>0.420150462962963</v>
      </c>
      <c r="D46" s="5" t="inlineStr">
        <is>
          <t>MNQ</t>
        </is>
      </c>
      <c r="E46" s="5" t="inlineStr">
        <is>
          <t>Long</t>
        </is>
      </c>
      <c r="F46" s="5" t="n">
        <v>29329.5</v>
      </c>
      <c r="G46" s="5" t="n">
        <v>29323.25</v>
      </c>
      <c r="H46" s="5" t="n">
        <v>2</v>
      </c>
      <c r="I46" s="5" t="n">
        <v>29323.5</v>
      </c>
      <c r="J46" s="5" t="n">
        <v>29383.5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52</v>
      </c>
      <c r="B47" s="13" t="n">
        <v>46255</v>
      </c>
      <c r="C47" s="10" t="n">
        <v>0.411412037037037</v>
      </c>
      <c r="D47" s="5" t="inlineStr">
        <is>
          <t>MGC</t>
        </is>
      </c>
      <c r="E47" s="5" t="inlineStr">
        <is>
          <t>Long</t>
        </is>
      </c>
      <c r="F47" s="5" t="n">
        <v>4638.6</v>
      </c>
      <c r="G47" s="5" t="n">
        <v>4656.666667</v>
      </c>
      <c r="H47" s="5" t="n">
        <v>3</v>
      </c>
      <c r="I47" s="5" t="n">
        <v>4632</v>
      </c>
      <c r="J47" s="5" t="n">
        <v>4660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MGC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53</v>
      </c>
      <c r="B48" s="13" t="n">
        <v>46257</v>
      </c>
      <c r="C48" s="10" t="n">
        <v>0.8163078703703703</v>
      </c>
      <c r="D48" s="5" t="inlineStr">
        <is>
          <t>MGC</t>
        </is>
      </c>
      <c r="E48" s="5" t="inlineStr">
        <is>
          <t>Long</t>
        </is>
      </c>
      <c r="F48" s="5" t="n">
        <v>4640.8</v>
      </c>
      <c r="G48" s="5" t="n">
        <v>4634.6</v>
      </c>
      <c r="H48" s="5" t="n">
        <v>1</v>
      </c>
      <c r="I48" s="5" t="n">
        <v>4634.8</v>
      </c>
      <c r="J48" s="5" t="n">
        <v>4652.8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MGC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54</v>
      </c>
      <c r="B49" s="13" t="n">
        <v>46257</v>
      </c>
      <c r="C49" s="10" t="n">
        <v>0.8239236111111111</v>
      </c>
      <c r="D49" s="5" t="inlineStr">
        <is>
          <t>MGC</t>
        </is>
      </c>
      <c r="E49" s="5" t="inlineStr">
        <is>
          <t>Long</t>
        </is>
      </c>
      <c r="F49" s="5" t="n">
        <v>4631.1</v>
      </c>
      <c r="G49" s="5" t="n">
        <v>4643.1</v>
      </c>
      <c r="H49" s="5" t="n">
        <v>1</v>
      </c>
      <c r="I49" s="5" t="n">
        <v>4625.1</v>
      </c>
      <c r="J49" s="5" t="n">
        <v>4643.1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MGC</t>
        </is>
      </c>
      <c r="T49" s="5" t="n"/>
      <c r="U49" s="5" t="n"/>
      <c r="V49" s="5" t="inlineStr">
        <is>
          <t>Revenge trade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55</v>
      </c>
      <c r="B50" s="13" t="n">
        <v>46257</v>
      </c>
      <c r="C50" s="10" t="n">
        <v>0.8499305555555555</v>
      </c>
      <c r="D50" s="5" t="inlineStr">
        <is>
          <t>MGC</t>
        </is>
      </c>
      <c r="E50" s="5" t="inlineStr">
        <is>
          <t>Long</t>
        </is>
      </c>
      <c r="F50" s="5" t="n">
        <v>4642.3</v>
      </c>
      <c r="G50" s="5" t="n">
        <v>4636.2</v>
      </c>
      <c r="H50" s="5" t="n">
        <v>1</v>
      </c>
      <c r="I50" s="5" t="n">
        <v>4636.3</v>
      </c>
      <c r="J50" s="5" t="n">
        <v>4654.3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MGC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56</v>
      </c>
      <c r="B51" s="13" t="n">
        <v>46257</v>
      </c>
      <c r="C51" s="10" t="n">
        <v>0.8532175925925926</v>
      </c>
      <c r="D51" s="5" t="inlineStr">
        <is>
          <t>MGC</t>
        </is>
      </c>
      <c r="E51" s="5" t="inlineStr">
        <is>
          <t>Long</t>
        </is>
      </c>
      <c r="F51" s="5" t="n">
        <v>4630.1</v>
      </c>
      <c r="G51" s="5" t="n">
        <v>4641.55</v>
      </c>
      <c r="H51" s="5" t="n">
        <v>2</v>
      </c>
      <c r="I51" s="5" t="n">
        <v>4620.8</v>
      </c>
      <c r="J51" s="5" t="n">
        <v>4643.1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MGC</t>
        </is>
      </c>
      <c r="T51" s="5" t="n"/>
      <c r="U51" s="5" t="n"/>
      <c r="V51" s="5" t="inlineStr">
        <is>
          <t>Revenge trade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57</v>
      </c>
      <c r="B52" s="13" t="n">
        <v>46257</v>
      </c>
      <c r="C52" s="10" t="n">
        <v>0.9566550925925926</v>
      </c>
      <c r="D52" s="5" t="inlineStr">
        <is>
          <t>MGC</t>
        </is>
      </c>
      <c r="E52" s="5" t="inlineStr">
        <is>
          <t>Long</t>
        </is>
      </c>
      <c r="F52" s="5" t="n">
        <v>4663.7</v>
      </c>
      <c r="G52" s="5" t="n">
        <v>4657.4</v>
      </c>
      <c r="H52" s="5" t="n">
        <v>1</v>
      </c>
      <c r="I52" s="5" t="n">
        <v>4657.7</v>
      </c>
      <c r="J52" s="5" t="n">
        <v>4675.7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MGC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>
        <v>58</v>
      </c>
      <c r="B53" s="13" t="n">
        <v>46258</v>
      </c>
      <c r="C53" s="10" t="n">
        <v>0.01273148148148148</v>
      </c>
      <c r="D53" s="5" t="inlineStr">
        <is>
          <t>MGC</t>
        </is>
      </c>
      <c r="E53" s="5" t="inlineStr">
        <is>
          <t>Long</t>
        </is>
      </c>
      <c r="F53" s="5" t="n">
        <v>4695.333333</v>
      </c>
      <c r="G53" s="5" t="n">
        <v>4695.866667</v>
      </c>
      <c r="H53" s="5" t="n">
        <v>3</v>
      </c>
      <c r="I53" s="5" t="n">
        <v>4688.5</v>
      </c>
      <c r="J53" s="5" t="n">
        <v>4696.2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MGC</t>
        </is>
      </c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>
        <v>59</v>
      </c>
      <c r="B54" s="13" t="n">
        <v>46258</v>
      </c>
      <c r="C54" s="10" t="n">
        <v>0.402349537037037</v>
      </c>
      <c r="D54" s="5" t="inlineStr">
        <is>
          <t>MGC</t>
        </is>
      </c>
      <c r="E54" s="5" t="inlineStr">
        <is>
          <t>Long</t>
        </is>
      </c>
      <c r="F54" s="5" t="n">
        <v>4725.3</v>
      </c>
      <c r="G54" s="5" t="n">
        <v>4719.3</v>
      </c>
      <c r="H54" s="5" t="n">
        <v>2</v>
      </c>
      <c r="I54" s="5" t="n">
        <v>4719.3</v>
      </c>
      <c r="J54" s="5" t="n">
        <v>4742.7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MGC</t>
        </is>
      </c>
      <c r="T54" s="5" t="n"/>
      <c r="U54" s="5" t="n"/>
      <c r="V54" s="5" t="inlineStr">
        <is>
          <t>Revenge trade</t>
        </is>
      </c>
      <c r="W54" s="5" t="inlineStr">
        <is>
          <t>FOMO, Ranging, Outside session</t>
        </is>
      </c>
      <c r="X54" s="5" t="n"/>
      <c r="Y54" s="5" t="n"/>
      <c r="Z54" s="5" t="n"/>
      <c r="AA54" s="5" t="n"/>
    </row>
    <row r="55" ht="15.75" customHeight="1">
      <c r="A55" s="5" t="n">
        <v>60</v>
      </c>
      <c r="B55" s="13" t="n">
        <v>46258</v>
      </c>
      <c r="C55" s="10" t="n">
        <v>0.4570601851851852</v>
      </c>
      <c r="D55" s="5" t="inlineStr">
        <is>
          <t>MNQ</t>
        </is>
      </c>
      <c r="E55" s="5" t="inlineStr">
        <is>
          <t>Long</t>
        </is>
      </c>
      <c r="F55" s="5" t="n">
        <v>29081.5</v>
      </c>
      <c r="G55" s="5" t="n">
        <v>29063.75</v>
      </c>
      <c r="H55" s="5" t="n">
        <v>3</v>
      </c>
      <c r="I55" s="5" t="n">
        <v>29063.75</v>
      </c>
      <c r="J55" s="5" t="n">
        <v>29085.25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MNQ</t>
        </is>
      </c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>
        <v>61</v>
      </c>
      <c r="B56" s="13" t="n">
        <v>46258</v>
      </c>
      <c r="C56" s="10" t="n">
        <v>0.4674074074074074</v>
      </c>
      <c r="D56" s="5" t="inlineStr">
        <is>
          <t>MNQ</t>
        </is>
      </c>
      <c r="E56" s="5" t="inlineStr">
        <is>
          <t>Short</t>
        </is>
      </c>
      <c r="F56" s="5" t="n">
        <v>29068.75</v>
      </c>
      <c r="G56" s="5" t="n">
        <v>29092.75</v>
      </c>
      <c r="H56" s="5" t="n">
        <v>5</v>
      </c>
      <c r="I56" s="5" t="n">
        <v>29101.5</v>
      </c>
      <c r="J56" s="5" t="n">
        <v>29044.25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inlineStr"/>
      <c r="V56" s="5" t="inlineStr">
        <is>
          <t>Revenge trade</t>
        </is>
      </c>
      <c r="W56" s="5" t="inlineStr"/>
      <c r="X56" s="5" t="inlineStr">
        <is>
          <t>Trending up</t>
        </is>
      </c>
      <c r="Y56" s="5" t="inlineStr"/>
      <c r="Z56" s="5" t="inlineStr"/>
      <c r="AA56" s="5" t="inlineStr"/>
    </row>
    <row r="57" ht="15.75" customHeight="1">
      <c r="A57" s="5" t="n">
        <v>62</v>
      </c>
      <c r="B57" s="13" t="n">
        <v>46259</v>
      </c>
      <c r="C57" s="10" t="n">
        <v>0.4101388888888889</v>
      </c>
      <c r="D57" s="5" t="inlineStr">
        <is>
          <t>MGC</t>
        </is>
      </c>
      <c r="E57" s="5" t="inlineStr">
        <is>
          <t>Short</t>
        </is>
      </c>
      <c r="F57" s="5" t="n">
        <v>4664</v>
      </c>
      <c r="G57" s="5" t="n">
        <v>4671.5</v>
      </c>
      <c r="H57" s="5" t="n">
        <v>3</v>
      </c>
      <c r="I57" s="5" t="n">
        <v>4671.3</v>
      </c>
      <c r="J57" s="5" t="n">
        <v>4652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Retest, Rejection</t>
        </is>
      </c>
      <c r="R57" s="5" t="inlineStr">
        <is>
          <t>Imported from Tradovate</t>
        </is>
      </c>
      <c r="S57" s="5" t="inlineStr">
        <is>
          <t>MGC</t>
        </is>
      </c>
      <c r="T57" s="5" t="n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</row>
    <row r="58" ht="15.75" customHeight="1">
      <c r="A58" s="5" t="n">
        <v>63</v>
      </c>
      <c r="B58" s="13" t="n">
        <v>46259</v>
      </c>
      <c r="C58" s="10" t="n">
        <v>0.4322453703703704</v>
      </c>
      <c r="D58" s="5" t="inlineStr">
        <is>
          <t>MNQ</t>
        </is>
      </c>
      <c r="E58" s="5" t="inlineStr">
        <is>
          <t>Long</t>
        </is>
      </c>
      <c r="F58" s="5" t="n">
        <v>29238.75</v>
      </c>
      <c r="G58" s="5" t="n">
        <v>29229.75</v>
      </c>
      <c r="H58" s="5" t="n">
        <v>5</v>
      </c>
      <c r="I58" s="5" t="n">
        <v>29226.25</v>
      </c>
      <c r="J58" s="5" t="n">
        <v>29286.25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MNQ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64</v>
      </c>
      <c r="B59" s="13" t="n">
        <v>46259</v>
      </c>
      <c r="C59" s="10" t="n">
        <v>0.4391087962962963</v>
      </c>
      <c r="D59" s="5" t="inlineStr">
        <is>
          <t>MNQ</t>
        </is>
      </c>
      <c r="E59" s="5" t="inlineStr">
        <is>
          <t>Short</t>
        </is>
      </c>
      <c r="F59" s="5" t="n">
        <v>29245.5</v>
      </c>
      <c r="G59" s="5" t="n">
        <v>29229.416667</v>
      </c>
      <c r="H59" s="5" t="n">
        <v>3</v>
      </c>
      <c r="I59" s="5" t="n">
        <v>29278</v>
      </c>
      <c r="J59" s="5" t="n">
        <v>29175.25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inlineStr">
        <is>
          <t>Cut winner early</t>
        </is>
      </c>
      <c r="W59" s="5" t="n"/>
      <c r="X59" s="5" t="n"/>
      <c r="Y59" s="5" t="n"/>
      <c r="Z59" s="5" t="n"/>
      <c r="AA59" s="5" t="n"/>
    </row>
    <row r="60" ht="15.75" customHeight="1">
      <c r="A60" s="5" t="n">
        <v>65</v>
      </c>
      <c r="B60" s="22" t="n">
        <v>46259</v>
      </c>
      <c r="C60" s="10" t="n">
        <v>0.5224537037037037</v>
      </c>
      <c r="D60" s="5" t="inlineStr">
        <is>
          <t>MGC</t>
        </is>
      </c>
      <c r="E60" s="5" t="inlineStr">
        <is>
          <t>Short</t>
        </is>
      </c>
      <c r="F60" s="5" t="n">
        <v>4699.4</v>
      </c>
      <c r="G60" s="5" t="n">
        <v>4699.1</v>
      </c>
      <c r="H60" s="5" t="n">
        <v>3</v>
      </c>
      <c r="I60" s="5" t="n">
        <v>4705.8</v>
      </c>
      <c r="J60" s="5" t="n">
        <v>4699.1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66</v>
      </c>
      <c r="B61" s="22" t="n">
        <v>46259</v>
      </c>
      <c r="C61" s="10" t="n">
        <v>0.9720717592592593</v>
      </c>
      <c r="D61" s="5" t="inlineStr">
        <is>
          <t>MGC</t>
        </is>
      </c>
      <c r="E61" s="5" t="inlineStr">
        <is>
          <t>Short</t>
        </is>
      </c>
      <c r="F61" s="5" t="n">
        <v>4703.7</v>
      </c>
      <c r="G61" s="5" t="n">
        <v>4703</v>
      </c>
      <c r="H61" s="5" t="n">
        <v>5</v>
      </c>
      <c r="I61" s="5" t="n"/>
      <c r="J61" s="5" t="n">
        <v>4703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67</v>
      </c>
      <c r="B62" s="22" t="n">
        <v>46260</v>
      </c>
      <c r="C62" s="10" t="n">
        <v>0.4103125</v>
      </c>
      <c r="D62" s="5" t="inlineStr">
        <is>
          <t>MGC</t>
        </is>
      </c>
      <c r="E62" s="5" t="inlineStr">
        <is>
          <t>Long</t>
        </is>
      </c>
      <c r="F62" s="5" t="n">
        <v>4679.6</v>
      </c>
      <c r="G62" s="5" t="n">
        <v>4680.3</v>
      </c>
      <c r="H62" s="5" t="n">
        <v>3</v>
      </c>
      <c r="I62" s="5" t="n">
        <v>4673.7</v>
      </c>
      <c r="J62" s="5" t="n">
        <v>4680.3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MGC</t>
        </is>
      </c>
      <c r="T62" s="5" t="n"/>
      <c r="U62" s="5" t="n"/>
      <c r="V62" s="5" t="inlineStr">
        <is>
          <t>Overtraded</t>
        </is>
      </c>
      <c r="W62" s="5" t="n"/>
      <c r="X62" s="5" t="n"/>
      <c r="Y62" s="5" t="n"/>
      <c r="Z62" s="5" t="n"/>
      <c r="AA62" s="5" t="n"/>
    </row>
    <row r="63" ht="15.75" customHeight="1">
      <c r="A63" s="5" t="n">
        <v>68</v>
      </c>
      <c r="B63" s="22" t="n">
        <v>46260</v>
      </c>
      <c r="C63" s="10" t="n">
        <v>0.4295833333333333</v>
      </c>
      <c r="D63" s="5" t="inlineStr">
        <is>
          <t>MGC</t>
        </is>
      </c>
      <c r="E63" s="5" t="inlineStr">
        <is>
          <t>Short</t>
        </is>
      </c>
      <c r="F63" s="5" t="n">
        <v>4679.5</v>
      </c>
      <c r="G63" s="5" t="n">
        <v>4676.3</v>
      </c>
      <c r="H63" s="5" t="n">
        <v>3</v>
      </c>
      <c r="I63" s="5" t="n">
        <v>4685.5</v>
      </c>
      <c r="J63" s="5" t="n">
        <v>4676.3</v>
      </c>
      <c r="K63" s="8">
        <f>IF(AND(I63&lt;&gt;"",J63&lt;&gt;"",F63&lt;&gt;""), (J63-F63)/(F63-I63), "")</f>
        <v/>
      </c>
      <c r="L63" s="8">
        <f>IF(AND(F63&lt;&gt;"",G63&lt;&gt;"",I63&lt;&gt;""), (G63-F63)/(F63-I63), "")</f>
        <v/>
      </c>
      <c r="M63" s="5">
        <f>IF(N63&gt;0,"Win",IF(N63&lt;0,"Loss",""))</f>
        <v/>
      </c>
      <c r="N63" s="16">
        <f>IF(AND(F63&lt;&gt;"",G63&lt;&gt;"",H63&lt;&gt;"",D63&lt;&gt;""), IF(E63="Long", (G63-F63)*H63*VLOOKUP(D63,Multipliers!A:B,2,FALSE), (F63-G63)*H63*VLOOKUP(D63,Multipliers!A:B,2,FALSE)), "")</f>
        <v/>
      </c>
      <c r="O63" s="9">
        <f>IF(AND(N63&lt;&gt;"",F63&lt;&gt;"",H63&lt;&gt;"",D63&lt;&gt;""), N63/(F63*H63*VLOOKUP(D63,Multipliers!A:B,2,FALSE)), "")</f>
        <v/>
      </c>
      <c r="P63" s="5">
        <f>P62+N63</f>
        <v/>
      </c>
      <c r="Q63" s="5" t="inlineStr">
        <is>
          <t>Break and Retest</t>
        </is>
      </c>
      <c r="R63" s="5" t="inlineStr">
        <is>
          <t>Imported from Tradovate</t>
        </is>
      </c>
      <c r="S63" s="5" t="inlineStr">
        <is>
          <t>MGC</t>
        </is>
      </c>
      <c r="T63" s="5" t="n"/>
      <c r="U63" s="5" t="n"/>
      <c r="V63" s="5" t="inlineStr">
        <is>
          <t>Overtraded</t>
        </is>
      </c>
      <c r="W63" s="5" t="n"/>
      <c r="X63" s="5" t="n"/>
      <c r="Y63" s="5" t="n"/>
      <c r="Z63" s="5" t="n"/>
      <c r="AA63" s="5" t="n"/>
    </row>
    <row r="64" ht="15.75" customHeight="1">
      <c r="A64" s="5" t="n">
        <v>69</v>
      </c>
      <c r="B64" s="22" t="n">
        <v>46260</v>
      </c>
      <c r="C64" s="10" t="n">
        <v>0.4904050925925926</v>
      </c>
      <c r="D64" s="5" t="inlineStr">
        <is>
          <t>MGC</t>
        </is>
      </c>
      <c r="E64" s="5" t="inlineStr">
        <is>
          <t>Long</t>
        </is>
      </c>
      <c r="F64" s="5" t="n">
        <v>4661.7</v>
      </c>
      <c r="G64" s="5" t="n">
        <v>4656.2</v>
      </c>
      <c r="H64" s="5" t="n">
        <v>3</v>
      </c>
      <c r="I64" s="5" t="n">
        <v>4656.2</v>
      </c>
      <c r="J64" s="5" t="n">
        <v>4674.2</v>
      </c>
      <c r="K64" s="8">
        <f>IF(AND(I64&lt;&gt;"",J64&lt;&gt;"",F64&lt;&gt;""), (J64-F64)/(F64-I64), "")</f>
        <v/>
      </c>
      <c r="L64" s="8">
        <f>IF(AND(F64&lt;&gt;"",G64&lt;&gt;"",I64&lt;&gt;""), (G64-F64)/(F64-I64), "")</f>
        <v/>
      </c>
      <c r="M64" s="5">
        <f>IF(N64&gt;0,"Win",IF(N64&lt;0,"Loss",""))</f>
        <v/>
      </c>
      <c r="N64" s="16">
        <f>IF(AND(F64&lt;&gt;"",G64&lt;&gt;"",H64&lt;&gt;"",D64&lt;&gt;""), IF(E64="Long", (G64-F64)*H64*VLOOKUP(D64,Multipliers!A:B,2,FALSE), (F64-G64)*H64*VLOOKUP(D64,Multipliers!A:B,2,FALSE)), "")</f>
        <v/>
      </c>
      <c r="O64" s="9">
        <f>IF(AND(N64&lt;&gt;"",F64&lt;&gt;"",H64&lt;&gt;"",D64&lt;&gt;""), N64/(F64*H64*VLOOKUP(D64,Multipliers!A:B,2,FALSE)), "")</f>
        <v/>
      </c>
      <c r="P64" s="5">
        <f>P63+N64</f>
        <v/>
      </c>
      <c r="Q64" s="5" t="inlineStr">
        <is>
          <t>Break and Retest</t>
        </is>
      </c>
      <c r="R64" s="5" t="inlineStr">
        <is>
          <t>Imported from Tradovate</t>
        </is>
      </c>
      <c r="S64" s="5" t="inlineStr">
        <is>
          <t>MGC</t>
        </is>
      </c>
      <c r="T64" s="5" t="n"/>
      <c r="U64" s="5" t="n"/>
      <c r="V64" s="5" t="inlineStr">
        <is>
          <t>Overtraded</t>
        </is>
      </c>
      <c r="W64" s="5" t="n"/>
      <c r="X64" s="5" t="n"/>
      <c r="Y64" s="5" t="n"/>
      <c r="Z64" s="5" t="n"/>
      <c r="AA64" s="5" t="n"/>
    </row>
    <row r="65" ht="15.75" customHeight="1">
      <c r="A65" s="5" t="n">
        <v>70</v>
      </c>
      <c r="B65" s="22" t="n">
        <v>46260</v>
      </c>
      <c r="C65" s="10" t="n">
        <v>0.4968402777777778</v>
      </c>
      <c r="D65" s="5" t="inlineStr">
        <is>
          <t>MGC</t>
        </is>
      </c>
      <c r="E65" s="5" t="inlineStr">
        <is>
          <t>Short</t>
        </is>
      </c>
      <c r="F65" s="5" t="n">
        <v>4655.8</v>
      </c>
      <c r="G65" s="5" t="n">
        <v>4652.1</v>
      </c>
      <c r="H65" s="5" t="n">
        <v>5</v>
      </c>
      <c r="I65" s="5" t="n"/>
      <c r="J65" s="5" t="n">
        <v>4652.1</v>
      </c>
      <c r="K65" s="8">
        <f>IF(AND(I65&lt;&gt;"",J65&lt;&gt;"",F65&lt;&gt;""), (J65-F65)/(F65-I65), "")</f>
        <v/>
      </c>
      <c r="L65" s="8">
        <f>IF(AND(F65&lt;&gt;"",G65&lt;&gt;"",I65&lt;&gt;""), (G65-F65)/(F65-I65), "")</f>
        <v/>
      </c>
      <c r="M65" s="5">
        <f>IF(N65&gt;0,"Win",IF(N65&lt;0,"Loss",""))</f>
        <v/>
      </c>
      <c r="N65" s="16">
        <f>IF(AND(F65&lt;&gt;"",G65&lt;&gt;"",H65&lt;&gt;"",D65&lt;&gt;""), IF(E65="Long", (G65-F65)*H65*VLOOKUP(D65,Multipliers!A:B,2,FALSE), (F65-G65)*H65*VLOOKUP(D65,Multipliers!A:B,2,FALSE)), "")</f>
        <v/>
      </c>
      <c r="O65" s="9">
        <f>IF(AND(N65&lt;&gt;"",F65&lt;&gt;"",H65&lt;&gt;"",D65&lt;&gt;""), N65/(F65*H65*VLOOKUP(D65,Multipliers!A:B,2,FALSE)), "")</f>
        <v/>
      </c>
      <c r="P65" s="5">
        <f>P64+N65</f>
        <v/>
      </c>
      <c r="Q65" s="5" t="inlineStr">
        <is>
          <t>Break and Retest</t>
        </is>
      </c>
      <c r="R65" s="5" t="inlineStr">
        <is>
          <t>Imported from Tradovate</t>
        </is>
      </c>
      <c r="S65" s="5" t="inlineStr">
        <is>
          <t>MGC</t>
        </is>
      </c>
      <c r="T65" s="5" t="n"/>
      <c r="U65" s="5" t="n"/>
      <c r="V65" s="5" t="inlineStr">
        <is>
          <t>Revenge trade, Overtraded</t>
        </is>
      </c>
      <c r="W65" s="5" t="n"/>
      <c r="X65" s="5" t="n"/>
      <c r="Y65" s="5" t="n"/>
      <c r="Z65" s="5" t="n"/>
      <c r="AA65" s="5" t="n"/>
    </row>
    <row r="66" ht="15.75" customHeight="1">
      <c r="A66" s="5" t="n">
        <v>71</v>
      </c>
      <c r="B66" s="22" t="n">
        <v>46260</v>
      </c>
      <c r="C66" s="10" t="n">
        <v>0.5494791666666666</v>
      </c>
      <c r="D66" s="5" t="inlineStr">
        <is>
          <t>MGC</t>
        </is>
      </c>
      <c r="E66" s="5" t="inlineStr">
        <is>
          <t>Short</t>
        </is>
      </c>
      <c r="F66" s="5" t="n">
        <v>4649.2</v>
      </c>
      <c r="G66" s="5" t="n">
        <v>4657.7</v>
      </c>
      <c r="H66" s="5" t="n">
        <v>3</v>
      </c>
      <c r="I66" s="5" t="n">
        <v>4661</v>
      </c>
      <c r="J66" s="5" t="n">
        <v>4649.1</v>
      </c>
      <c r="K66" s="8">
        <f>IF(AND(I66&lt;&gt;"",J66&lt;&gt;"",F66&lt;&gt;""), (J66-F66)/(F66-I66), "")</f>
        <v/>
      </c>
      <c r="L66" s="8">
        <f>IF(AND(F66&lt;&gt;"",G66&lt;&gt;"",I66&lt;&gt;""), (G66-F66)/(F66-I66), "")</f>
        <v/>
      </c>
      <c r="M66" s="5">
        <f>IF(N66&gt;0,"Win",IF(N66&lt;0,"Loss",""))</f>
        <v/>
      </c>
      <c r="N66" s="16">
        <f>IF(AND(F66&lt;&gt;"",G66&lt;&gt;"",H66&lt;&gt;"",D66&lt;&gt;""), IF(E66="Long", (G66-F66)*H66*VLOOKUP(D66,Multipliers!A:B,2,FALSE), (F66-G66)*H66*VLOOKUP(D66,Multipliers!A:B,2,FALSE)), "")</f>
        <v/>
      </c>
      <c r="O66" s="9">
        <f>IF(AND(N66&lt;&gt;"",F66&lt;&gt;"",H66&lt;&gt;"",D66&lt;&gt;""), N66/(F66*H66*VLOOKUP(D66,Multipliers!A:B,2,FALSE)), "")</f>
        <v/>
      </c>
      <c r="P66" s="5">
        <f>P65+N66</f>
        <v/>
      </c>
      <c r="Q66" s="5" t="inlineStr">
        <is>
          <t>Break and Retest</t>
        </is>
      </c>
      <c r="R66" s="5" t="inlineStr">
        <is>
          <t>Imported from Tradovate</t>
        </is>
      </c>
      <c r="S66" s="5" t="inlineStr">
        <is>
          <t>MGC</t>
        </is>
      </c>
      <c r="T66" s="5" t="n"/>
      <c r="U66" s="5" t="n"/>
      <c r="V66" s="5" t="inlineStr">
        <is>
          <t>Overtraded</t>
        </is>
      </c>
      <c r="W66" s="5" t="n"/>
      <c r="X66" s="5" t="n"/>
      <c r="Y66" s="5" t="n"/>
      <c r="Z66" s="5" t="n"/>
      <c r="AA66" s="5" t="n"/>
    </row>
    <row r="67" ht="15.75" customHeight="1">
      <c r="A67" s="5" t="n">
        <v>72</v>
      </c>
      <c r="B67" s="22" t="n">
        <v>46260</v>
      </c>
      <c r="C67" s="10" t="n">
        <v>0.8296875</v>
      </c>
      <c r="D67" s="5" t="inlineStr">
        <is>
          <t>MNQ</t>
        </is>
      </c>
      <c r="E67" s="5" t="inlineStr">
        <is>
          <t>Long</t>
        </is>
      </c>
      <c r="F67" s="5" t="n">
        <v>29614.5</v>
      </c>
      <c r="G67" s="5" t="n">
        <v>29655.25</v>
      </c>
      <c r="H67" s="5" t="n">
        <v>1</v>
      </c>
      <c r="I67" s="5" t="n">
        <v>29595.25</v>
      </c>
      <c r="J67" s="5" t="n">
        <v>29655.25</v>
      </c>
      <c r="K67" s="8">
        <f>IF(AND(I67&lt;&gt;"",J67&lt;&gt;"",F67&lt;&gt;""), (J67-F67)/(F67-I67), "")</f>
        <v/>
      </c>
      <c r="L67" s="8">
        <f>IF(AND(F67&lt;&gt;"",G67&lt;&gt;"",I67&lt;&gt;""), (G67-F67)/(F67-I67), "")</f>
        <v/>
      </c>
      <c r="M67" s="5">
        <f>IF(N67&gt;0,"Win",IF(N67&lt;0,"Loss",""))</f>
        <v/>
      </c>
      <c r="N67" s="16">
        <f>IF(AND(F67&lt;&gt;"",G67&lt;&gt;"",H67&lt;&gt;"",D67&lt;&gt;""), IF(E67="Long", (G67-F67)*H67*VLOOKUP(D67,Multipliers!A:B,2,FALSE), (F67-G67)*H67*VLOOKUP(D67,Multipliers!A:B,2,FALSE)), "")</f>
        <v/>
      </c>
      <c r="O67" s="9">
        <f>IF(AND(N67&lt;&gt;"",F67&lt;&gt;"",H67&lt;&gt;"",D67&lt;&gt;""), N67/(F67*H67*VLOOKUP(D67,Multipliers!A:B,2,FALSE)), "")</f>
        <v/>
      </c>
      <c r="P67" s="5">
        <f>P66+N67</f>
        <v/>
      </c>
      <c r="Q67" s="5" t="inlineStr">
        <is>
          <t>Break and Retest</t>
        </is>
      </c>
      <c r="R67" s="5" t="inlineStr">
        <is>
          <t>Imported from Tradovate</t>
        </is>
      </c>
      <c r="S67" s="5" t="inlineStr">
        <is>
          <t>MNQ</t>
        </is>
      </c>
      <c r="T67" s="5" t="n"/>
      <c r="U67" s="5" t="n"/>
      <c r="V67" s="5" t="inlineStr">
        <is>
          <t>Overtraded</t>
        </is>
      </c>
      <c r="W67" s="5" t="n"/>
      <c r="X67" s="5" t="n"/>
      <c r="Y67" s="5" t="n"/>
      <c r="Z67" s="5" t="n"/>
      <c r="AA67" s="5" t="n"/>
    </row>
    <row r="68" ht="15.75" customHeight="1">
      <c r="A68" s="5" t="n">
        <v>73</v>
      </c>
      <c r="B68" s="22" t="n">
        <v>46260</v>
      </c>
      <c r="C68" s="10" t="n">
        <v>0.8367476851851852</v>
      </c>
      <c r="D68" s="5" t="inlineStr">
        <is>
          <t>MNQ</t>
        </is>
      </c>
      <c r="E68" s="5" t="inlineStr">
        <is>
          <t>Long</t>
        </is>
      </c>
      <c r="F68" s="5" t="n">
        <v>29613.5</v>
      </c>
      <c r="G68" s="5" t="n">
        <v>29593.25</v>
      </c>
      <c r="H68" s="5" t="n">
        <v>2</v>
      </c>
      <c r="I68" s="5" t="n">
        <v>29593.5</v>
      </c>
      <c r="J68" s="5" t="n">
        <v>29653.5</v>
      </c>
      <c r="K68" s="8">
        <f>IF(AND(I68&lt;&gt;"",J68&lt;&gt;"",F68&lt;&gt;""), (J68-F68)/(F68-I68), "")</f>
        <v/>
      </c>
      <c r="L68" s="8">
        <f>IF(AND(F68&lt;&gt;"",G68&lt;&gt;"",I68&lt;&gt;""), (G68-F68)/(F68-I68), "")</f>
        <v/>
      </c>
      <c r="M68" s="5">
        <f>IF(N68&gt;0,"Win",IF(N68&lt;0,"Loss",""))</f>
        <v/>
      </c>
      <c r="N68" s="16">
        <f>IF(AND(F68&lt;&gt;"",G68&lt;&gt;"",H68&lt;&gt;"",D68&lt;&gt;""), IF(E68="Long", (G68-F68)*H68*VLOOKUP(D68,Multipliers!A:B,2,FALSE), (F68-G68)*H68*VLOOKUP(D68,Multipliers!A:B,2,FALSE)), "")</f>
        <v/>
      </c>
      <c r="O68" s="9">
        <f>IF(AND(N68&lt;&gt;"",F68&lt;&gt;"",H68&lt;&gt;"",D68&lt;&gt;""), N68/(F68*H68*VLOOKUP(D68,Multipliers!A:B,2,FALSE)), "")</f>
        <v/>
      </c>
      <c r="P68" s="5">
        <f>P67+N68</f>
        <v/>
      </c>
      <c r="Q68" s="5" t="inlineStr">
        <is>
          <t>Break and Retest</t>
        </is>
      </c>
      <c r="R68" s="5" t="inlineStr">
        <is>
          <t>Imported from Tradovate</t>
        </is>
      </c>
      <c r="S68" s="5" t="inlineStr">
        <is>
          <t>MNQ</t>
        </is>
      </c>
      <c r="T68" s="5" t="n"/>
      <c r="U68" s="5" t="n"/>
      <c r="V68" s="5" t="inlineStr">
        <is>
          <t>Overtraded</t>
        </is>
      </c>
      <c r="W68" s="5" t="n"/>
      <c r="X68" s="5" t="n"/>
      <c r="Y68" s="5" t="n"/>
      <c r="Z68" s="5" t="n"/>
      <c r="AA68" s="5" t="n"/>
    </row>
    <row r="69" ht="15.75" customHeight="1">
      <c r="A69" s="5" t="n">
        <v>74</v>
      </c>
      <c r="B69" s="22" t="n">
        <v>46260</v>
      </c>
      <c r="C69" s="10" t="n">
        <v>0.8785763888888889</v>
      </c>
      <c r="D69" s="5" t="inlineStr">
        <is>
          <t>MNQ</t>
        </is>
      </c>
      <c r="E69" s="5" t="inlineStr">
        <is>
          <t>Long</t>
        </is>
      </c>
      <c r="F69" s="5" t="n">
        <v>29467.25</v>
      </c>
      <c r="G69" s="5" t="n">
        <v>29447.25</v>
      </c>
      <c r="H69" s="5" t="n">
        <v>3</v>
      </c>
      <c r="I69" s="5" t="n">
        <v>29429.75</v>
      </c>
      <c r="J69" s="5" t="n">
        <v>29509.75</v>
      </c>
      <c r="K69" s="8">
        <f>IF(AND(I69&lt;&gt;"",J69&lt;&gt;"",F69&lt;&gt;""), (J69-F69)/(F69-I69), "")</f>
        <v/>
      </c>
      <c r="L69" s="8">
        <f>IF(AND(F69&lt;&gt;"",G69&lt;&gt;"",I69&lt;&gt;""), (G69-F69)/(F69-I69), "")</f>
        <v/>
      </c>
      <c r="M69" s="5">
        <f>IF(N69&gt;0,"Win",IF(N69&lt;0,"Loss",""))</f>
        <v/>
      </c>
      <c r="N69" s="16">
        <f>IF(AND(F69&lt;&gt;"",G69&lt;&gt;"",H69&lt;&gt;"",D69&lt;&gt;""), IF(E69="Long", (G69-F69)*H69*VLOOKUP(D69,Multipliers!A:B,2,FALSE), (F69-G69)*H69*VLOOKUP(D69,Multipliers!A:B,2,FALSE)), "")</f>
        <v/>
      </c>
      <c r="O69" s="9">
        <f>IF(AND(N69&lt;&gt;"",F69&lt;&gt;"",H69&lt;&gt;"",D69&lt;&gt;""), N69/(F69*H69*VLOOKUP(D69,Multipliers!A:B,2,FALSE)), "")</f>
        <v/>
      </c>
      <c r="P69" s="5">
        <f>P68+N69</f>
        <v/>
      </c>
      <c r="Q69" s="5" t="inlineStr">
        <is>
          <t>Break and Retest</t>
        </is>
      </c>
      <c r="R69" s="5" t="inlineStr">
        <is>
          <t>Imported from Tradovate</t>
        </is>
      </c>
      <c r="S69" s="5" t="inlineStr">
        <is>
          <t>MNQ</t>
        </is>
      </c>
      <c r="T69" s="5" t="n"/>
      <c r="U69" s="5" t="n"/>
      <c r="V69" s="5" t="inlineStr">
        <is>
          <t>Overtraded</t>
        </is>
      </c>
      <c r="W69" s="5" t="n"/>
      <c r="X69" s="5" t="n"/>
      <c r="Y69" s="5" t="n"/>
      <c r="Z69" s="5" t="n"/>
      <c r="AA69" s="5" t="n"/>
    </row>
    <row r="70" ht="15.75" customHeight="1">
      <c r="A70" s="5" t="n">
        <v>75</v>
      </c>
      <c r="B70" s="22" t="n">
        <v>46260</v>
      </c>
      <c r="C70" s="10" t="n">
        <v>0.8864467592592593</v>
      </c>
      <c r="D70" s="5" t="inlineStr">
        <is>
          <t>MNQ</t>
        </is>
      </c>
      <c r="E70" s="5" t="inlineStr">
        <is>
          <t>Long</t>
        </is>
      </c>
      <c r="F70" s="5" t="n">
        <v>29484.354167</v>
      </c>
      <c r="G70" s="5" t="n">
        <v>29496.958333</v>
      </c>
      <c r="H70" s="5" t="n">
        <v>12</v>
      </c>
      <c r="I70" s="5" t="n">
        <v>29429.75</v>
      </c>
      <c r="J70" s="5" t="n">
        <v>29508</v>
      </c>
      <c r="K70" s="8">
        <f>IF(AND(I70&lt;&gt;"",J70&lt;&gt;"",F70&lt;&gt;""), (J70-F70)/(F70-I70), "")</f>
        <v/>
      </c>
      <c r="L70" s="8">
        <f>IF(AND(F70&lt;&gt;"",G70&lt;&gt;"",I70&lt;&gt;""), (G70-F70)/(F70-I70), "")</f>
        <v/>
      </c>
      <c r="M70" s="5">
        <f>IF(N70&gt;0,"Win",IF(N70&lt;0,"Loss",""))</f>
        <v/>
      </c>
      <c r="N70" s="16">
        <f>IF(AND(F70&lt;&gt;"",G70&lt;&gt;"",H70&lt;&gt;"",D70&lt;&gt;""), IF(E70="Long", (G70-F70)*H70*VLOOKUP(D70,Multipliers!A:B,2,FALSE), (F70-G70)*H70*VLOOKUP(D70,Multipliers!A:B,2,FALSE)), "")</f>
        <v/>
      </c>
      <c r="O70" s="9">
        <f>IF(AND(N70&lt;&gt;"",F70&lt;&gt;"",H70&lt;&gt;"",D70&lt;&gt;""), N70/(F70*H70*VLOOKUP(D70,Multipliers!A:B,2,FALSE)), "")</f>
        <v/>
      </c>
      <c r="P70" s="5">
        <f>P69+N70</f>
        <v/>
      </c>
      <c r="Q70" s="5" t="inlineStr">
        <is>
          <t>Break and Retest</t>
        </is>
      </c>
      <c r="R70" s="5" t="inlineStr">
        <is>
          <t>Imported from Tradovate</t>
        </is>
      </c>
      <c r="S70" s="5" t="inlineStr">
        <is>
          <t>MNQ</t>
        </is>
      </c>
      <c r="T70" s="5" t="n"/>
      <c r="U70" s="5" t="n"/>
      <c r="V70" s="5" t="inlineStr">
        <is>
          <t>Oversized, Revenge trade, Overtraded</t>
        </is>
      </c>
      <c r="W70" s="5" t="n"/>
      <c r="X70" s="5" t="n"/>
      <c r="Y70" s="5" t="n"/>
      <c r="Z70" s="5" t="n"/>
      <c r="AA70" s="5" t="n"/>
    </row>
    <row r="71" ht="15.75" customHeight="1">
      <c r="A71" s="5" t="n">
        <v>76</v>
      </c>
      <c r="B71" s="22" t="n">
        <v>46260</v>
      </c>
      <c r="C71" s="10" t="n">
        <v>0.8938194444444445</v>
      </c>
      <c r="D71" s="5" t="inlineStr">
        <is>
          <t>MNQ</t>
        </is>
      </c>
      <c r="E71" s="5" t="inlineStr">
        <is>
          <t>Long</t>
        </is>
      </c>
      <c r="F71" s="5" t="n">
        <v>29504.25</v>
      </c>
      <c r="G71" s="5" t="n">
        <v>29514.75</v>
      </c>
      <c r="H71" s="5" t="n">
        <v>2</v>
      </c>
      <c r="I71" s="5" t="n"/>
      <c r="J71" s="5" t="n">
        <v>29514.75</v>
      </c>
      <c r="K71" s="8">
        <f>IF(AND(I71&lt;&gt;"",J71&lt;&gt;"",F71&lt;&gt;""), (J71-F71)/(F71-I71), "")</f>
        <v/>
      </c>
      <c r="L71" s="8">
        <f>IF(AND(F71&lt;&gt;"",G71&lt;&gt;"",I71&lt;&gt;""), (G71-F71)/(F71-I71), "")</f>
        <v/>
      </c>
      <c r="M71" s="5">
        <f>IF(N71&gt;0,"Win",IF(N71&lt;0,"Loss",""))</f>
        <v/>
      </c>
      <c r="N71" s="16">
        <f>IF(AND(F71&lt;&gt;"",G71&lt;&gt;"",H71&lt;&gt;"",D71&lt;&gt;""), IF(E71="Long", (G71-F71)*H71*VLOOKUP(D71,Multipliers!A:B,2,FALSE), (F71-G71)*H71*VLOOKUP(D71,Multipliers!A:B,2,FALSE)), "")</f>
        <v/>
      </c>
      <c r="O71" s="9">
        <f>IF(AND(N71&lt;&gt;"",F71&lt;&gt;"",H71&lt;&gt;"",D71&lt;&gt;""), N71/(F71*H71*VLOOKUP(D71,Multipliers!A:B,2,FALSE)), "")</f>
        <v/>
      </c>
      <c r="P71" s="5">
        <f>P70+N71</f>
        <v/>
      </c>
      <c r="Q71" s="5" t="inlineStr">
        <is>
          <t>Break and Retest</t>
        </is>
      </c>
      <c r="R71" s="5" t="inlineStr">
        <is>
          <t>Imported from Tradovate</t>
        </is>
      </c>
      <c r="S71" s="5" t="inlineStr">
        <is>
          <t>MNQ</t>
        </is>
      </c>
      <c r="T71" s="5" t="n"/>
      <c r="U71" s="5" t="n"/>
      <c r="V71" s="5" t="inlineStr">
        <is>
          <t>Overtraded</t>
        </is>
      </c>
      <c r="W71" s="5" t="n"/>
      <c r="X71" s="5" t="n"/>
      <c r="Y71" s="5" t="n"/>
      <c r="Z71" s="5" t="n"/>
      <c r="AA71" s="5" t="n"/>
    </row>
    <row r="72" ht="15.75" customHeight="1">
      <c r="A72" s="5" t="n">
        <v>77</v>
      </c>
      <c r="B72" s="22" t="n">
        <v>46260</v>
      </c>
      <c r="C72" s="10" t="n">
        <v>0.8998263888888889</v>
      </c>
      <c r="D72" s="5" t="inlineStr">
        <is>
          <t>MNQ</t>
        </is>
      </c>
      <c r="E72" s="5" t="inlineStr">
        <is>
          <t>Long</t>
        </is>
      </c>
      <c r="F72" s="5" t="n">
        <v>29515.5</v>
      </c>
      <c r="G72" s="5" t="n">
        <v>29530.25</v>
      </c>
      <c r="H72" s="5" t="n">
        <v>3</v>
      </c>
      <c r="I72" s="5" t="n"/>
      <c r="J72" s="5" t="n">
        <v>29530.25</v>
      </c>
      <c r="K72" s="8">
        <f>IF(AND(I72&lt;&gt;"",J72&lt;&gt;"",F72&lt;&gt;""), (J72-F72)/(F72-I72), "")</f>
        <v/>
      </c>
      <c r="L72" s="8">
        <f>IF(AND(F72&lt;&gt;"",G72&lt;&gt;"",I72&lt;&gt;""), (G72-F72)/(F72-I72), "")</f>
        <v/>
      </c>
      <c r="M72" s="5">
        <f>IF(N72&gt;0,"Win",IF(N72&lt;0,"Loss",""))</f>
        <v/>
      </c>
      <c r="N72" s="16">
        <f>IF(AND(F72&lt;&gt;"",G72&lt;&gt;"",H72&lt;&gt;"",D72&lt;&gt;""), IF(E72="Long", (G72-F72)*H72*VLOOKUP(D72,Multipliers!A:B,2,FALSE), (F72-G72)*H72*VLOOKUP(D72,Multipliers!A:B,2,FALSE)), "")</f>
        <v/>
      </c>
      <c r="O72" s="9">
        <f>IF(AND(N72&lt;&gt;"",F72&lt;&gt;"",H72&lt;&gt;"",D72&lt;&gt;""), N72/(F72*H72*VLOOKUP(D72,Multipliers!A:B,2,FALSE)), "")</f>
        <v/>
      </c>
      <c r="P72" s="5">
        <f>P71+N72</f>
        <v/>
      </c>
      <c r="Q72" s="5" t="inlineStr">
        <is>
          <t>Break and Retest</t>
        </is>
      </c>
      <c r="R72" s="5" t="inlineStr">
        <is>
          <t>Imported from Tradovate</t>
        </is>
      </c>
      <c r="S72" s="5" t="inlineStr">
        <is>
          <t>MNQ</t>
        </is>
      </c>
      <c r="T72" s="5" t="n"/>
      <c r="U72" s="5" t="n"/>
      <c r="V72" s="5" t="inlineStr">
        <is>
          <t>Overtraded</t>
        </is>
      </c>
      <c r="W72" s="5" t="n"/>
      <c r="X72" s="5" t="n"/>
      <c r="Y72" s="5" t="n"/>
      <c r="Z72" s="5" t="n"/>
      <c r="AA72" s="5" t="n"/>
    </row>
    <row r="73" ht="15.75" customHeight="1">
      <c r="A73" s="5" t="n">
        <v>78</v>
      </c>
      <c r="B73" s="22" t="n">
        <v>46260</v>
      </c>
      <c r="C73" s="10" t="n">
        <v>0.9321412037037037</v>
      </c>
      <c r="D73" s="5" t="inlineStr">
        <is>
          <t>MNQ</t>
        </is>
      </c>
      <c r="E73" s="5" t="inlineStr">
        <is>
          <t>Short</t>
        </is>
      </c>
      <c r="F73" s="5" t="n">
        <v>29534</v>
      </c>
      <c r="G73" s="5" t="n">
        <v>29529</v>
      </c>
      <c r="H73" s="5" t="n">
        <v>5</v>
      </c>
      <c r="I73" s="5" t="n">
        <v>29549</v>
      </c>
      <c r="J73" s="5" t="n">
        <v>29529</v>
      </c>
      <c r="K73" s="8">
        <f>IF(AND(I73&lt;&gt;"",J73&lt;&gt;"",F73&lt;&gt;""), (J73-F73)/(F73-I73), "")</f>
        <v/>
      </c>
      <c r="L73" s="8">
        <f>IF(AND(F73&lt;&gt;"",G73&lt;&gt;"",I73&lt;&gt;""), (G73-F73)/(F73-I73), "")</f>
        <v/>
      </c>
      <c r="M73" s="5">
        <f>IF(N73&gt;0,"Win",IF(N73&lt;0,"Loss",""))</f>
        <v/>
      </c>
      <c r="N73" s="16">
        <f>IF(AND(F73&lt;&gt;"",G73&lt;&gt;"",H73&lt;&gt;"",D73&lt;&gt;""), IF(E73="Long", (G73-F73)*H73*VLOOKUP(D73,Multipliers!A:B,2,FALSE), (F73-G73)*H73*VLOOKUP(D73,Multipliers!A:B,2,FALSE)), "")</f>
        <v/>
      </c>
      <c r="O73" s="9">
        <f>IF(AND(N73&lt;&gt;"",F73&lt;&gt;"",H73&lt;&gt;"",D73&lt;&gt;""), N73/(F73*H73*VLOOKUP(D73,Multipliers!A:B,2,FALSE)), "")</f>
        <v/>
      </c>
      <c r="P73" s="5">
        <f>P72+N73</f>
        <v/>
      </c>
      <c r="Q73" s="5" t="inlineStr">
        <is>
          <t>Break and Retest</t>
        </is>
      </c>
      <c r="R73" s="5" t="inlineStr">
        <is>
          <t>Imported from Tradovate</t>
        </is>
      </c>
      <c r="S73" s="5" t="inlineStr">
        <is>
          <t>MNQ</t>
        </is>
      </c>
      <c r="T73" s="5" t="n"/>
      <c r="U73" s="5" t="n"/>
      <c r="V73" s="5" t="inlineStr">
        <is>
          <t>Overtraded</t>
        </is>
      </c>
      <c r="W73" s="5" t="n"/>
      <c r="X73" s="5" t="n"/>
      <c r="Y73" s="5" t="n"/>
      <c r="Z73" s="5" t="n"/>
      <c r="AA73" s="5" t="n"/>
    </row>
    <row r="74" ht="15.75" customHeight="1">
      <c r="A74" s="5" t="n">
        <v>79</v>
      </c>
      <c r="B74" s="22" t="n">
        <v>46261</v>
      </c>
      <c r="C74" s="10" t="n">
        <v>0.4055324074074074</v>
      </c>
      <c r="D74" s="5" t="inlineStr">
        <is>
          <t>MGC</t>
        </is>
      </c>
      <c r="E74" s="5" t="inlineStr">
        <is>
          <t>Short</t>
        </is>
      </c>
      <c r="F74" s="5" t="n">
        <v>4633.6</v>
      </c>
      <c r="G74" s="5" t="n">
        <v>4621.6</v>
      </c>
      <c r="H74" s="5" t="n">
        <v>3</v>
      </c>
      <c r="I74" s="5" t="n">
        <v>4639.6</v>
      </c>
      <c r="J74" s="5" t="n">
        <v>4621.6</v>
      </c>
      <c r="K74" s="8">
        <f>IF(AND(I74&lt;&gt;"",J74&lt;&gt;"",F74&lt;&gt;""), (J74-F74)/(F74-I74), "")</f>
        <v/>
      </c>
      <c r="L74" s="8">
        <f>IF(AND(F74&lt;&gt;"",G74&lt;&gt;"",I74&lt;&gt;""), (G74-F74)/(F74-I74), "")</f>
        <v/>
      </c>
      <c r="M74" s="5">
        <f>IF(N74&gt;0,"Win",IF(N74&lt;0,"Loss",""))</f>
        <v/>
      </c>
      <c r="N74" s="16">
        <f>IF(AND(F74&lt;&gt;"",G74&lt;&gt;"",H74&lt;&gt;"",D74&lt;&gt;""), IF(E74="Long", (G74-F74)*H74*VLOOKUP(D74,Multipliers!A:B,2,FALSE), (F74-G74)*H74*VLOOKUP(D74,Multipliers!A:B,2,FALSE)), "")</f>
        <v/>
      </c>
      <c r="O74" s="9">
        <f>IF(AND(N74&lt;&gt;"",F74&lt;&gt;"",H74&lt;&gt;"",D74&lt;&gt;""), N74/(F74*H74*VLOOKUP(D74,Multipliers!A:B,2,FALSE)), "")</f>
        <v/>
      </c>
      <c r="P74" s="5">
        <f>P73+N74</f>
        <v/>
      </c>
      <c r="Q74" s="5" t="inlineStr">
        <is>
          <t>Break and Retest</t>
        </is>
      </c>
      <c r="R74" s="5" t="inlineStr">
        <is>
          <t>Imported from Tradovate</t>
        </is>
      </c>
      <c r="S74" s="5" t="inlineStr">
        <is>
          <t>MGC</t>
        </is>
      </c>
      <c r="T74" s="5" t="n"/>
      <c r="U74" s="5" t="inlineStr">
        <is>
          <t>https://www.tradingview.com/x/ThCH9HRj/</t>
        </is>
      </c>
      <c r="V74" s="5" t="inlineStr"/>
      <c r="W74" s="5" t="inlineStr"/>
      <c r="X74" s="5" t="inlineStr"/>
      <c r="Y74" s="5" t="inlineStr"/>
      <c r="Z74" s="5" t="inlineStr"/>
      <c r="AA74" s="5" t="inlineStr"/>
    </row>
    <row r="75" ht="15.75" customHeight="1">
      <c r="A75" s="5" t="n">
        <v>80</v>
      </c>
      <c r="B75" s="22" t="n">
        <v>46261</v>
      </c>
      <c r="C75" s="10" t="n">
        <v>0.4289351851851852</v>
      </c>
      <c r="D75" s="5" t="inlineStr">
        <is>
          <t>MGC</t>
        </is>
      </c>
      <c r="E75" s="5" t="inlineStr">
        <is>
          <t>Short</t>
        </is>
      </c>
      <c r="F75" s="5" t="n">
        <v>4635.2</v>
      </c>
      <c r="G75" s="5" t="n">
        <v>4633.4</v>
      </c>
      <c r="H75" s="5" t="n">
        <v>3</v>
      </c>
      <c r="I75" s="5" t="n">
        <v>4641.2</v>
      </c>
      <c r="J75" s="5" t="n">
        <v>4633.4</v>
      </c>
      <c r="K75" s="8">
        <f>IF(AND(I75&lt;&gt;"",J75&lt;&gt;"",F75&lt;&gt;""), (J75-F75)/(F75-I75), "")</f>
        <v/>
      </c>
      <c r="L75" s="8">
        <f>IF(AND(F75&lt;&gt;"",G75&lt;&gt;"",I75&lt;&gt;""), (G75-F75)/(F75-I75), "")</f>
        <v/>
      </c>
      <c r="M75" s="5">
        <f>IF(N75&gt;0,"Win",IF(N75&lt;0,"Loss",""))</f>
        <v/>
      </c>
      <c r="N75" s="16">
        <f>IF(AND(F75&lt;&gt;"",G75&lt;&gt;"",H75&lt;&gt;"",D75&lt;&gt;""), IF(E75="Long", (G75-F75)*H75*VLOOKUP(D75,Multipliers!A:B,2,FALSE), (F75-G75)*H75*VLOOKUP(D75,Multipliers!A:B,2,FALSE)), "")</f>
        <v/>
      </c>
      <c r="O75" s="9">
        <f>IF(AND(N75&lt;&gt;"",F75&lt;&gt;"",H75&lt;&gt;"",D75&lt;&gt;""), N75/(F75*H75*VLOOKUP(D75,Multipliers!A:B,2,FALSE)), "")</f>
        <v/>
      </c>
      <c r="P75" s="5">
        <f>P74+N75</f>
        <v/>
      </c>
      <c r="Q75" s="5" t="inlineStr">
        <is>
          <t>Break and Retest</t>
        </is>
      </c>
      <c r="R75" s="5" t="inlineStr">
        <is>
          <t>Imported from Tradovate</t>
        </is>
      </c>
      <c r="S75" s="5" t="inlineStr">
        <is>
          <t>MGC</t>
        </is>
      </c>
      <c r="T75" s="5" t="n"/>
      <c r="U75" s="5" t="inlineStr">
        <is>
          <t>https://www.tradingview.com/x/ThCH9HRj/</t>
        </is>
      </c>
      <c r="V75" s="5" t="inlineStr"/>
      <c r="W75" s="5" t="inlineStr"/>
      <c r="X75" s="5" t="inlineStr"/>
      <c r="Y75" s="5" t="inlineStr"/>
      <c r="Z75" s="5" t="inlineStr"/>
      <c r="AA75" s="5" t="inlineStr"/>
    </row>
    <row r="76" ht="15.75" customHeight="1">
      <c r="A76" s="5" t="n">
        <v>81</v>
      </c>
      <c r="B76" s="22" t="n">
        <v>46262</v>
      </c>
      <c r="C76" s="10" t="n">
        <v>0.4231597222222222</v>
      </c>
      <c r="D76" s="5" t="inlineStr">
        <is>
          <t>MGC</t>
        </is>
      </c>
      <c r="E76" s="5" t="inlineStr">
        <is>
          <t>Short</t>
        </is>
      </c>
      <c r="F76" s="5" t="n">
        <v>4629.7</v>
      </c>
      <c r="G76" s="5" t="n">
        <v>4608.4</v>
      </c>
      <c r="H76" s="5" t="n">
        <v>2</v>
      </c>
      <c r="I76" s="5" t="n">
        <v>4635.8</v>
      </c>
      <c r="J76" s="5" t="n">
        <v>4609</v>
      </c>
      <c r="K76" s="8">
        <f>IF(AND(I76&lt;&gt;"",J76&lt;&gt;"",F76&lt;&gt;""), (J76-F76)/(F76-I76), "")</f>
        <v/>
      </c>
      <c r="L76" s="8">
        <f>IF(AND(F76&lt;&gt;"",G76&lt;&gt;"",I76&lt;&gt;""), (G76-F76)/(F76-I76), "")</f>
        <v/>
      </c>
      <c r="M76" s="5">
        <f>IF(N76&gt;0,"Win",IF(N76&lt;0,"Loss",""))</f>
        <v/>
      </c>
      <c r="N76" s="16">
        <f>IF(AND(F76&lt;&gt;"",G76&lt;&gt;"",H76&lt;&gt;"",D76&lt;&gt;""), IF(E76="Long", (G76-F76)*H76*VLOOKUP(D76,Multipliers!A:B,2,FALSE), (F76-G76)*H76*VLOOKUP(D76,Multipliers!A:B,2,FALSE)), "")</f>
        <v/>
      </c>
      <c r="O76" s="9">
        <f>IF(AND(N76&lt;&gt;"",F76&lt;&gt;"",H76&lt;&gt;"",D76&lt;&gt;""), N76/(F76*H76*VLOOKUP(D76,Multipliers!A:B,2,FALSE)), "")</f>
        <v/>
      </c>
      <c r="P76" s="5">
        <f>P75+N76</f>
        <v/>
      </c>
      <c r="Q76" s="5" t="inlineStr">
        <is>
          <t>Break and Retest</t>
        </is>
      </c>
      <c r="R76" s="5" t="inlineStr">
        <is>
          <t>Imported from Tradovate</t>
        </is>
      </c>
      <c r="S76" s="5" t="inlineStr">
        <is>
          <t>MGC</t>
        </is>
      </c>
      <c r="T76" s="5" t="n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</row>
    <row r="77" ht="15.75" customHeight="1">
      <c r="A77" s="5" t="n">
        <v>82</v>
      </c>
      <c r="B77" s="22" t="n">
        <v>46262</v>
      </c>
      <c r="C77" s="10" t="n">
        <v>0.4344212962962963</v>
      </c>
      <c r="D77" s="5" t="inlineStr">
        <is>
          <t>MNQ</t>
        </is>
      </c>
      <c r="E77" s="5" t="inlineStr">
        <is>
          <t>Short</t>
        </is>
      </c>
      <c r="F77" s="5" t="n">
        <v>29642.25</v>
      </c>
      <c r="G77" s="5" t="n">
        <v>29608.75</v>
      </c>
      <c r="H77" s="5" t="n">
        <v>2</v>
      </c>
      <c r="I77" s="5" t="n">
        <v>29684</v>
      </c>
      <c r="J77" s="5" t="n">
        <v>29608.25</v>
      </c>
      <c r="K77" s="8">
        <f>IF(AND(I77&lt;&gt;"",J77&lt;&gt;"",F77&lt;&gt;""), (J77-F77)/(F77-I77), "")</f>
        <v/>
      </c>
      <c r="L77" s="8">
        <f>IF(AND(F77&lt;&gt;"",G77&lt;&gt;"",I77&lt;&gt;""), (G77-F77)/(F77-I77), "")</f>
        <v/>
      </c>
      <c r="M77" s="5">
        <f>IF(N77&gt;0,"Win",IF(N77&lt;0,"Loss",""))</f>
        <v/>
      </c>
      <c r="N77" s="16">
        <f>IF(AND(F77&lt;&gt;"",G77&lt;&gt;"",H77&lt;&gt;"",D77&lt;&gt;""), IF(E77="Long", (G77-F77)*H77*VLOOKUP(D77,Multipliers!A:B,2,FALSE), (F77-G77)*H77*VLOOKUP(D77,Multipliers!A:B,2,FALSE)), "")</f>
        <v/>
      </c>
      <c r="O77" s="9">
        <f>IF(AND(N77&lt;&gt;"",F77&lt;&gt;"",H77&lt;&gt;"",D77&lt;&gt;""), N77/(F77*H77*VLOOKUP(D77,Multipliers!A:B,2,FALSE)), "")</f>
        <v/>
      </c>
      <c r="P77" s="5">
        <f>P76+N77</f>
        <v/>
      </c>
      <c r="Q77" s="5" t="inlineStr">
        <is>
          <t>Rejection</t>
        </is>
      </c>
      <c r="R77" s="5" t="inlineStr">
        <is>
          <t>Imported from Tradovate</t>
        </is>
      </c>
      <c r="S77" s="5" t="inlineStr">
        <is>
          <t>MNQ</t>
        </is>
      </c>
      <c r="T77" s="5" t="n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</row>
    <row r="78" ht="15.75" customHeight="1">
      <c r="A78" s="5" t="n">
        <v>83</v>
      </c>
      <c r="B78" s="22" t="n">
        <v>46262</v>
      </c>
      <c r="C78" s="10" t="n">
        <v>0.4447569444444445</v>
      </c>
      <c r="D78" s="5" t="inlineStr">
        <is>
          <t>MNQ</t>
        </is>
      </c>
      <c r="E78" s="5" t="inlineStr">
        <is>
          <t>Short</t>
        </is>
      </c>
      <c r="F78" s="5" t="n">
        <v>29692.25</v>
      </c>
      <c r="G78" s="5" t="n">
        <v>29717.75</v>
      </c>
      <c r="H78" s="5" t="n">
        <v>2</v>
      </c>
      <c r="I78" s="5" t="n">
        <v>29717.5</v>
      </c>
      <c r="J78" s="5" t="n">
        <v>29647</v>
      </c>
      <c r="K78" s="8">
        <f>IF(AND(I78&lt;&gt;"",J78&lt;&gt;"",F78&lt;&gt;""), (J78-F78)/(F78-I78), "")</f>
        <v/>
      </c>
      <c r="L78" s="8">
        <f>IF(AND(F78&lt;&gt;"",G78&lt;&gt;"",I78&lt;&gt;""), (G78-F78)/(F78-I78), "")</f>
        <v/>
      </c>
      <c r="M78" s="5">
        <f>IF(N78&gt;0,"Win",IF(N78&lt;0,"Loss",""))</f>
        <v/>
      </c>
      <c r="N78" s="16">
        <f>IF(AND(F78&lt;&gt;"",G78&lt;&gt;"",H78&lt;&gt;"",D78&lt;&gt;""), IF(E78="Long", (G78-F78)*H78*VLOOKUP(D78,Multipliers!A:B,2,FALSE), (F78-G78)*H78*VLOOKUP(D78,Multipliers!A:B,2,FALSE)), "")</f>
        <v/>
      </c>
      <c r="O78" s="9">
        <f>IF(AND(N78&lt;&gt;"",F78&lt;&gt;"",H78&lt;&gt;"",D78&lt;&gt;""), N78/(F78*H78*VLOOKUP(D78,Multipliers!A:B,2,FALSE)), "")</f>
        <v/>
      </c>
      <c r="P78" s="5">
        <f>P77+N78</f>
        <v/>
      </c>
      <c r="Q78" s="5" t="inlineStr">
        <is>
          <t>Break and Retest</t>
        </is>
      </c>
      <c r="R78" s="5" t="inlineStr">
        <is>
          <t>Imported from Tradovate</t>
        </is>
      </c>
      <c r="S78" s="5" t="inlineStr">
        <is>
          <t>MNQ</t>
        </is>
      </c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>
        <v>84</v>
      </c>
      <c r="B79" s="22" t="n">
        <v>46262</v>
      </c>
      <c r="C79" s="10" t="n">
        <v>0.4671759259259259</v>
      </c>
      <c r="D79" s="5" t="inlineStr">
        <is>
          <t>MNQ</t>
        </is>
      </c>
      <c r="E79" s="5" t="inlineStr">
        <is>
          <t>Short</t>
        </is>
      </c>
      <c r="F79" s="5" t="n">
        <v>29747.5</v>
      </c>
      <c r="G79" s="5" t="n">
        <v>29749.75</v>
      </c>
      <c r="H79" s="5" t="n">
        <v>3</v>
      </c>
      <c r="I79" s="5" t="n">
        <v>29759.75</v>
      </c>
      <c r="J79" s="5" t="n"/>
      <c r="K79" s="8">
        <f>IF(AND(I79&lt;&gt;"",J79&lt;&gt;"",F79&lt;&gt;""), (J79-F79)/(F79-I79), "")</f>
        <v/>
      </c>
      <c r="L79" s="8">
        <f>IF(AND(F79&lt;&gt;"",G79&lt;&gt;"",I79&lt;&gt;""), (G79-F79)/(F79-I79), "")</f>
        <v/>
      </c>
      <c r="M79" s="5">
        <f>IF(N79&gt;0,"Win",IF(N79&lt;0,"Loss",""))</f>
        <v/>
      </c>
      <c r="N79" s="16">
        <f>IF(AND(F79&lt;&gt;"",G79&lt;&gt;"",H79&lt;&gt;"",D79&lt;&gt;""), IF(E79="Long", (G79-F79)*H79*VLOOKUP(D79,Multipliers!A:B,2,FALSE), (F79-G79)*H79*VLOOKUP(D79,Multipliers!A:B,2,FALSE)), "")</f>
        <v/>
      </c>
      <c r="O79" s="9">
        <f>IF(AND(N79&lt;&gt;"",F79&lt;&gt;"",H79&lt;&gt;"",D79&lt;&gt;""), N79/(F79*H79*VLOOKUP(D79,Multipliers!A:B,2,FALSE)), "")</f>
        <v/>
      </c>
      <c r="P79" s="5">
        <f>P78+N79</f>
        <v/>
      </c>
      <c r="Q79" s="5" t="inlineStr">
        <is>
          <t>Break and Retest</t>
        </is>
      </c>
      <c r="R79" s="5" t="inlineStr">
        <is>
          <t>Imported from Tradovate</t>
        </is>
      </c>
      <c r="S79" s="5" t="inlineStr">
        <is>
          <t>MNQ</t>
        </is>
      </c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>
        <v>85</v>
      </c>
      <c r="B80" s="22" t="n">
        <v>46262</v>
      </c>
      <c r="C80" s="10" t="n">
        <v>0.5370833333333334</v>
      </c>
      <c r="D80" s="5" t="inlineStr">
        <is>
          <t>MNQ</t>
        </is>
      </c>
      <c r="E80" s="5" t="inlineStr">
        <is>
          <t>Long</t>
        </is>
      </c>
      <c r="F80" s="5" t="n">
        <v>29537.25</v>
      </c>
      <c r="G80" s="5" t="n">
        <v>29510.25</v>
      </c>
      <c r="H80" s="5" t="n">
        <v>3</v>
      </c>
      <c r="I80" s="5" t="n">
        <v>29510.25</v>
      </c>
      <c r="J80" s="5" t="n">
        <v>29557.75</v>
      </c>
      <c r="K80" s="8">
        <f>IF(AND(I80&lt;&gt;"",J80&lt;&gt;"",F80&lt;&gt;""), (J80-F80)/(F80-I80), "")</f>
        <v/>
      </c>
      <c r="L80" s="8">
        <f>IF(AND(F80&lt;&gt;"",G80&lt;&gt;"",I80&lt;&gt;""), (G80-F80)/(F80-I80), "")</f>
        <v/>
      </c>
      <c r="M80" s="5">
        <f>IF(N80&gt;0,"Win",IF(N80&lt;0,"Loss",""))</f>
        <v/>
      </c>
      <c r="N80" s="16">
        <f>IF(AND(F80&lt;&gt;"",G80&lt;&gt;"",H80&lt;&gt;"",D80&lt;&gt;""), IF(E80="Long", (G80-F80)*H80*VLOOKUP(D80,Multipliers!A:B,2,FALSE), (F80-G80)*H80*VLOOKUP(D80,Multipliers!A:B,2,FALSE)), "")</f>
        <v/>
      </c>
      <c r="O80" s="9">
        <f>IF(AND(N80&lt;&gt;"",F80&lt;&gt;"",H80&lt;&gt;"",D80&lt;&gt;""), N80/(F80*H80*VLOOKUP(D80,Multipliers!A:B,2,FALSE)), "")</f>
        <v/>
      </c>
      <c r="P80" s="5">
        <f>P79+N80</f>
        <v/>
      </c>
      <c r="Q80" s="5" t="inlineStr">
        <is>
          <t>Break and Retest</t>
        </is>
      </c>
      <c r="R80" s="5" t="inlineStr">
        <is>
          <t>Imported from Tradovate</t>
        </is>
      </c>
      <c r="S80" s="5" t="inlineStr">
        <is>
          <t>MNQ</t>
        </is>
      </c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/>
      <c r="B81" s="6" t="n"/>
      <c r="C81" s="5" t="n"/>
      <c r="D81" s="5" t="n"/>
      <c r="E81" s="5" t="n"/>
      <c r="F81" s="5" t="n"/>
      <c r="G81" s="5" t="n"/>
      <c r="H81" s="5" t="n"/>
      <c r="I81" s="5" t="n"/>
      <c r="J81" s="5" t="n"/>
      <c r="K81" s="8" t="n"/>
      <c r="L81" s="8" t="n"/>
      <c r="M81" s="5" t="n"/>
      <c r="N81" s="16" t="n"/>
      <c r="O81" s="9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</row>
    <row r="82" ht="15.75" customHeight="1">
      <c r="A82" s="5" t="n"/>
      <c r="B82" s="6" t="n"/>
      <c r="C82" s="10" t="n"/>
      <c r="D82" s="5" t="n"/>
      <c r="E82" s="5" t="n"/>
      <c r="F82" s="5" t="n"/>
      <c r="G82" s="5" t="n"/>
      <c r="H82" s="5" t="n"/>
      <c r="I82" s="5" t="n"/>
      <c r="J82" s="5" t="n"/>
      <c r="K82" s="8" t="n"/>
      <c r="L82" s="8" t="n"/>
      <c r="M82" s="5" t="n"/>
      <c r="N82" s="16" t="n"/>
      <c r="O82" s="9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</row>
    <row r="83" ht="15.75" customHeight="1">
      <c r="A83" s="5" t="n"/>
      <c r="B83" s="6" t="n"/>
      <c r="C83" s="10" t="n"/>
      <c r="D83" s="5" t="n"/>
      <c r="E83" s="5" t="n"/>
      <c r="F83" s="5" t="n"/>
      <c r="G83" s="5" t="n"/>
      <c r="H83" s="5" t="n"/>
      <c r="I83" s="5" t="n"/>
      <c r="J83" s="5" t="n"/>
      <c r="K83" s="8" t="n"/>
      <c r="L83" s="8" t="n"/>
      <c r="M83" s="5" t="n"/>
      <c r="N83" s="16" t="n"/>
      <c r="O83" s="9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/>
      <c r="B84" s="6" t="n"/>
      <c r="C84" s="10" t="n"/>
      <c r="D84" s="5" t="n"/>
      <c r="E84" s="5" t="n"/>
      <c r="F84" s="5" t="n"/>
      <c r="G84" s="5" t="n"/>
      <c r="H84" s="5" t="n"/>
      <c r="I84" s="5" t="n"/>
      <c r="J84" s="5" t="n"/>
      <c r="K84" s="8" t="n"/>
      <c r="L84" s="8" t="n"/>
      <c r="M84" s="5" t="n"/>
      <c r="N84" s="16" t="n"/>
      <c r="O84" s="9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</row>
    <row r="85" ht="15.75" customHeight="1">
      <c r="A85" s="5" t="n"/>
      <c r="B85" s="6" t="n"/>
      <c r="C85" s="5" t="n"/>
      <c r="D85" s="5" t="n"/>
      <c r="E85" s="5" t="n"/>
      <c r="F85" s="5" t="n"/>
      <c r="G85" s="5" t="n"/>
      <c r="H85" s="5" t="n"/>
      <c r="I85" s="5" t="n"/>
      <c r="J85" s="5" t="n"/>
      <c r="K85" s="8" t="n"/>
      <c r="L85" s="8" t="n"/>
      <c r="M85" s="5" t="n"/>
      <c r="N85" s="16" t="n"/>
      <c r="O85" s="9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</row>
    <row r="86" ht="15.75" customHeight="1">
      <c r="A86" s="5" t="n"/>
      <c r="B86" s="6" t="n"/>
      <c r="C86" s="5" t="n"/>
      <c r="D86" s="5" t="n"/>
      <c r="E86" s="5" t="n"/>
      <c r="F86" s="5" t="n"/>
      <c r="G86" s="5" t="n"/>
      <c r="H86" s="5" t="n"/>
      <c r="I86" s="5" t="n"/>
      <c r="J86" s="5" t="n"/>
      <c r="K86" s="8" t="n"/>
      <c r="L86" s="8" t="n"/>
      <c r="M86" s="5" t="n"/>
      <c r="N86" s="16" t="n"/>
      <c r="O86" s="9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</row>
    <row r="87" ht="15.75" customHeight="1">
      <c r="A87" s="5" t="n"/>
      <c r="B87" s="6" t="n"/>
      <c r="C87" s="5" t="n"/>
      <c r="D87" s="5" t="n"/>
      <c r="E87" s="5" t="n"/>
      <c r="F87" s="5" t="n"/>
      <c r="G87" s="5" t="n"/>
      <c r="H87" s="5" t="n"/>
      <c r="I87" s="5" t="n"/>
      <c r="J87" s="5" t="n"/>
      <c r="K87" s="8" t="n"/>
      <c r="L87" s="8" t="n"/>
      <c r="M87" s="5" t="n"/>
      <c r="N87" s="16" t="n"/>
      <c r="O87" s="9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</row>
    <row r="88" ht="15.75" customHeight="1">
      <c r="A88" s="5" t="n"/>
      <c r="B88" s="6" t="n"/>
      <c r="C88" s="10" t="n"/>
      <c r="D88" s="5" t="n"/>
      <c r="E88" s="5" t="n"/>
      <c r="F88" s="5" t="n"/>
      <c r="G88" s="5" t="n"/>
      <c r="H88" s="5" t="n"/>
      <c r="I88" s="5" t="n"/>
      <c r="J88" s="5" t="n"/>
      <c r="K88" s="8" t="n"/>
      <c r="L88" s="8" t="n"/>
      <c r="M88" s="5" t="n"/>
      <c r="N88" s="16" t="n"/>
      <c r="O88" s="9" t="n"/>
      <c r="P88" s="5" t="n"/>
      <c r="Q88" s="5" t="n"/>
      <c r="R88" s="5" t="n"/>
      <c r="S88" s="11" t="n"/>
      <c r="T88" s="11" t="n"/>
      <c r="U88" s="5" t="n"/>
      <c r="V88" s="5" t="n"/>
      <c r="W88" s="5" t="n"/>
      <c r="X88" s="5" t="n"/>
      <c r="Y88" s="5" t="n"/>
      <c r="Z88" s="5" t="n"/>
      <c r="AA88" s="5" t="n"/>
    </row>
    <row r="89" ht="15.75" customHeight="1">
      <c r="A89" s="5" t="n"/>
      <c r="B89" s="6" t="n"/>
      <c r="C89" s="10" t="n"/>
      <c r="D89" s="5" t="n"/>
      <c r="E89" s="5" t="n"/>
      <c r="F89" s="5" t="n"/>
      <c r="G89" s="5" t="n"/>
      <c r="H89" s="5" t="n"/>
      <c r="I89" s="5" t="n"/>
      <c r="J89" s="5" t="n"/>
      <c r="K89" s="8" t="n"/>
      <c r="L89" s="8" t="n"/>
      <c r="M89" s="5" t="n"/>
      <c r="N89" s="16" t="n"/>
      <c r="O89" s="9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</row>
    <row r="90" ht="15.75" customHeight="1">
      <c r="A90" s="5" t="n"/>
      <c r="B90" s="6" t="n"/>
      <c r="C90" s="5" t="n"/>
      <c r="D90" s="5" t="n"/>
      <c r="E90" s="5" t="n"/>
      <c r="F90" s="5" t="n"/>
      <c r="G90" s="5" t="n"/>
      <c r="H90" s="5" t="n"/>
      <c r="I90" s="5" t="n"/>
      <c r="J90" s="5" t="n"/>
      <c r="K90" s="8" t="n"/>
      <c r="L90" s="8" t="n"/>
      <c r="M90" s="5" t="n"/>
      <c r="N90" s="16" t="n"/>
      <c r="O90" s="9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</row>
    <row r="91" ht="15.75" customHeight="1">
      <c r="A91" s="5" t="n"/>
      <c r="B91" s="6" t="n"/>
      <c r="C91" s="5" t="n"/>
      <c r="D91" s="5" t="n"/>
      <c r="E91" s="5" t="n"/>
      <c r="F91" s="5" t="n"/>
      <c r="G91" s="5" t="n"/>
      <c r="H91" s="5" t="n"/>
      <c r="I91" s="5" t="n"/>
      <c r="J91" s="5" t="n"/>
      <c r="K91" s="8" t="n"/>
      <c r="L91" s="8" t="n"/>
      <c r="M91" s="5" t="n"/>
      <c r="N91" s="16" t="n"/>
      <c r="O91" s="9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</row>
    <row r="92" ht="15.75" customHeight="1">
      <c r="A92" s="5" t="n"/>
      <c r="B92" s="6" t="n"/>
      <c r="C92" s="5" t="n"/>
      <c r="D92" s="5" t="n"/>
      <c r="E92" s="5" t="n"/>
      <c r="F92" s="5" t="n"/>
      <c r="G92" s="5" t="n"/>
      <c r="H92" s="5" t="n"/>
      <c r="I92" s="5" t="n"/>
      <c r="J92" s="5" t="n"/>
      <c r="K92" s="8" t="n"/>
      <c r="L92" s="8" t="n"/>
      <c r="M92" s="5" t="n"/>
      <c r="N92" s="16" t="n"/>
      <c r="O92" s="9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</row>
    <row r="93" ht="15.75" customHeight="1">
      <c r="A93" s="5" t="n"/>
      <c r="B93" s="6" t="n"/>
      <c r="C93" s="5" t="n"/>
      <c r="D93" s="5" t="n"/>
      <c r="E93" s="5" t="n"/>
      <c r="F93" s="5" t="n"/>
      <c r="G93" s="5" t="n"/>
      <c r="H93" s="5" t="n"/>
      <c r="I93" s="5" t="n"/>
      <c r="J93" s="5" t="n"/>
      <c r="K93" s="8" t="n"/>
      <c r="L93" s="8" t="n"/>
      <c r="M93" s="5" t="n"/>
      <c r="N93" s="16" t="n"/>
      <c r="O93" s="9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</row>
    <row r="94" ht="15.75" customHeight="1">
      <c r="A94" s="5" t="n"/>
      <c r="B94" s="6" t="n"/>
      <c r="C94" s="5" t="n"/>
      <c r="D94" s="5" t="n"/>
      <c r="E94" s="5" t="n"/>
      <c r="F94" s="5" t="n"/>
      <c r="G94" s="5" t="n"/>
      <c r="H94" s="5" t="n"/>
      <c r="I94" s="5" t="n"/>
      <c r="J94" s="5" t="n"/>
      <c r="K94" s="8" t="n"/>
      <c r="L94" s="8" t="n"/>
      <c r="M94" s="5" t="n"/>
      <c r="N94" s="16" t="n"/>
      <c r="O94" s="9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</row>
    <row r="95" ht="15.75" customHeight="1">
      <c r="A95" s="5" t="n"/>
      <c r="B95" s="6" t="n"/>
      <c r="C95" s="5" t="n"/>
      <c r="D95" s="5" t="n"/>
      <c r="E95" s="5" t="n"/>
      <c r="F95" s="5" t="n"/>
      <c r="G95" s="5" t="n"/>
      <c r="H95" s="5" t="n"/>
      <c r="I95" s="5" t="n"/>
      <c r="J95" s="5" t="n"/>
      <c r="K95" s="8" t="n"/>
      <c r="L95" s="8" t="n"/>
      <c r="M95" s="5" t="n"/>
      <c r="N95" s="16" t="n"/>
      <c r="O95" s="9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5.75" customHeight="1">
      <c r="A96" s="5" t="n"/>
      <c r="B96" s="6" t="n"/>
      <c r="C96" s="5" t="n"/>
      <c r="D96" s="5" t="n"/>
      <c r="E96" s="5" t="n"/>
      <c r="F96" s="5" t="n"/>
      <c r="G96" s="5" t="n"/>
      <c r="H96" s="5" t="n"/>
      <c r="I96" s="5" t="n"/>
      <c r="J96" s="5" t="n"/>
      <c r="K96" s="8" t="n"/>
      <c r="L96" s="8" t="n"/>
      <c r="M96" s="5" t="n"/>
      <c r="N96" s="16" t="n"/>
      <c r="O96" s="9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>
      <c r="A97" s="5" t="n"/>
      <c r="B97" s="6" t="n"/>
      <c r="C97" s="5" t="n"/>
      <c r="D97" s="5" t="n"/>
      <c r="E97" s="5" t="n"/>
      <c r="F97" s="5" t="n"/>
      <c r="G97" s="5" t="n"/>
      <c r="H97" s="5" t="n"/>
      <c r="I97" s="5" t="n"/>
      <c r="J97" s="5" t="n"/>
      <c r="K97" s="8" t="n"/>
      <c r="L97" s="8" t="n"/>
      <c r="M97" s="5" t="n"/>
      <c r="N97" s="16" t="n"/>
      <c r="O97" s="9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>
      <c r="A98" s="5" t="n"/>
      <c r="B98" s="6" t="n"/>
      <c r="C98" s="5" t="n"/>
      <c r="D98" s="5" t="n"/>
      <c r="E98" s="5" t="n"/>
      <c r="F98" s="5" t="n"/>
      <c r="G98" s="5" t="n"/>
      <c r="H98" s="5" t="n"/>
      <c r="I98" s="5" t="n"/>
      <c r="J98" s="5" t="n"/>
      <c r="K98" s="8" t="n"/>
      <c r="L98" s="8" t="n"/>
      <c r="M98" s="5" t="n"/>
      <c r="N98" s="16" t="n"/>
      <c r="O98" s="9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>
      <c r="A99" s="5" t="n"/>
      <c r="B99" s="6" t="n"/>
      <c r="C99" s="5" t="n"/>
      <c r="D99" s="5" t="n"/>
      <c r="E99" s="5" t="n"/>
      <c r="F99" s="5" t="n"/>
      <c r="G99" s="5" t="n"/>
      <c r="H99" s="5" t="n"/>
      <c r="I99" s="5" t="n"/>
      <c r="J99" s="5" t="n"/>
      <c r="K99" s="8" t="n"/>
      <c r="L99" s="8" t="n"/>
      <c r="M99" s="5" t="n"/>
      <c r="N99" s="16" t="n"/>
      <c r="O99" s="9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>
      <c r="A100" s="5" t="n"/>
      <c r="B100" s="6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8" t="n"/>
      <c r="L100" s="8" t="n"/>
      <c r="M100" s="5" t="n"/>
      <c r="N100" s="16" t="n"/>
      <c r="O100" s="9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>
      <c r="A101" s="5" t="n"/>
      <c r="B101" s="6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8" t="n"/>
      <c r="L101" s="8" t="n"/>
      <c r="M101" s="5" t="n"/>
      <c r="N101" s="16" t="n"/>
      <c r="O101" s="9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>
      <c r="A102" s="5" t="n"/>
      <c r="B102" s="6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8" t="n"/>
      <c r="L102" s="8" t="n"/>
      <c r="M102" s="5" t="n"/>
      <c r="N102" s="16" t="n"/>
      <c r="O102" s="9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/>
      <c r="B103" s="6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8" t="n"/>
      <c r="L103" s="8" t="n"/>
      <c r="M103" s="5" t="n"/>
      <c r="N103" s="16" t="n"/>
      <c r="O103" s="9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6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8" t="n"/>
      <c r="L104" s="8" t="n"/>
      <c r="M104" s="5" t="n"/>
      <c r="N104" s="16" t="n"/>
      <c r="O104" s="9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6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8" t="n"/>
      <c r="L105" s="8" t="n"/>
      <c r="M105" s="5" t="n"/>
      <c r="N105" s="16" t="n"/>
      <c r="O105" s="9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6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8" t="n"/>
      <c r="L106" s="8" t="n"/>
      <c r="M106" s="5" t="n"/>
      <c r="N106" s="16" t="n"/>
      <c r="O106" s="9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6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8" t="n"/>
      <c r="L107" s="8" t="n"/>
      <c r="M107" s="5" t="n"/>
      <c r="N107" s="16" t="n"/>
      <c r="O107" s="9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6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8" t="n"/>
      <c r="L108" s="8" t="n"/>
      <c r="M108" s="5" t="n"/>
      <c r="N108" s="16" t="n"/>
      <c r="O108" s="9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6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8" t="n"/>
      <c r="L109" s="8" t="n"/>
      <c r="M109" s="5" t="n"/>
      <c r="N109" s="16" t="n"/>
      <c r="O109" s="9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6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8" t="n"/>
      <c r="L110" s="8" t="n"/>
      <c r="M110" s="5" t="n"/>
      <c r="N110" s="16" t="n"/>
      <c r="O110" s="9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6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8" t="n"/>
      <c r="L111" s="8" t="n"/>
      <c r="M111" s="5" t="n"/>
      <c r="N111" s="16" t="n"/>
      <c r="O111" s="9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6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8" t="n"/>
      <c r="L112" s="8" t="n"/>
      <c r="M112" s="5" t="n"/>
      <c r="N112" s="16" t="n"/>
      <c r="O112" s="9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6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6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6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6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6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6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6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6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6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6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6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6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>
        <f>IF(AND(N124&lt;&gt;"",F124&lt;&gt;"",H124&lt;&gt;"",D124&lt;&gt;""), N124/(F124*H124*VLOOKUP(D124,Multipliers!A:B,2,FALSE)), "")</f>
        <v/>
      </c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6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>
        <f>IF(AND(N125&lt;&gt;"",F125&lt;&gt;"",H125&lt;&gt;"",D125&lt;&gt;""), N125/(F125*H125*VLOOKUP(D125,Multipliers!A:B,2,FALSE)), "")</f>
        <v/>
      </c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6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>
        <f>IF(AND(N126&lt;&gt;"",F126&lt;&gt;"",H126&lt;&gt;"",D126&lt;&gt;""), N126/(F126*H126*VLOOKUP(D126,Multipliers!A:B,2,FALSE)), "")</f>
        <v/>
      </c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6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9">
        <f>IF(AND(N127&lt;&gt;"",F127&lt;&gt;"",H127&lt;&gt;"",D127&lt;&gt;""), N127/(F127*H127*VLOOKUP(D127,Multipliers!A:B,2,FALSE)), "")</f>
        <v/>
      </c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6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9">
        <f>IF(AND(N128&lt;&gt;"",F128&lt;&gt;"",H128&lt;&gt;"",D128&lt;&gt;""), N128/(F128*H128*VLOOKUP(D128,Multipliers!A:B,2,FALSE)), "")</f>
        <v/>
      </c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6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6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6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6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6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6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6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6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6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6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6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6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>
      <c r="A999" s="5" t="n"/>
      <c r="B999" s="6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8" t="n"/>
      <c r="L999" s="8" t="n"/>
      <c r="M999" s="5" t="n"/>
      <c r="N999" s="16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</row>
    <row r="1000" ht="15.75" customHeight="1">
      <c r="A1000" s="5" t="n"/>
      <c r="B1000" s="6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8" t="n"/>
      <c r="L1000" s="8" t="n"/>
      <c r="M1000" s="5" t="n"/>
      <c r="N1000" s="16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</row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U3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D18" sqref="D18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20" t="inlineStr">
        <is>
          <t>Rules</t>
        </is>
      </c>
      <c r="B1" s="20" t="inlineStr">
        <is>
          <t>Market conditions</t>
        </is>
      </c>
      <c r="C1" s="20" t="inlineStr">
        <is>
          <t>Emotion before trade</t>
        </is>
      </c>
      <c r="D1" s="20" t="inlineStr">
        <is>
          <t>Setup</t>
        </is>
      </c>
      <c r="E1" s="20" t="inlineStr">
        <is>
          <t>Process</t>
        </is>
      </c>
      <c r="F1" s="20" t="inlineStr">
        <is>
          <t>Mistakes</t>
        </is>
      </c>
      <c r="G1" s="20" t="inlineStr">
        <is>
          <t>Learning</t>
        </is>
      </c>
      <c r="I1" s="21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3" t="inlineStr">
        <is>
          <t>Type</t>
        </is>
      </c>
      <c r="B1" s="23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STs Aligned</t>
        </is>
      </c>
      <c r="U1" s="23" t="inlineStr">
        <is>
          <t>With 1H Trend</t>
        </is>
      </c>
    </row>
    <row r="2">
      <c r="A2" t="inlineStr">
        <is>
          <t>2026-08-11</t>
        </is>
      </c>
      <c r="B2" t="inlineStr">
        <is>
          <t>19:27</t>
        </is>
      </c>
      <c r="C2" t="inlineStr">
        <is>
          <t>MGC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53.8</v>
      </c>
      <c r="K2" t="inlineStr">
        <is>
          <t>bear</t>
        </is>
      </c>
      <c r="L2" t="inlineStr">
        <is>
          <t>-</t>
        </is>
      </c>
      <c r="M2" t="n">
        <v>17.1</v>
      </c>
      <c r="N2" t="n">
        <v>3.95</v>
      </c>
      <c r="O2" t="n">
        <v>4439.45</v>
      </c>
      <c r="P2" t="inlineStr">
        <is>
          <t>below</t>
        </is>
      </c>
      <c r="Q2" t="n">
        <v>4444.22</v>
      </c>
      <c r="R2" t="n">
        <v>4.41</v>
      </c>
      <c r="S2" t="n">
        <v>-4139</v>
      </c>
      <c r="T2" t="inlineStr">
        <is>
          <t>No</t>
        </is>
      </c>
      <c r="U2" t="inlineStr">
        <is>
          <t>Yes</t>
        </is>
      </c>
    </row>
    <row r="3">
      <c r="A3" t="inlineStr">
        <is>
          <t>2026-08-11</t>
        </is>
      </c>
      <c r="B3" t="inlineStr">
        <is>
          <t>19:29</t>
        </is>
      </c>
      <c r="C3" t="inlineStr">
        <is>
          <t>MGC</t>
        </is>
      </c>
      <c r="D3" t="inlineStr">
        <is>
          <t>Short</t>
        </is>
      </c>
      <c r="E3" t="n">
        <v>110</v>
      </c>
      <c r="F3" t="inlineStr">
        <is>
          <t>up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53.8</v>
      </c>
      <c r="K3" t="inlineStr">
        <is>
          <t>bear</t>
        </is>
      </c>
      <c r="L3" t="inlineStr">
        <is>
          <t>-</t>
        </is>
      </c>
      <c r="M3" t="n">
        <v>17.1</v>
      </c>
      <c r="N3" t="n">
        <v>3.95</v>
      </c>
      <c r="O3" t="n">
        <v>4439.45</v>
      </c>
      <c r="P3" t="inlineStr">
        <is>
          <t>below</t>
        </is>
      </c>
      <c r="Q3" t="n">
        <v>4444.22</v>
      </c>
      <c r="R3" t="n">
        <v>4.41</v>
      </c>
      <c r="S3" t="n">
        <v>-4139</v>
      </c>
      <c r="T3" t="inlineStr">
        <is>
          <t>Yes</t>
        </is>
      </c>
      <c r="U3" t="inlineStr">
        <is>
          <t>No</t>
        </is>
      </c>
    </row>
    <row r="4">
      <c r="A4" t="inlineStr">
        <is>
          <t>2026-08-11</t>
        </is>
      </c>
      <c r="B4" t="inlineStr">
        <is>
          <t>19:30</t>
        </is>
      </c>
      <c r="C4" t="inlineStr">
        <is>
          <t>MGC</t>
        </is>
      </c>
      <c r="D4" t="inlineStr">
        <is>
          <t>Long</t>
        </is>
      </c>
      <c r="E4" t="n">
        <v>-440</v>
      </c>
      <c r="F4" t="inlineStr">
        <is>
          <t>up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45.1</v>
      </c>
      <c r="K4" t="inlineStr">
        <is>
          <t>bear</t>
        </is>
      </c>
      <c r="L4" t="inlineStr">
        <is>
          <t>-</t>
        </is>
      </c>
      <c r="M4" t="n">
        <v>17.2</v>
      </c>
      <c r="N4" t="n">
        <v>4.1</v>
      </c>
      <c r="O4" t="n">
        <v>4439.37</v>
      </c>
      <c r="P4" t="inlineStr">
        <is>
          <t>below</t>
        </is>
      </c>
      <c r="Q4" t="n">
        <v>4444.22</v>
      </c>
      <c r="R4" t="n">
        <v>1.94</v>
      </c>
      <c r="S4" t="n">
        <v>-4277</v>
      </c>
      <c r="T4" t="inlineStr">
        <is>
          <t>No</t>
        </is>
      </c>
      <c r="U4" t="inlineStr">
        <is>
          <t>Yes</t>
        </is>
      </c>
    </row>
    <row r="5">
      <c r="A5" t="inlineStr">
        <is>
          <t>2026-08-11</t>
        </is>
      </c>
      <c r="B5" t="inlineStr">
        <is>
          <t>19:34</t>
        </is>
      </c>
      <c r="C5" t="inlineStr">
        <is>
          <t>MGC</t>
        </is>
      </c>
      <c r="D5" t="inlineStr">
        <is>
          <t>Short</t>
        </is>
      </c>
      <c r="E5" t="n">
        <v>-1310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45.1</v>
      </c>
      <c r="K5" t="inlineStr">
        <is>
          <t>bear</t>
        </is>
      </c>
      <c r="L5" t="inlineStr">
        <is>
          <t>-</t>
        </is>
      </c>
      <c r="M5" t="n">
        <v>17.2</v>
      </c>
      <c r="N5" t="n">
        <v>4.1</v>
      </c>
      <c r="O5" t="n">
        <v>4439.37</v>
      </c>
      <c r="P5" t="inlineStr">
        <is>
          <t>below</t>
        </is>
      </c>
      <c r="Q5" t="n">
        <v>4444.22</v>
      </c>
      <c r="R5" t="n">
        <v>1.94</v>
      </c>
      <c r="S5" t="n">
        <v>-4277</v>
      </c>
      <c r="T5" t="inlineStr">
        <is>
          <t>Yes</t>
        </is>
      </c>
      <c r="U5" t="inlineStr">
        <is>
          <t>No</t>
        </is>
      </c>
    </row>
    <row r="6">
      <c r="A6" t="inlineStr">
        <is>
          <t>2026-08-11</t>
        </is>
      </c>
      <c r="B6" t="inlineStr">
        <is>
          <t>20:31</t>
        </is>
      </c>
      <c r="C6" t="inlineStr">
        <is>
          <t>MGC</t>
        </is>
      </c>
      <c r="D6" t="inlineStr">
        <is>
          <t>Long</t>
        </is>
      </c>
      <c r="E6" t="n">
        <v>370</v>
      </c>
      <c r="F6" t="inlineStr">
        <is>
          <t>up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67.40000000000001</v>
      </c>
      <c r="K6" t="inlineStr">
        <is>
          <t>bull</t>
        </is>
      </c>
      <c r="L6" t="inlineStr">
        <is>
          <t>+</t>
        </is>
      </c>
      <c r="M6" t="n">
        <v>19</v>
      </c>
      <c r="N6" t="n">
        <v>3.89</v>
      </c>
      <c r="O6" t="n">
        <v>4439.2</v>
      </c>
      <c r="P6" t="inlineStr">
        <is>
          <t>above</t>
        </is>
      </c>
      <c r="Q6" t="n">
        <v>4444.22</v>
      </c>
      <c r="R6" t="n">
        <v>1.67</v>
      </c>
      <c r="S6" t="n">
        <v>-3600</v>
      </c>
      <c r="T6" t="inlineStr">
        <is>
          <t>No</t>
        </is>
      </c>
      <c r="U6" t="inlineStr">
        <is>
          <t>Yes</t>
        </is>
      </c>
    </row>
    <row r="7">
      <c r="A7" t="inlineStr">
        <is>
          <t>2026-08-11</t>
        </is>
      </c>
      <c r="B7" t="inlineStr">
        <is>
          <t>21:16</t>
        </is>
      </c>
      <c r="C7" t="inlineStr">
        <is>
          <t>MGC</t>
        </is>
      </c>
      <c r="D7" t="inlineStr">
        <is>
          <t>Long</t>
        </is>
      </c>
      <c r="E7" t="n">
        <v>190</v>
      </c>
      <c r="F7" t="inlineStr">
        <is>
          <t>up</t>
        </is>
      </c>
      <c r="G7" t="inlineStr">
        <is>
          <t>down</t>
        </is>
      </c>
      <c r="H7" t="inlineStr">
        <is>
          <t>up</t>
        </is>
      </c>
      <c r="I7" t="inlineStr">
        <is>
          <t>up</t>
        </is>
      </c>
      <c r="J7" t="n">
        <v>74.09999999999999</v>
      </c>
      <c r="K7" t="inlineStr">
        <is>
          <t>bull</t>
        </is>
      </c>
      <c r="L7" t="inlineStr">
        <is>
          <t>+</t>
        </is>
      </c>
      <c r="M7" t="n">
        <v>26.8</v>
      </c>
      <c r="N7" t="n">
        <v>4.03</v>
      </c>
      <c r="O7" t="n">
        <v>4439.44</v>
      </c>
      <c r="P7" t="inlineStr">
        <is>
          <t>above</t>
        </is>
      </c>
      <c r="Q7" t="n">
        <v>4444.22</v>
      </c>
      <c r="R7" t="n">
        <v>1.03</v>
      </c>
      <c r="S7" t="n">
        <v>-2319</v>
      </c>
      <c r="T7" t="inlineStr">
        <is>
          <t>No</t>
        </is>
      </c>
      <c r="U7" t="inlineStr">
        <is>
          <t>Yes</t>
        </is>
      </c>
    </row>
    <row r="8">
      <c r="A8" t="inlineStr">
        <is>
          <t>2026-08-11</t>
        </is>
      </c>
      <c r="B8" t="inlineStr">
        <is>
          <t>22:40</t>
        </is>
      </c>
      <c r="C8" t="inlineStr">
        <is>
          <t>MGC</t>
        </is>
      </c>
      <c r="D8" t="inlineStr">
        <is>
          <t>Long</t>
        </is>
      </c>
      <c r="E8" t="n">
        <v>2160</v>
      </c>
      <c r="F8" t="inlineStr">
        <is>
          <t>up</t>
        </is>
      </c>
      <c r="G8" t="inlineStr">
        <is>
          <t>down</t>
        </is>
      </c>
      <c r="H8" t="inlineStr">
        <is>
          <t>up</t>
        </is>
      </c>
      <c r="I8" t="inlineStr">
        <is>
          <t>up</t>
        </is>
      </c>
      <c r="J8" t="n">
        <v>75.2</v>
      </c>
      <c r="K8" t="inlineStr">
        <is>
          <t>bull</t>
        </is>
      </c>
      <c r="L8" t="inlineStr">
        <is>
          <t>+</t>
        </is>
      </c>
      <c r="M8" t="n">
        <v>38</v>
      </c>
      <c r="N8" t="n">
        <v>4.31</v>
      </c>
      <c r="O8" t="n">
        <v>4441.15</v>
      </c>
      <c r="P8" t="inlineStr">
        <is>
          <t>above</t>
        </is>
      </c>
      <c r="Q8" t="n">
        <v>4444.25</v>
      </c>
      <c r="R8" t="n">
        <v>2.29</v>
      </c>
      <c r="S8" t="n">
        <v>-1466</v>
      </c>
      <c r="T8" t="inlineStr">
        <is>
          <t>No</t>
        </is>
      </c>
      <c r="U8" t="inlineStr">
        <is>
          <t>Yes</t>
        </is>
      </c>
    </row>
    <row r="9">
      <c r="A9" t="inlineStr">
        <is>
          <t>2026-08-11</t>
        </is>
      </c>
      <c r="B9" t="inlineStr">
        <is>
          <t>23:00</t>
        </is>
      </c>
      <c r="C9" t="inlineStr">
        <is>
          <t>MGC</t>
        </is>
      </c>
      <c r="D9" t="inlineStr">
        <is>
          <t>Long</t>
        </is>
      </c>
      <c r="E9" t="n">
        <v>-280</v>
      </c>
      <c r="F9" t="inlineStr">
        <is>
          <t>up</t>
        </is>
      </c>
      <c r="G9" t="inlineStr">
        <is>
          <t>down</t>
        </is>
      </c>
      <c r="H9" t="inlineStr">
        <is>
          <t>up</t>
        </is>
      </c>
      <c r="I9" t="inlineStr">
        <is>
          <t>up</t>
        </is>
      </c>
      <c r="J9" t="n">
        <v>70.7</v>
      </c>
      <c r="K9" t="inlineStr">
        <is>
          <t>bull</t>
        </is>
      </c>
      <c r="L9" t="inlineStr">
        <is>
          <t>+</t>
        </is>
      </c>
      <c r="M9" t="n">
        <v>42.7</v>
      </c>
      <c r="N9" t="n">
        <v>4.49</v>
      </c>
      <c r="O9" t="n">
        <v>4442.06</v>
      </c>
      <c r="P9" t="inlineStr">
        <is>
          <t>above</t>
        </is>
      </c>
      <c r="Q9" t="n">
        <v>4440.82</v>
      </c>
      <c r="R9" t="n">
        <v>2.79</v>
      </c>
      <c r="S9" t="n">
        <v>-1475</v>
      </c>
      <c r="T9" t="inlineStr">
        <is>
          <t>No</t>
        </is>
      </c>
      <c r="U9" t="inlineStr">
        <is>
          <t>Yes</t>
        </is>
      </c>
    </row>
    <row r="10">
      <c r="A10" t="inlineStr">
        <is>
          <t>2026-08-11</t>
        </is>
      </c>
      <c r="B10" t="inlineStr">
        <is>
          <t>23:11</t>
        </is>
      </c>
      <c r="C10" t="inlineStr">
        <is>
          <t>MGC</t>
        </is>
      </c>
      <c r="D10" t="inlineStr">
        <is>
          <t>Long</t>
        </is>
      </c>
      <c r="E10" t="n">
        <v>-910</v>
      </c>
      <c r="F10" t="inlineStr">
        <is>
          <t>up</t>
        </is>
      </c>
      <c r="G10" t="inlineStr">
        <is>
          <t>down</t>
        </is>
      </c>
      <c r="H10" t="inlineStr">
        <is>
          <t>up</t>
        </is>
      </c>
      <c r="I10" t="inlineStr">
        <is>
          <t>up</t>
        </is>
      </c>
      <c r="J10" t="n">
        <v>68.7</v>
      </c>
      <c r="K10" t="inlineStr">
        <is>
          <t>bull</t>
        </is>
      </c>
      <c r="L10" t="inlineStr">
        <is>
          <t>+</t>
        </is>
      </c>
      <c r="M10" t="n">
        <v>44</v>
      </c>
      <c r="N10" t="n">
        <v>4.68</v>
      </c>
      <c r="O10" t="n">
        <v>4442.43</v>
      </c>
      <c r="P10" t="inlineStr">
        <is>
          <t>above</t>
        </is>
      </c>
      <c r="Q10" t="n">
        <v>4444.2</v>
      </c>
      <c r="R10" t="n">
        <v>2.07</v>
      </c>
      <c r="S10" t="n">
        <v>-1566</v>
      </c>
      <c r="T10" t="inlineStr">
        <is>
          <t>No</t>
        </is>
      </c>
      <c r="U10" t="inlineStr">
        <is>
          <t>Yes</t>
        </is>
      </c>
    </row>
    <row r="11">
      <c r="A11" t="inlineStr">
        <is>
          <t>2026-08-11</t>
        </is>
      </c>
      <c r="B11" t="inlineStr">
        <is>
          <t>23:25</t>
        </is>
      </c>
      <c r="C11" t="inlineStr">
        <is>
          <t>MGC</t>
        </is>
      </c>
      <c r="D11" t="inlineStr">
        <is>
          <t>Long</t>
        </is>
      </c>
      <c r="E11" t="n">
        <v>-140</v>
      </c>
      <c r="F11" t="inlineStr">
        <is>
          <t>up</t>
        </is>
      </c>
      <c r="G11" t="inlineStr">
        <is>
          <t>down</t>
        </is>
      </c>
      <c r="H11" t="inlineStr">
        <is>
          <t>up</t>
        </is>
      </c>
      <c r="I11" t="inlineStr">
        <is>
          <t>up</t>
        </is>
      </c>
      <c r="J11" t="n">
        <v>61.2</v>
      </c>
      <c r="K11" t="inlineStr">
        <is>
          <t>bull</t>
        </is>
      </c>
      <c r="L11" t="inlineStr">
        <is>
          <t>-</t>
        </is>
      </c>
      <c r="M11" t="n">
        <v>40.3</v>
      </c>
      <c r="N11" t="n">
        <v>4.37</v>
      </c>
      <c r="O11" t="n">
        <v>4442.73</v>
      </c>
      <c r="P11" t="inlineStr">
        <is>
          <t>above</t>
        </is>
      </c>
      <c r="Q11" t="n">
        <v>4444.2</v>
      </c>
      <c r="R11" t="n">
        <v>1</v>
      </c>
      <c r="S11" t="n">
        <v>-1758</v>
      </c>
      <c r="T11" t="inlineStr">
        <is>
          <t>No</t>
        </is>
      </c>
      <c r="U11" t="inlineStr">
        <is>
          <t>Yes</t>
        </is>
      </c>
    </row>
    <row r="12">
      <c r="A12" t="inlineStr">
        <is>
          <t>2026-08-11</t>
        </is>
      </c>
      <c r="B12" t="inlineStr">
        <is>
          <t>23:36</t>
        </is>
      </c>
      <c r="C12" t="inlineStr">
        <is>
          <t>MGC</t>
        </is>
      </c>
      <c r="D12" t="inlineStr">
        <is>
          <t>Short</t>
        </is>
      </c>
      <c r="E12" t="n">
        <v>490</v>
      </c>
      <c r="F12" t="inlineStr">
        <is>
          <t>up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55.6</v>
      </c>
      <c r="K12" t="inlineStr">
        <is>
          <t>bull</t>
        </is>
      </c>
      <c r="L12" t="inlineStr">
        <is>
          <t>-</t>
        </is>
      </c>
      <c r="M12" t="n">
        <v>37</v>
      </c>
      <c r="N12" t="n">
        <v>4.22</v>
      </c>
      <c r="O12" t="n">
        <v>4442.87</v>
      </c>
      <c r="P12" t="inlineStr">
        <is>
          <t>above</t>
        </is>
      </c>
      <c r="Q12" t="n">
        <v>4444.2</v>
      </c>
      <c r="R12" t="n">
        <v>1</v>
      </c>
      <c r="S12" t="n">
        <v>-2061</v>
      </c>
      <c r="T12" t="inlineStr">
        <is>
          <t>No</t>
        </is>
      </c>
      <c r="U12" t="inlineStr">
        <is>
          <t>No</t>
        </is>
      </c>
    </row>
    <row r="13">
      <c r="A13" t="inlineStr">
        <is>
          <t>2026-08-12</t>
        </is>
      </c>
      <c r="B13" t="inlineStr">
        <is>
          <t>09:12</t>
        </is>
      </c>
      <c r="C13" t="inlineStr">
        <is>
          <t>MNQ</t>
        </is>
      </c>
      <c r="D13" t="inlineStr">
        <is>
          <t>Long</t>
        </is>
      </c>
      <c r="E13" t="n">
        <v>47.5</v>
      </c>
      <c r="F13" t="inlineStr">
        <is>
          <t>up</t>
        </is>
      </c>
      <c r="G13" t="inlineStr">
        <is>
          <t>up</t>
        </is>
      </c>
      <c r="H13" t="inlineStr">
        <is>
          <t>up</t>
        </is>
      </c>
      <c r="I13" t="inlineStr">
        <is>
          <t>up</t>
        </is>
      </c>
      <c r="J13" t="n">
        <v>73.5</v>
      </c>
      <c r="K13" t="inlineStr">
        <is>
          <t>bull</t>
        </is>
      </c>
      <c r="L13" t="inlineStr">
        <is>
          <t>+</t>
        </is>
      </c>
      <c r="M13" t="n">
        <v>13</v>
      </c>
      <c r="N13" t="n">
        <v>29.01</v>
      </c>
      <c r="O13" t="n">
        <v>29698.61</v>
      </c>
      <c r="P13" t="inlineStr">
        <is>
          <t>above</t>
        </is>
      </c>
      <c r="Q13" t="n">
        <v>29634.79</v>
      </c>
      <c r="R13" t="n">
        <v>0.67</v>
      </c>
      <c r="S13" t="n">
        <v>-21162</v>
      </c>
      <c r="T13" t="inlineStr">
        <is>
          <t>Yes</t>
        </is>
      </c>
      <c r="U13" t="inlineStr">
        <is>
          <t>Yes</t>
        </is>
      </c>
    </row>
    <row r="14">
      <c r="A14" t="inlineStr">
        <is>
          <t>2026-08-12</t>
        </is>
      </c>
      <c r="B14" t="inlineStr">
        <is>
          <t>09:26</t>
        </is>
      </c>
      <c r="C14" t="inlineStr">
        <is>
          <t>MGC</t>
        </is>
      </c>
      <c r="D14" t="inlineStr">
        <is>
          <t>Short</t>
        </is>
      </c>
      <c r="E14" t="n">
        <v>170</v>
      </c>
      <c r="F14" t="inlineStr">
        <is>
          <t>up</t>
        </is>
      </c>
      <c r="G14" t="inlineStr">
        <is>
          <t>up</t>
        </is>
      </c>
      <c r="H14" t="inlineStr">
        <is>
          <t>up</t>
        </is>
      </c>
      <c r="I14" t="inlineStr">
        <is>
          <t>up</t>
        </is>
      </c>
      <c r="J14" t="n">
        <v>48.5</v>
      </c>
      <c r="K14" t="inlineStr">
        <is>
          <t>bull</t>
        </is>
      </c>
      <c r="L14" t="inlineStr">
        <is>
          <t>-</t>
        </is>
      </c>
      <c r="M14" t="n">
        <v>14.1</v>
      </c>
      <c r="N14" t="n">
        <v>9.48</v>
      </c>
      <c r="O14" t="n">
        <v>4457.91</v>
      </c>
      <c r="P14" t="inlineStr">
        <is>
          <t>above</t>
        </is>
      </c>
      <c r="Q14" t="n">
        <v>4466.39</v>
      </c>
      <c r="R14" t="n">
        <v>1.28</v>
      </c>
      <c r="S14" t="n">
        <v>5281</v>
      </c>
      <c r="T14" t="inlineStr">
        <is>
          <t>No</t>
        </is>
      </c>
      <c r="U14" t="inlineStr">
        <is>
          <t>No</t>
        </is>
      </c>
    </row>
    <row r="15">
      <c r="A15" t="inlineStr">
        <is>
          <t>2026-08-12</t>
        </is>
      </c>
      <c r="B15" t="inlineStr">
        <is>
          <t>09:38</t>
        </is>
      </c>
      <c r="C15" t="inlineStr">
        <is>
          <t>MNQ</t>
        </is>
      </c>
      <c r="D15" t="inlineStr">
        <is>
          <t>Short</t>
        </is>
      </c>
      <c r="E15" t="n">
        <v>69.5</v>
      </c>
      <c r="F15" t="inlineStr">
        <is>
          <t>up</t>
        </is>
      </c>
      <c r="G15" t="inlineStr">
        <is>
          <t>up</t>
        </is>
      </c>
      <c r="H15" t="inlineStr">
        <is>
          <t>up</t>
        </is>
      </c>
      <c r="I15" t="inlineStr">
        <is>
          <t>down</t>
        </is>
      </c>
      <c r="J15" t="n">
        <v>49.1</v>
      </c>
      <c r="K15" t="inlineStr">
        <is>
          <t>bull</t>
        </is>
      </c>
      <c r="L15" t="inlineStr">
        <is>
          <t>-</t>
        </is>
      </c>
      <c r="M15" t="n">
        <v>15.4</v>
      </c>
      <c r="N15" t="n">
        <v>38.58</v>
      </c>
      <c r="T15" t="inlineStr">
        <is>
          <t>No</t>
        </is>
      </c>
      <c r="U15" t="inlineStr">
        <is>
          <t>No</t>
        </is>
      </c>
    </row>
    <row r="16">
      <c r="A16" t="inlineStr">
        <is>
          <t>2026-08-12</t>
        </is>
      </c>
      <c r="B16" t="inlineStr">
        <is>
          <t>09:51</t>
        </is>
      </c>
      <c r="C16" t="inlineStr">
        <is>
          <t>MGC</t>
        </is>
      </c>
      <c r="D16" t="inlineStr">
        <is>
          <t>Long</t>
        </is>
      </c>
      <c r="E16" t="n">
        <v>-460</v>
      </c>
      <c r="F16" t="inlineStr">
        <is>
          <t>up</t>
        </is>
      </c>
      <c r="G16" t="inlineStr">
        <is>
          <t>up</t>
        </is>
      </c>
      <c r="H16" t="inlineStr">
        <is>
          <t>up</t>
        </is>
      </c>
      <c r="I16" t="inlineStr">
        <is>
          <t>up</t>
        </is>
      </c>
      <c r="J16" t="n">
        <v>60</v>
      </c>
      <c r="K16" t="inlineStr">
        <is>
          <t>bull</t>
        </is>
      </c>
      <c r="L16" t="inlineStr">
        <is>
          <t>-</t>
        </is>
      </c>
      <c r="M16" t="n">
        <v>14.2</v>
      </c>
      <c r="N16" t="n">
        <v>9.69</v>
      </c>
      <c r="O16" t="n">
        <v>4478.61</v>
      </c>
      <c r="P16" t="inlineStr">
        <is>
          <t>above</t>
        </is>
      </c>
      <c r="Q16" t="n">
        <v>4474.18</v>
      </c>
      <c r="R16" t="n">
        <v>1.16</v>
      </c>
      <c r="S16" t="n">
        <v>889</v>
      </c>
      <c r="T16" t="inlineStr">
        <is>
          <t>Yes</t>
        </is>
      </c>
      <c r="U16" t="inlineStr">
        <is>
          <t>Yes</t>
        </is>
      </c>
    </row>
    <row r="17">
      <c r="A17" t="inlineStr">
        <is>
          <t>2026-08-12</t>
        </is>
      </c>
      <c r="B17" t="inlineStr">
        <is>
          <t>10:55</t>
        </is>
      </c>
      <c r="C17" t="inlineStr">
        <is>
          <t>MNQ</t>
        </is>
      </c>
      <c r="D17" t="inlineStr">
        <is>
          <t>Long</t>
        </is>
      </c>
      <c r="E17" t="n">
        <v>93</v>
      </c>
      <c r="F17" t="inlineStr">
        <is>
          <t>up</t>
        </is>
      </c>
      <c r="G17" t="inlineStr">
        <is>
          <t>up</t>
        </is>
      </c>
      <c r="H17" t="inlineStr">
        <is>
          <t>up</t>
        </is>
      </c>
      <c r="I17" t="inlineStr">
        <is>
          <t>down</t>
        </is>
      </c>
      <c r="J17" t="n">
        <v>45.8</v>
      </c>
      <c r="K17" t="inlineStr">
        <is>
          <t>bear</t>
        </is>
      </c>
      <c r="L17" t="inlineStr">
        <is>
          <t>-</t>
        </is>
      </c>
      <c r="M17" t="n">
        <v>14.9</v>
      </c>
      <c r="N17" t="n">
        <v>49.91</v>
      </c>
      <c r="O17" t="n">
        <v>29904.64</v>
      </c>
      <c r="P17" t="inlineStr">
        <is>
          <t>below</t>
        </is>
      </c>
      <c r="Q17" t="n">
        <v>29878.13</v>
      </c>
      <c r="R17" t="n">
        <v>0.77</v>
      </c>
      <c r="S17" t="n">
        <v>-16673</v>
      </c>
      <c r="T17" t="inlineStr">
        <is>
          <t>No</t>
        </is>
      </c>
      <c r="U17" t="inlineStr">
        <is>
          <t>Yes</t>
        </is>
      </c>
    </row>
    <row r="18">
      <c r="A18" t="inlineStr">
        <is>
          <t>2026-08-12</t>
        </is>
      </c>
      <c r="B18" t="inlineStr">
        <is>
          <t>11:22</t>
        </is>
      </c>
      <c r="C18" t="inlineStr">
        <is>
          <t>MNQ</t>
        </is>
      </c>
      <c r="D18" t="inlineStr">
        <is>
          <t>Long</t>
        </is>
      </c>
      <c r="E18" t="n">
        <v>154.5</v>
      </c>
      <c r="F18" t="inlineStr">
        <is>
          <t>up</t>
        </is>
      </c>
      <c r="G18" t="inlineStr">
        <is>
          <t>up</t>
        </is>
      </c>
      <c r="H18" t="inlineStr">
        <is>
          <t>up</t>
        </is>
      </c>
      <c r="I18" t="inlineStr">
        <is>
          <t>down</t>
        </is>
      </c>
      <c r="J18" t="n">
        <v>43.7</v>
      </c>
      <c r="K18" t="inlineStr">
        <is>
          <t>bear</t>
        </is>
      </c>
      <c r="L18" t="inlineStr">
        <is>
          <t>-</t>
        </is>
      </c>
      <c r="M18" t="n">
        <v>19.5</v>
      </c>
      <c r="N18" t="n">
        <v>45.34</v>
      </c>
      <c r="O18" t="n">
        <v>29900.13</v>
      </c>
      <c r="P18" t="inlineStr">
        <is>
          <t>below</t>
        </is>
      </c>
      <c r="Q18" t="n">
        <v>29878.13</v>
      </c>
      <c r="R18" t="n">
        <v>0.5600000000000001</v>
      </c>
      <c r="S18" t="n">
        <v>-16919</v>
      </c>
      <c r="T18" t="inlineStr">
        <is>
          <t>No</t>
        </is>
      </c>
      <c r="U18" t="inlineStr">
        <is>
          <t>Yes</t>
        </is>
      </c>
    </row>
    <row r="19">
      <c r="A19" t="inlineStr">
        <is>
          <t>2026-08-12</t>
        </is>
      </c>
      <c r="B19" t="inlineStr">
        <is>
          <t>11:32</t>
        </is>
      </c>
      <c r="C19" t="inlineStr">
        <is>
          <t>MNQ</t>
        </is>
      </c>
      <c r="D19" t="inlineStr">
        <is>
          <t>Long</t>
        </is>
      </c>
      <c r="E19" t="n">
        <v>-136.5</v>
      </c>
      <c r="F19" t="inlineStr">
        <is>
          <t>up</t>
        </is>
      </c>
      <c r="G19" t="inlineStr">
        <is>
          <t>up</t>
        </is>
      </c>
      <c r="H19" t="inlineStr">
        <is>
          <t>up</t>
        </is>
      </c>
      <c r="I19" t="inlineStr">
        <is>
          <t>down</t>
        </is>
      </c>
      <c r="J19" t="n">
        <v>42.1</v>
      </c>
      <c r="K19" t="inlineStr">
        <is>
          <t>bear</t>
        </is>
      </c>
      <c r="L19" t="inlineStr">
        <is>
          <t>-</t>
        </is>
      </c>
      <c r="M19" t="n">
        <v>21.8</v>
      </c>
      <c r="N19" t="n">
        <v>45.45</v>
      </c>
      <c r="O19" t="n">
        <v>29898.09</v>
      </c>
      <c r="P19" t="inlineStr">
        <is>
          <t>below</t>
        </is>
      </c>
      <c r="Q19" t="n">
        <v>29908.09</v>
      </c>
      <c r="R19" t="n">
        <v>0.8100000000000001</v>
      </c>
      <c r="S19" t="n">
        <v>-16809</v>
      </c>
      <c r="T19" t="inlineStr">
        <is>
          <t>No</t>
        </is>
      </c>
      <c r="U19" t="inlineStr">
        <is>
          <t>Yes</t>
        </is>
      </c>
    </row>
    <row r="20">
      <c r="A20" t="inlineStr">
        <is>
          <t>2026-08-12</t>
        </is>
      </c>
      <c r="B20" t="inlineStr">
        <is>
          <t>11:57</t>
        </is>
      </c>
      <c r="C20" t="inlineStr">
        <is>
          <t>MNQ</t>
        </is>
      </c>
      <c r="D20" t="inlineStr">
        <is>
          <t>Short</t>
        </is>
      </c>
      <c r="E20" t="n">
        <v>-144</v>
      </c>
      <c r="F20" t="inlineStr">
        <is>
          <t>up</t>
        </is>
      </c>
      <c r="G20" t="inlineStr">
        <is>
          <t>up</t>
        </is>
      </c>
      <c r="H20" t="inlineStr">
        <is>
          <t>up</t>
        </is>
      </c>
      <c r="I20" t="inlineStr">
        <is>
          <t>down</t>
        </is>
      </c>
      <c r="J20" t="n">
        <v>42.8</v>
      </c>
      <c r="K20" t="inlineStr">
        <is>
          <t>bear</t>
        </is>
      </c>
      <c r="L20" t="inlineStr">
        <is>
          <t>-</t>
        </is>
      </c>
      <c r="M20" t="n">
        <v>27</v>
      </c>
      <c r="N20" t="n">
        <v>38.28</v>
      </c>
      <c r="O20" t="n">
        <v>29893.68</v>
      </c>
      <c r="P20" t="inlineStr">
        <is>
          <t>below</t>
        </is>
      </c>
      <c r="Q20" t="n">
        <v>29939.9</v>
      </c>
      <c r="R20" t="n">
        <v>0.61</v>
      </c>
      <c r="S20" t="n">
        <v>-20548</v>
      </c>
      <c r="T20" t="inlineStr">
        <is>
          <t>No</t>
        </is>
      </c>
      <c r="U20" t="inlineStr">
        <is>
          <t>No</t>
        </is>
      </c>
    </row>
    <row r="21">
      <c r="A21" t="inlineStr">
        <is>
          <t>2026-08-12</t>
        </is>
      </c>
      <c r="B21" t="inlineStr">
        <is>
          <t>14:12</t>
        </is>
      </c>
      <c r="C21" t="inlineStr">
        <is>
          <t>MGC</t>
        </is>
      </c>
      <c r="D21" t="inlineStr">
        <is>
          <t>Short</t>
        </is>
      </c>
      <c r="E21" t="n">
        <v>-195</v>
      </c>
      <c r="F21" t="inlineStr">
        <is>
          <t>up</t>
        </is>
      </c>
      <c r="G21" t="inlineStr">
        <is>
          <t>up</t>
        </is>
      </c>
      <c r="H21" t="inlineStr">
        <is>
          <t>up</t>
        </is>
      </c>
      <c r="I21" t="inlineStr">
        <is>
          <t>down</t>
        </is>
      </c>
      <c r="J21" t="n">
        <v>47.1</v>
      </c>
      <c r="K21" t="inlineStr">
        <is>
          <t>bear</t>
        </is>
      </c>
      <c r="L21" t="inlineStr">
        <is>
          <t>+</t>
        </is>
      </c>
      <c r="M21" t="n">
        <v>22.7</v>
      </c>
      <c r="N21" t="n">
        <v>5.09</v>
      </c>
      <c r="O21" t="n">
        <v>4478.13</v>
      </c>
      <c r="P21" t="inlineStr">
        <is>
          <t>below</t>
        </is>
      </c>
      <c r="Q21" t="n">
        <v>4479.5</v>
      </c>
      <c r="R21" t="n">
        <v>0.74</v>
      </c>
      <c r="S21" t="n">
        <v>-2057</v>
      </c>
      <c r="T21" t="inlineStr">
        <is>
          <t>No</t>
        </is>
      </c>
      <c r="U21" t="inlineStr">
        <is>
          <t>No</t>
        </is>
      </c>
    </row>
    <row r="22">
      <c r="A22" t="inlineStr">
        <is>
          <t>2026-08-13</t>
        </is>
      </c>
      <c r="B22" t="inlineStr">
        <is>
          <t>08:50</t>
        </is>
      </c>
      <c r="C22" t="inlineStr">
        <is>
          <t>MGC</t>
        </is>
      </c>
      <c r="D22" t="inlineStr">
        <is>
          <t>Long</t>
        </is>
      </c>
      <c r="E22" t="n">
        <v>-57</v>
      </c>
      <c r="F22" t="inlineStr">
        <is>
          <t>up</t>
        </is>
      </c>
      <c r="G22" t="inlineStr">
        <is>
          <t>down</t>
        </is>
      </c>
      <c r="H22" t="inlineStr">
        <is>
          <t>up</t>
        </is>
      </c>
      <c r="I22" t="inlineStr">
        <is>
          <t>up</t>
        </is>
      </c>
      <c r="J22" t="n">
        <v>61.3</v>
      </c>
      <c r="K22" t="inlineStr">
        <is>
          <t>bull</t>
        </is>
      </c>
      <c r="L22" t="inlineStr">
        <is>
          <t>+</t>
        </is>
      </c>
      <c r="M22" t="n">
        <v>26</v>
      </c>
      <c r="N22" t="n">
        <v>5.68</v>
      </c>
      <c r="O22" t="n">
        <v>4465.02</v>
      </c>
      <c r="P22" t="inlineStr">
        <is>
          <t>below</t>
        </is>
      </c>
      <c r="Q22" t="n">
        <v>4479.13</v>
      </c>
      <c r="R22" t="n">
        <v>0.47</v>
      </c>
      <c r="S22" t="n">
        <v>-878</v>
      </c>
      <c r="T22" t="inlineStr">
        <is>
          <t>No</t>
        </is>
      </c>
      <c r="U22" t="inlineStr">
        <is>
          <t>Yes</t>
        </is>
      </c>
    </row>
    <row r="23">
      <c r="A23" t="inlineStr">
        <is>
          <t>2026-08-13</t>
        </is>
      </c>
      <c r="B23" t="inlineStr">
        <is>
          <t>09:46</t>
        </is>
      </c>
      <c r="C23" t="inlineStr">
        <is>
          <t>MNQ</t>
        </is>
      </c>
      <c r="D23" t="inlineStr">
        <is>
          <t>Long</t>
        </is>
      </c>
      <c r="E23" t="n">
        <v>375</v>
      </c>
      <c r="F23" t="inlineStr">
        <is>
          <t>up</t>
        </is>
      </c>
      <c r="G23" t="inlineStr">
        <is>
          <t>up</t>
        </is>
      </c>
      <c r="H23" t="inlineStr">
        <is>
          <t>up</t>
        </is>
      </c>
      <c r="I23" t="inlineStr">
        <is>
          <t>up</t>
        </is>
      </c>
      <c r="J23" t="n">
        <v>83.90000000000001</v>
      </c>
      <c r="K23" t="inlineStr">
        <is>
          <t>bull</t>
        </is>
      </c>
      <c r="L23" t="inlineStr">
        <is>
          <t>+</t>
        </is>
      </c>
      <c r="M23" t="n">
        <v>32.8</v>
      </c>
      <c r="N23" t="n">
        <v>39.34</v>
      </c>
      <c r="O23" t="n">
        <v>29997.05</v>
      </c>
      <c r="P23" t="inlineStr">
        <is>
          <t>above</t>
        </is>
      </c>
      <c r="Q23" t="n">
        <v>29902.34</v>
      </c>
      <c r="R23" t="n">
        <v>1.07</v>
      </c>
      <c r="S23" t="n">
        <v>33318</v>
      </c>
      <c r="T23" t="inlineStr">
        <is>
          <t>Yes</t>
        </is>
      </c>
      <c r="U23" t="inlineStr">
        <is>
          <t>Yes</t>
        </is>
      </c>
    </row>
    <row r="24">
      <c r="A24" t="inlineStr">
        <is>
          <t>2026-08-13</t>
        </is>
      </c>
      <c r="B24" t="inlineStr">
        <is>
          <t>11:24</t>
        </is>
      </c>
      <c r="C24" t="inlineStr">
        <is>
          <t>MGC</t>
        </is>
      </c>
      <c r="D24" t="inlineStr">
        <is>
          <t>Short</t>
        </is>
      </c>
      <c r="E24" t="n">
        <v>285</v>
      </c>
      <c r="F24" t="inlineStr">
        <is>
          <t>flat</t>
        </is>
      </c>
      <c r="G24" t="inlineStr">
        <is>
          <t>down</t>
        </is>
      </c>
      <c r="H24" t="inlineStr">
        <is>
          <t>down</t>
        </is>
      </c>
      <c r="I24" t="inlineStr">
        <is>
          <t>down</t>
        </is>
      </c>
      <c r="J24" t="n">
        <v>41.8</v>
      </c>
      <c r="K24" t="inlineStr">
        <is>
          <t>bear</t>
        </is>
      </c>
      <c r="L24" t="inlineStr">
        <is>
          <t>-</t>
        </is>
      </c>
      <c r="M24" t="n">
        <v>29.6</v>
      </c>
      <c r="N24" t="n">
        <v>7.33</v>
      </c>
      <c r="O24" t="n">
        <v>4431.96</v>
      </c>
      <c r="P24" t="inlineStr">
        <is>
          <t>below</t>
        </is>
      </c>
      <c r="Q24" t="n">
        <v>4430.89</v>
      </c>
      <c r="R24" t="n">
        <v>1.35</v>
      </c>
      <c r="S24" t="n">
        <v>1803</v>
      </c>
      <c r="T24" t="inlineStr">
        <is>
          <t>Yes</t>
        </is>
      </c>
      <c r="U24" t="inlineStr">
        <is>
          <t>No</t>
        </is>
      </c>
    </row>
    <row r="25">
      <c r="A25" t="inlineStr">
        <is>
          <t>2026-08-13</t>
        </is>
      </c>
      <c r="B25" t="inlineStr">
        <is>
          <t>22:50</t>
        </is>
      </c>
      <c r="C25" t="inlineStr">
        <is>
          <t>MGC</t>
        </is>
      </c>
      <c r="D25" t="inlineStr">
        <is>
          <t>Long</t>
        </is>
      </c>
      <c r="E25" t="n">
        <v>-66</v>
      </c>
      <c r="F25" t="inlineStr">
        <is>
          <t>down</t>
        </is>
      </c>
      <c r="G25" t="inlineStr">
        <is>
          <t>down</t>
        </is>
      </c>
      <c r="H25" t="inlineStr">
        <is>
          <t>down</t>
        </is>
      </c>
      <c r="I25" t="inlineStr">
        <is>
          <t>down</t>
        </is>
      </c>
      <c r="J25" t="n">
        <v>40</v>
      </c>
      <c r="K25" t="inlineStr">
        <is>
          <t>bear</t>
        </is>
      </c>
      <c r="L25" t="inlineStr">
        <is>
          <t>+</t>
        </is>
      </c>
      <c r="M25" t="n">
        <v>53.2</v>
      </c>
      <c r="N25" t="n">
        <v>5.88</v>
      </c>
      <c r="O25" t="n">
        <v>4413.25</v>
      </c>
      <c r="P25" t="inlineStr">
        <is>
          <t>below</t>
        </is>
      </c>
      <c r="Q25" t="n">
        <v>4431.23</v>
      </c>
      <c r="R25" t="n">
        <v>0.57</v>
      </c>
      <c r="S25" t="n">
        <v>-5048</v>
      </c>
      <c r="T25" t="inlineStr">
        <is>
          <t>No</t>
        </is>
      </c>
      <c r="U25" t="inlineStr">
        <is>
          <t>No</t>
        </is>
      </c>
    </row>
    <row r="26">
      <c r="A26" t="inlineStr">
        <is>
          <t>2026-08-13</t>
        </is>
      </c>
      <c r="B26" t="inlineStr">
        <is>
          <t>22:59</t>
        </is>
      </c>
      <c r="C26" t="inlineStr">
        <is>
          <t>MGC</t>
        </is>
      </c>
      <c r="D26" t="inlineStr">
        <is>
          <t>Short</t>
        </is>
      </c>
      <c r="E26" t="n">
        <v>-195</v>
      </c>
      <c r="F26" t="inlineStr">
        <is>
          <t>down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39.9</v>
      </c>
      <c r="K26" t="inlineStr">
        <is>
          <t>bear</t>
        </is>
      </c>
      <c r="L26" t="inlineStr">
        <is>
          <t>+</t>
        </is>
      </c>
      <c r="M26" t="n">
        <v>53.4</v>
      </c>
      <c r="N26" t="n">
        <v>5.72</v>
      </c>
      <c r="O26" t="n">
        <v>4413.12</v>
      </c>
      <c r="P26" t="inlineStr">
        <is>
          <t>below</t>
        </is>
      </c>
      <c r="Q26" t="n">
        <v>4431.23</v>
      </c>
      <c r="R26" t="n">
        <v>1.07</v>
      </c>
      <c r="S26" t="n">
        <v>-4888</v>
      </c>
      <c r="T26" t="inlineStr">
        <is>
          <t>Yes</t>
        </is>
      </c>
      <c r="U26" t="inlineStr">
        <is>
          <t>Yes</t>
        </is>
      </c>
    </row>
    <row r="27">
      <c r="A27" t="inlineStr">
        <is>
          <t>2026-08-14</t>
        </is>
      </c>
      <c r="B27" t="inlineStr">
        <is>
          <t>09:47</t>
        </is>
      </c>
      <c r="C27" t="inlineStr">
        <is>
          <t>MNQ</t>
        </is>
      </c>
      <c r="D27" t="inlineStr">
        <is>
          <t>Long</t>
        </is>
      </c>
      <c r="E27" t="n">
        <v>136.5</v>
      </c>
      <c r="F27" t="inlineStr">
        <is>
          <t>up</t>
        </is>
      </c>
      <c r="G27" t="inlineStr">
        <is>
          <t>up</t>
        </is>
      </c>
      <c r="H27" t="inlineStr">
        <is>
          <t>up</t>
        </is>
      </c>
      <c r="I27" t="inlineStr">
        <is>
          <t>down</t>
        </is>
      </c>
      <c r="J27" t="n">
        <v>46.8</v>
      </c>
      <c r="K27" t="inlineStr">
        <is>
          <t>bear</t>
        </is>
      </c>
      <c r="L27" t="inlineStr">
        <is>
          <t>-</t>
        </is>
      </c>
      <c r="M27" t="n">
        <v>18</v>
      </c>
      <c r="N27" t="n">
        <v>27.53</v>
      </c>
      <c r="O27" t="n">
        <v>30230.3</v>
      </c>
      <c r="P27" t="inlineStr">
        <is>
          <t>above</t>
        </is>
      </c>
      <c r="Q27" t="n">
        <v>30237.58</v>
      </c>
      <c r="R27" t="n">
        <v>0.98</v>
      </c>
      <c r="S27" t="n">
        <v>896</v>
      </c>
      <c r="T27" t="inlineStr">
        <is>
          <t>No</t>
        </is>
      </c>
      <c r="U27" t="inlineStr">
        <is>
          <t>Yes</t>
        </is>
      </c>
    </row>
    <row r="28">
      <c r="A28" t="inlineStr">
        <is>
          <t>2026-08-14</t>
        </is>
      </c>
      <c r="B28" t="inlineStr">
        <is>
          <t>09:57</t>
        </is>
      </c>
      <c r="C28" t="inlineStr">
        <is>
          <t>MNQ</t>
        </is>
      </c>
      <c r="D28" t="inlineStr">
        <is>
          <t>Long</t>
        </is>
      </c>
      <c r="E28" t="n">
        <v>27</v>
      </c>
      <c r="F28" t="inlineStr">
        <is>
          <t>up</t>
        </is>
      </c>
      <c r="G28" t="inlineStr">
        <is>
          <t>up</t>
        </is>
      </c>
      <c r="H28" t="inlineStr">
        <is>
          <t>up</t>
        </is>
      </c>
      <c r="I28" t="inlineStr">
        <is>
          <t>down</t>
        </is>
      </c>
      <c r="J28" t="n">
        <v>43.8</v>
      </c>
      <c r="K28" t="inlineStr">
        <is>
          <t>bear</t>
        </is>
      </c>
      <c r="L28" t="inlineStr">
        <is>
          <t>-</t>
        </is>
      </c>
      <c r="M28" t="n">
        <v>17</v>
      </c>
      <c r="N28" t="n">
        <v>29.86</v>
      </c>
      <c r="O28" t="n">
        <v>30231.85</v>
      </c>
      <c r="P28" t="inlineStr">
        <is>
          <t>below</t>
        </is>
      </c>
      <c r="Q28" t="n">
        <v>30229.28</v>
      </c>
      <c r="R28" t="n">
        <v>0.64</v>
      </c>
      <c r="S28" t="n">
        <v>-759</v>
      </c>
      <c r="T28" t="inlineStr">
        <is>
          <t>No</t>
        </is>
      </c>
      <c r="U28" t="inlineStr">
        <is>
          <t>Yes</t>
        </is>
      </c>
    </row>
    <row r="29">
      <c r="A29" t="inlineStr">
        <is>
          <t>2026-08-14</t>
        </is>
      </c>
      <c r="B29" t="inlineStr">
        <is>
          <t>11:58</t>
        </is>
      </c>
      <c r="C29" t="inlineStr">
        <is>
          <t>MNQ</t>
        </is>
      </c>
      <c r="D29" t="inlineStr">
        <is>
          <t>Short</t>
        </is>
      </c>
      <c r="E29" t="n">
        <v>-162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36.8</v>
      </c>
      <c r="K29" t="inlineStr">
        <is>
          <t>bear</t>
        </is>
      </c>
      <c r="L29" t="inlineStr">
        <is>
          <t>-</t>
        </is>
      </c>
      <c r="M29" t="n">
        <v>42.4</v>
      </c>
      <c r="N29" t="n">
        <v>32.23</v>
      </c>
      <c r="O29" t="n">
        <v>30166.8</v>
      </c>
      <c r="P29" t="inlineStr">
        <is>
          <t>below</t>
        </is>
      </c>
      <c r="Q29" t="n">
        <v>30239.55</v>
      </c>
      <c r="R29" t="n">
        <v>1</v>
      </c>
      <c r="S29" t="n">
        <v>-24836</v>
      </c>
      <c r="T29" t="inlineStr">
        <is>
          <t>Yes</t>
        </is>
      </c>
      <c r="U29" t="inlineStr">
        <is>
          <t>No</t>
        </is>
      </c>
    </row>
    <row r="30">
      <c r="A30" t="inlineStr">
        <is>
          <t>2026-08-14</t>
        </is>
      </c>
      <c r="B30" t="inlineStr">
        <is>
          <t>12:41</t>
        </is>
      </c>
      <c r="C30" t="inlineStr">
        <is>
          <t>MNQ</t>
        </is>
      </c>
      <c r="D30" t="inlineStr">
        <is>
          <t>Short</t>
        </is>
      </c>
      <c r="E30" t="n">
        <v>27</v>
      </c>
      <c r="F30" t="inlineStr">
        <is>
          <t>up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41.4</v>
      </c>
      <c r="K30" t="inlineStr">
        <is>
          <t>bear</t>
        </is>
      </c>
      <c r="L30" t="inlineStr">
        <is>
          <t>+</t>
        </is>
      </c>
      <c r="M30" t="n">
        <v>35</v>
      </c>
      <c r="N30" t="n">
        <v>27.31</v>
      </c>
      <c r="O30" t="n">
        <v>30155.18</v>
      </c>
      <c r="P30" t="inlineStr">
        <is>
          <t>below</t>
        </is>
      </c>
      <c r="Q30" t="n">
        <v>30239.55</v>
      </c>
      <c r="R30" t="n">
        <v>0.71</v>
      </c>
      <c r="S30" t="n">
        <v>-26489</v>
      </c>
      <c r="T30" t="inlineStr">
        <is>
          <t>Yes</t>
        </is>
      </c>
      <c r="U30" t="inlineStr">
        <is>
          <t>No</t>
        </is>
      </c>
    </row>
    <row r="31">
      <c r="A31" t="inlineStr">
        <is>
          <t>2026-08-14</t>
        </is>
      </c>
      <c r="B31" t="inlineStr">
        <is>
          <t>12:46</t>
        </is>
      </c>
      <c r="C31" t="inlineStr">
        <is>
          <t>MNQ</t>
        </is>
      </c>
      <c r="D31" t="inlineStr">
        <is>
          <t>Long</t>
        </is>
      </c>
      <c r="E31" t="n">
        <v>42.5</v>
      </c>
      <c r="F31" t="inlineStr">
        <is>
          <t>up</t>
        </is>
      </c>
      <c r="G31" t="inlineStr">
        <is>
          <t>down</t>
        </is>
      </c>
      <c r="H31" t="inlineStr">
        <is>
          <t>down</t>
        </is>
      </c>
      <c r="I31" t="inlineStr">
        <is>
          <t>down</t>
        </is>
      </c>
      <c r="J31" t="n">
        <v>43.5</v>
      </c>
      <c r="K31" t="inlineStr">
        <is>
          <t>bear</t>
        </is>
      </c>
      <c r="L31" t="inlineStr">
        <is>
          <t>+</t>
        </is>
      </c>
      <c r="M31" t="n">
        <v>34.7</v>
      </c>
      <c r="N31" t="n">
        <v>26.45</v>
      </c>
      <c r="O31" t="n">
        <v>30154.3</v>
      </c>
      <c r="P31" t="inlineStr">
        <is>
          <t>below</t>
        </is>
      </c>
      <c r="Q31" t="n">
        <v>30239.55</v>
      </c>
      <c r="R31" t="n">
        <v>0.66</v>
      </c>
      <c r="S31" t="n">
        <v>-24912</v>
      </c>
      <c r="T31" t="inlineStr">
        <is>
          <t>No</t>
        </is>
      </c>
      <c r="U31" t="inlineStr">
        <is>
          <t>Yes</t>
        </is>
      </c>
    </row>
    <row r="32">
      <c r="A32" t="inlineStr">
        <is>
          <t>2026-08-14</t>
        </is>
      </c>
      <c r="B32" t="inlineStr">
        <is>
          <t>12:50</t>
        </is>
      </c>
      <c r="C32" t="inlineStr">
        <is>
          <t>MNQ</t>
        </is>
      </c>
      <c r="D32" t="inlineStr">
        <is>
          <t>Long</t>
        </is>
      </c>
      <c r="E32" t="n">
        <v>35</v>
      </c>
      <c r="F32" t="inlineStr">
        <is>
          <t>up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40.7</v>
      </c>
      <c r="K32" t="inlineStr">
        <is>
          <t>bear</t>
        </is>
      </c>
      <c r="L32" t="inlineStr">
        <is>
          <t>+</t>
        </is>
      </c>
      <c r="M32" t="n">
        <v>34.6</v>
      </c>
      <c r="N32" t="n">
        <v>25.9</v>
      </c>
      <c r="O32" t="n">
        <v>30153.36</v>
      </c>
      <c r="P32" t="inlineStr">
        <is>
          <t>below</t>
        </is>
      </c>
      <c r="Q32" t="n">
        <v>30239.55</v>
      </c>
      <c r="R32" t="n">
        <v>0.76</v>
      </c>
      <c r="S32" t="n">
        <v>-25695</v>
      </c>
      <c r="T32" t="inlineStr">
        <is>
          <t>No</t>
        </is>
      </c>
      <c r="U32" t="inlineStr">
        <is>
          <t>Yes</t>
        </is>
      </c>
    </row>
    <row r="33">
      <c r="A33" t="inlineStr">
        <is>
          <t>2026-08-17</t>
        </is>
      </c>
      <c r="B33" t="inlineStr">
        <is>
          <t>09:55</t>
        </is>
      </c>
      <c r="C33" t="inlineStr">
        <is>
          <t>MNQ</t>
        </is>
      </c>
      <c r="D33" t="inlineStr">
        <is>
          <t>Long</t>
        </is>
      </c>
      <c r="E33" t="n">
        <v>-124.5</v>
      </c>
      <c r="F33" t="inlineStr">
        <is>
          <t>up</t>
        </is>
      </c>
      <c r="G33" t="inlineStr">
        <is>
          <t>up</t>
        </is>
      </c>
      <c r="H33" t="inlineStr">
        <is>
          <t>down</t>
        </is>
      </c>
      <c r="I33" t="inlineStr">
        <is>
          <t>down</t>
        </is>
      </c>
      <c r="J33" t="n">
        <v>50.9</v>
      </c>
      <c r="K33" t="inlineStr">
        <is>
          <t>bear</t>
        </is>
      </c>
      <c r="L33" t="inlineStr">
        <is>
          <t>+</t>
        </is>
      </c>
      <c r="M33" t="n">
        <v>25.6</v>
      </c>
      <c r="N33" t="n">
        <v>32.47</v>
      </c>
      <c r="O33" t="n">
        <v>30212.48</v>
      </c>
      <c r="P33" t="inlineStr">
        <is>
          <t>above</t>
        </is>
      </c>
      <c r="Q33" t="n">
        <v>30201.93</v>
      </c>
      <c r="R33" t="n">
        <v>0.63</v>
      </c>
      <c r="S33" t="n">
        <v>-10161</v>
      </c>
      <c r="T33" t="inlineStr">
        <is>
          <t>No</t>
        </is>
      </c>
      <c r="U33" t="inlineStr">
        <is>
          <t>Yes</t>
        </is>
      </c>
    </row>
    <row r="34">
      <c r="A34" t="inlineStr">
        <is>
          <t>2026-08-17</t>
        </is>
      </c>
      <c r="B34" t="inlineStr">
        <is>
          <t>10:09</t>
        </is>
      </c>
      <c r="C34" t="inlineStr">
        <is>
          <t>MGC</t>
        </is>
      </c>
      <c r="D34" t="inlineStr">
        <is>
          <t>Long</t>
        </is>
      </c>
      <c r="E34" t="n">
        <v>240</v>
      </c>
      <c r="F34" t="inlineStr">
        <is>
          <t>up</t>
        </is>
      </c>
      <c r="G34" t="inlineStr">
        <is>
          <t>up</t>
        </is>
      </c>
      <c r="H34" t="inlineStr">
        <is>
          <t>up</t>
        </is>
      </c>
      <c r="I34" t="inlineStr">
        <is>
          <t>up</t>
        </is>
      </c>
      <c r="J34" t="n">
        <v>64.8</v>
      </c>
      <c r="K34" t="inlineStr">
        <is>
          <t>bull</t>
        </is>
      </c>
      <c r="L34" t="inlineStr">
        <is>
          <t>+</t>
        </is>
      </c>
      <c r="M34" t="n">
        <v>27.7</v>
      </c>
      <c r="N34" t="n">
        <v>6.23</v>
      </c>
      <c r="O34" t="n">
        <v>4456.85</v>
      </c>
      <c r="P34" t="inlineStr">
        <is>
          <t>above</t>
        </is>
      </c>
      <c r="Q34" t="n">
        <v>4457.35</v>
      </c>
      <c r="R34" t="n">
        <v>0.57</v>
      </c>
      <c r="S34" t="n">
        <v>733</v>
      </c>
      <c r="T34" t="inlineStr">
        <is>
          <t>Yes</t>
        </is>
      </c>
      <c r="U34" t="inlineStr">
        <is>
          <t>Yes</t>
        </is>
      </c>
    </row>
    <row r="35">
      <c r="A35" t="inlineStr">
        <is>
          <t>2026-08-17</t>
        </is>
      </c>
      <c r="B35" t="inlineStr">
        <is>
          <t>11:51</t>
        </is>
      </c>
      <c r="C35" t="inlineStr">
        <is>
          <t>MNQ</t>
        </is>
      </c>
      <c r="D35" t="inlineStr">
        <is>
          <t>Short</t>
        </is>
      </c>
      <c r="E35" t="n">
        <v>97.5</v>
      </c>
      <c r="F35" t="inlineStr">
        <is>
          <t>up</t>
        </is>
      </c>
      <c r="G35" t="inlineStr">
        <is>
          <t>up</t>
        </is>
      </c>
      <c r="H35" t="inlineStr">
        <is>
          <t>down</t>
        </is>
      </c>
      <c r="I35" t="inlineStr">
        <is>
          <t>up</t>
        </is>
      </c>
      <c r="J35" t="n">
        <v>52.7</v>
      </c>
      <c r="K35" t="inlineStr">
        <is>
          <t>bull</t>
        </is>
      </c>
      <c r="L35" t="inlineStr">
        <is>
          <t>-</t>
        </is>
      </c>
      <c r="M35" t="n">
        <v>17.1</v>
      </c>
      <c r="N35" t="n">
        <v>29.13</v>
      </c>
      <c r="O35" t="n">
        <v>30219.99</v>
      </c>
      <c r="P35" t="inlineStr">
        <is>
          <t>above</t>
        </is>
      </c>
      <c r="Q35" t="n">
        <v>30203.19</v>
      </c>
      <c r="R35" t="n">
        <v>0.91</v>
      </c>
      <c r="S35" t="n">
        <v>-4114</v>
      </c>
      <c r="T35" t="inlineStr">
        <is>
          <t>No</t>
        </is>
      </c>
      <c r="U35" t="inlineStr">
        <is>
          <t>No</t>
        </is>
      </c>
    </row>
    <row r="36">
      <c r="A36" t="inlineStr">
        <is>
          <t>2026-08-18</t>
        </is>
      </c>
      <c r="B36" t="inlineStr">
        <is>
          <t>10:00</t>
        </is>
      </c>
      <c r="C36" t="inlineStr">
        <is>
          <t>MGC</t>
        </is>
      </c>
      <c r="D36" t="inlineStr">
        <is>
          <t>Short</t>
        </is>
      </c>
      <c r="E36" t="n">
        <v>-159</v>
      </c>
      <c r="F36" t="inlineStr">
        <is>
          <t>flat</t>
        </is>
      </c>
      <c r="G36" t="inlineStr">
        <is>
          <t>down</t>
        </is>
      </c>
      <c r="H36" t="inlineStr">
        <is>
          <t>down</t>
        </is>
      </c>
      <c r="I36" t="inlineStr">
        <is>
          <t>up</t>
        </is>
      </c>
      <c r="J36" t="n">
        <v>59.5</v>
      </c>
      <c r="K36" t="inlineStr">
        <is>
          <t>bull</t>
        </is>
      </c>
      <c r="L36" t="inlineStr">
        <is>
          <t>+</t>
        </is>
      </c>
      <c r="M36" t="n">
        <v>19.5</v>
      </c>
      <c r="N36" t="n">
        <v>7.37</v>
      </c>
      <c r="O36" t="n">
        <v>4452.09</v>
      </c>
      <c r="P36" t="inlineStr">
        <is>
          <t>above</t>
        </is>
      </c>
      <c r="Q36" t="n">
        <v>4442.54</v>
      </c>
      <c r="R36" t="n">
        <v>1.51</v>
      </c>
      <c r="S36" t="n">
        <v>5145</v>
      </c>
      <c r="T36" t="inlineStr">
        <is>
          <t>No</t>
        </is>
      </c>
      <c r="U36" t="inlineStr">
        <is>
          <t>No</t>
        </is>
      </c>
    </row>
    <row r="37">
      <c r="A37" t="inlineStr">
        <is>
          <t>2026-08-18</t>
        </is>
      </c>
      <c r="B37" t="inlineStr">
        <is>
          <t>10:08</t>
        </is>
      </c>
      <c r="C37" t="inlineStr">
        <is>
          <t>MGC</t>
        </is>
      </c>
      <c r="D37" t="inlineStr">
        <is>
          <t>Long</t>
        </is>
      </c>
      <c r="E37" t="n">
        <v>-180</v>
      </c>
      <c r="F37" t="inlineStr">
        <is>
          <t>flat</t>
        </is>
      </c>
      <c r="G37" t="inlineStr">
        <is>
          <t>down</t>
        </is>
      </c>
      <c r="H37" t="inlineStr">
        <is>
          <t>down</t>
        </is>
      </c>
      <c r="I37" t="inlineStr">
        <is>
          <t>up</t>
        </is>
      </c>
      <c r="J37" t="n">
        <v>53.3</v>
      </c>
      <c r="K37" t="inlineStr">
        <is>
          <t>bull</t>
        </is>
      </c>
      <c r="L37" t="inlineStr">
        <is>
          <t>+</t>
        </is>
      </c>
      <c r="M37" t="n">
        <v>18.5</v>
      </c>
      <c r="N37" t="n">
        <v>7.33</v>
      </c>
      <c r="O37" t="n">
        <v>4452.41</v>
      </c>
      <c r="P37" t="inlineStr">
        <is>
          <t>above</t>
        </is>
      </c>
      <c r="Q37" t="n">
        <v>4442.54</v>
      </c>
      <c r="R37" t="n">
        <v>0.77</v>
      </c>
      <c r="S37" t="n">
        <v>4442</v>
      </c>
      <c r="T37" t="inlineStr">
        <is>
          <t>No</t>
        </is>
      </c>
      <c r="U37" t="inlineStr">
        <is>
          <t>No</t>
        </is>
      </c>
    </row>
    <row r="38">
      <c r="A38" t="inlineStr">
        <is>
          <t>2026-08-18</t>
        </is>
      </c>
      <c r="B38" t="inlineStr">
        <is>
          <t>10:16</t>
        </is>
      </c>
      <c r="C38" t="inlineStr">
        <is>
          <t>MNQ</t>
        </is>
      </c>
      <c r="D38" t="inlineStr">
        <is>
          <t>Short</t>
        </is>
      </c>
      <c r="E38" t="n">
        <v>-80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38.3</v>
      </c>
      <c r="K38" t="inlineStr">
        <is>
          <t>bear</t>
        </is>
      </c>
      <c r="L38" t="inlineStr">
        <is>
          <t>-</t>
        </is>
      </c>
      <c r="M38" t="n">
        <v>11.7</v>
      </c>
      <c r="N38" t="n">
        <v>45.4</v>
      </c>
      <c r="O38" t="n">
        <v>29665.83</v>
      </c>
      <c r="P38" t="inlineStr">
        <is>
          <t>below</t>
        </is>
      </c>
      <c r="Q38" t="n">
        <v>29691.77</v>
      </c>
      <c r="R38" t="n">
        <v>1.13</v>
      </c>
      <c r="S38" t="n">
        <v>-16698</v>
      </c>
      <c r="T38" t="inlineStr">
        <is>
          <t>Yes</t>
        </is>
      </c>
      <c r="U38" t="inlineStr">
        <is>
          <t>Yes</t>
        </is>
      </c>
    </row>
    <row r="39">
      <c r="A39" t="inlineStr">
        <is>
          <t>2026-08-18</t>
        </is>
      </c>
      <c r="B39" t="inlineStr">
        <is>
          <t>10:21</t>
        </is>
      </c>
      <c r="C39" t="inlineStr">
        <is>
          <t>MNQ</t>
        </is>
      </c>
      <c r="D39" t="inlineStr">
        <is>
          <t>Short</t>
        </is>
      </c>
      <c r="E39" t="n">
        <v>-295.5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43.2</v>
      </c>
      <c r="K39" t="inlineStr">
        <is>
          <t>bear</t>
        </is>
      </c>
      <c r="L39" t="inlineStr">
        <is>
          <t>-</t>
        </is>
      </c>
      <c r="M39" t="n">
        <v>11.2</v>
      </c>
      <c r="N39" t="n">
        <v>47.03</v>
      </c>
      <c r="O39" t="n">
        <v>29663.28</v>
      </c>
      <c r="P39" t="inlineStr">
        <is>
          <t>below</t>
        </is>
      </c>
      <c r="Q39" t="n">
        <v>29691.77</v>
      </c>
      <c r="R39" t="n">
        <v>1.3</v>
      </c>
      <c r="S39" t="n">
        <v>-12869</v>
      </c>
      <c r="T39" t="inlineStr">
        <is>
          <t>Yes</t>
        </is>
      </c>
      <c r="U39" t="inlineStr">
        <is>
          <t>Yes</t>
        </is>
      </c>
    </row>
    <row r="40">
      <c r="A40" t="inlineStr">
        <is>
          <t>2026-08-18</t>
        </is>
      </c>
      <c r="B40" t="inlineStr">
        <is>
          <t>10:48</t>
        </is>
      </c>
      <c r="C40" t="inlineStr">
        <is>
          <t>MGC</t>
        </is>
      </c>
      <c r="D40" t="inlineStr">
        <is>
          <t>Short</t>
        </is>
      </c>
      <c r="E40" t="n">
        <v>194</v>
      </c>
      <c r="F40" t="inlineStr">
        <is>
          <t>flat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45</v>
      </c>
      <c r="K40" t="inlineStr">
        <is>
          <t>bear</t>
        </is>
      </c>
      <c r="L40" t="inlineStr">
        <is>
          <t>-</t>
        </is>
      </c>
      <c r="M40" t="n">
        <v>17.3</v>
      </c>
      <c r="N40" t="n">
        <v>8</v>
      </c>
      <c r="O40" t="n">
        <v>4449.95</v>
      </c>
      <c r="P40" t="inlineStr">
        <is>
          <t>below</t>
        </is>
      </c>
      <c r="Q40" t="n">
        <v>4442.54</v>
      </c>
      <c r="R40" t="n">
        <v>0.97</v>
      </c>
      <c r="S40" t="n">
        <v>2379</v>
      </c>
      <c r="T40" t="inlineStr">
        <is>
          <t>Yes</t>
        </is>
      </c>
      <c r="U40" t="inlineStr">
        <is>
          <t>No</t>
        </is>
      </c>
    </row>
    <row r="41">
      <c r="A41" t="inlineStr">
        <is>
          <t>2026-08-19</t>
        </is>
      </c>
      <c r="B41" t="inlineStr">
        <is>
          <t>09:43</t>
        </is>
      </c>
      <c r="C41" t="inlineStr">
        <is>
          <t>MNQ</t>
        </is>
      </c>
      <c r="D41" t="inlineStr">
        <is>
          <t>Short</t>
        </is>
      </c>
      <c r="E41" t="n">
        <v>427.5</v>
      </c>
      <c r="F41" t="inlineStr">
        <is>
          <t>down</t>
        </is>
      </c>
      <c r="G41" t="inlineStr">
        <is>
          <t>up</t>
        </is>
      </c>
      <c r="H41" t="inlineStr">
        <is>
          <t>up</t>
        </is>
      </c>
      <c r="I41" t="inlineStr">
        <is>
          <t>down</t>
        </is>
      </c>
      <c r="J41" t="n">
        <v>45.7</v>
      </c>
      <c r="K41" t="inlineStr">
        <is>
          <t>bull</t>
        </is>
      </c>
      <c r="L41" t="inlineStr">
        <is>
          <t>-</t>
        </is>
      </c>
      <c r="M41" t="n">
        <v>35.4</v>
      </c>
      <c r="N41" t="n">
        <v>44.56</v>
      </c>
      <c r="O41" t="n">
        <v>29645.48</v>
      </c>
      <c r="P41" t="inlineStr">
        <is>
          <t>below</t>
        </is>
      </c>
      <c r="Q41" t="n">
        <v>29694.91</v>
      </c>
      <c r="R41" t="n">
        <v>1.37</v>
      </c>
      <c r="S41" t="n">
        <v>-16521</v>
      </c>
      <c r="T41" t="inlineStr">
        <is>
          <t>No</t>
        </is>
      </c>
      <c r="U41" t="inlineStr">
        <is>
          <t>Yes</t>
        </is>
      </c>
    </row>
    <row r="42">
      <c r="A42" t="inlineStr">
        <is>
          <t>2026-08-19</t>
        </is>
      </c>
      <c r="B42" t="inlineStr">
        <is>
          <t>12:33</t>
        </is>
      </c>
      <c r="C42" t="inlineStr">
        <is>
          <t>MNQ</t>
        </is>
      </c>
      <c r="D42" t="inlineStr">
        <is>
          <t>Short</t>
        </is>
      </c>
      <c r="E42" t="n">
        <v>46.5</v>
      </c>
      <c r="F42" t="inlineStr">
        <is>
          <t>down</t>
        </is>
      </c>
      <c r="G42" t="inlineStr">
        <is>
          <t>up</t>
        </is>
      </c>
      <c r="H42" t="inlineStr">
        <is>
          <t>down</t>
        </is>
      </c>
      <c r="I42" t="inlineStr">
        <is>
          <t>up</t>
        </is>
      </c>
      <c r="J42" t="n">
        <v>52.1</v>
      </c>
      <c r="K42" t="inlineStr">
        <is>
          <t>bull</t>
        </is>
      </c>
      <c r="L42" t="inlineStr">
        <is>
          <t>+</t>
        </is>
      </c>
      <c r="M42" t="n">
        <v>14</v>
      </c>
      <c r="N42" t="n">
        <v>39.1</v>
      </c>
      <c r="O42" t="n">
        <v>29547.53</v>
      </c>
      <c r="P42" t="inlineStr">
        <is>
          <t>above</t>
        </is>
      </c>
      <c r="Q42" t="n">
        <v>29591.36</v>
      </c>
      <c r="R42" t="n">
        <v>0.73</v>
      </c>
      <c r="S42" t="n">
        <v>-19271</v>
      </c>
      <c r="T42" t="inlineStr">
        <is>
          <t>No</t>
        </is>
      </c>
      <c r="U42" t="inlineStr">
        <is>
          <t>Yes</t>
        </is>
      </c>
    </row>
    <row r="43">
      <c r="A43" t="inlineStr">
        <is>
          <t>2026-08-19</t>
        </is>
      </c>
      <c r="B43" t="inlineStr">
        <is>
          <t>14:34</t>
        </is>
      </c>
      <c r="C43" t="inlineStr">
        <is>
          <t>MGC</t>
        </is>
      </c>
      <c r="D43" t="inlineStr">
        <is>
          <t>Short</t>
        </is>
      </c>
      <c r="E43" t="n">
        <v>-207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down</t>
        </is>
      </c>
      <c r="J43" t="n">
        <v>42.1</v>
      </c>
      <c r="K43" t="inlineStr">
        <is>
          <t>bear</t>
        </is>
      </c>
      <c r="L43" t="inlineStr">
        <is>
          <t>-</t>
        </is>
      </c>
      <c r="M43" t="n">
        <v>16.9</v>
      </c>
      <c r="N43" t="n">
        <v>5.75</v>
      </c>
      <c r="O43" t="n">
        <v>4537.68</v>
      </c>
      <c r="P43" t="inlineStr">
        <is>
          <t>above</t>
        </is>
      </c>
      <c r="Q43" t="n">
        <v>4542.69</v>
      </c>
      <c r="R43" t="n">
        <v>10.78</v>
      </c>
      <c r="S43" t="n">
        <v>7624</v>
      </c>
      <c r="T43" t="inlineStr">
        <is>
          <t>No</t>
        </is>
      </c>
      <c r="U43" t="inlineStr">
        <is>
          <t>No</t>
        </is>
      </c>
    </row>
    <row r="44">
      <c r="A44" t="inlineStr">
        <is>
          <t>2026-08-19</t>
        </is>
      </c>
      <c r="B44" t="inlineStr">
        <is>
          <t>15:00</t>
        </is>
      </c>
      <c r="C44" t="inlineStr">
        <is>
          <t>MNQ</t>
        </is>
      </c>
      <c r="D44" t="inlineStr">
        <is>
          <t>Short</t>
        </is>
      </c>
      <c r="E44" t="n">
        <v>-120</v>
      </c>
      <c r="F44" t="inlineStr">
        <is>
          <t>down</t>
        </is>
      </c>
      <c r="G44" t="inlineStr">
        <is>
          <t>up</t>
        </is>
      </c>
      <c r="H44" t="inlineStr">
        <is>
          <t>down</t>
        </is>
      </c>
      <c r="I44" t="inlineStr">
        <is>
          <t>down</t>
        </is>
      </c>
      <c r="J44" t="n">
        <v>47.9</v>
      </c>
      <c r="K44" t="inlineStr">
        <is>
          <t>bear</t>
        </is>
      </c>
      <c r="L44" t="inlineStr">
        <is>
          <t>+</t>
        </is>
      </c>
      <c r="M44" t="n">
        <v>14.6</v>
      </c>
      <c r="N44" t="n">
        <v>29.16</v>
      </c>
      <c r="O44" t="n">
        <v>29547.31</v>
      </c>
      <c r="P44" t="inlineStr">
        <is>
          <t>below</t>
        </is>
      </c>
      <c r="Q44" t="n">
        <v>29545.49</v>
      </c>
      <c r="R44" t="n">
        <v>0.86</v>
      </c>
      <c r="S44" t="n">
        <v>-30960</v>
      </c>
      <c r="T44" t="inlineStr">
        <is>
          <t>No</t>
        </is>
      </c>
      <c r="U44" t="inlineStr">
        <is>
          <t>Yes</t>
        </is>
      </c>
    </row>
    <row r="45">
      <c r="A45" t="inlineStr">
        <is>
          <t>2026-08-20</t>
        </is>
      </c>
      <c r="B45" t="inlineStr">
        <is>
          <t>09:51</t>
        </is>
      </c>
      <c r="C45" t="inlineStr">
        <is>
          <t>MGC</t>
        </is>
      </c>
      <c r="D45" t="inlineStr">
        <is>
          <t>Long</t>
        </is>
      </c>
      <c r="E45" t="n">
        <v>656</v>
      </c>
      <c r="F45" t="inlineStr">
        <is>
          <t>up</t>
        </is>
      </c>
      <c r="G45" t="inlineStr">
        <is>
          <t>up</t>
        </is>
      </c>
      <c r="H45" t="inlineStr">
        <is>
          <t>up</t>
        </is>
      </c>
      <c r="I45" t="inlineStr">
        <is>
          <t>up</t>
        </is>
      </c>
      <c r="J45" t="n">
        <v>59.8</v>
      </c>
      <c r="K45" t="inlineStr">
        <is>
          <t>bull</t>
        </is>
      </c>
      <c r="L45" t="inlineStr">
        <is>
          <t>+</t>
        </is>
      </c>
      <c r="M45" t="n">
        <v>23.6</v>
      </c>
      <c r="N45" t="n">
        <v>7.27</v>
      </c>
      <c r="O45" t="n">
        <v>4535.72</v>
      </c>
      <c r="P45" t="inlineStr">
        <is>
          <t>above</t>
        </is>
      </c>
      <c r="Q45" t="n">
        <v>4535.01</v>
      </c>
      <c r="R45" t="n">
        <v>0.89</v>
      </c>
      <c r="S45" t="n">
        <v>3823</v>
      </c>
      <c r="T45" t="inlineStr">
        <is>
          <t>Yes</t>
        </is>
      </c>
      <c r="U45" t="inlineStr">
        <is>
          <t>Yes</t>
        </is>
      </c>
    </row>
    <row r="46">
      <c r="A46" t="inlineStr">
        <is>
          <t>2026-08-20</t>
        </is>
      </c>
      <c r="B46" t="inlineStr">
        <is>
          <t>10:05</t>
        </is>
      </c>
      <c r="C46" t="inlineStr">
        <is>
          <t>MNQ</t>
        </is>
      </c>
      <c r="D46" t="inlineStr">
        <is>
          <t>Long</t>
        </is>
      </c>
      <c r="E46" t="n">
        <v>-25</v>
      </c>
      <c r="F46" t="inlineStr">
        <is>
          <t>down</t>
        </is>
      </c>
      <c r="G46" t="inlineStr">
        <is>
          <t>down</t>
        </is>
      </c>
      <c r="H46" t="inlineStr">
        <is>
          <t>up</t>
        </is>
      </c>
      <c r="I46" t="inlineStr">
        <is>
          <t>up</t>
        </is>
      </c>
      <c r="J46" t="n">
        <v>53.1</v>
      </c>
      <c r="K46" t="inlineStr">
        <is>
          <t>bull</t>
        </is>
      </c>
      <c r="L46" t="inlineStr">
        <is>
          <t>+</t>
        </is>
      </c>
      <c r="M46" t="n">
        <v>23.5</v>
      </c>
      <c r="N46" t="n">
        <v>54.47</v>
      </c>
      <c r="O46" t="n">
        <v>29386.98</v>
      </c>
      <c r="P46" t="inlineStr">
        <is>
          <t>below</t>
        </is>
      </c>
      <c r="Q46" t="n">
        <v>29355.18</v>
      </c>
      <c r="R46" t="n">
        <v>1.03</v>
      </c>
      <c r="S46" t="n">
        <v>16090</v>
      </c>
      <c r="T46" t="inlineStr">
        <is>
          <t>No</t>
        </is>
      </c>
      <c r="U46" t="inlineStr">
        <is>
          <t>No</t>
        </is>
      </c>
    </row>
    <row r="47">
      <c r="A47" t="inlineStr">
        <is>
          <t>2026-08-21</t>
        </is>
      </c>
      <c r="B47" t="inlineStr">
        <is>
          <t>09:52</t>
        </is>
      </c>
      <c r="C47" t="inlineStr">
        <is>
          <t>MGC</t>
        </is>
      </c>
      <c r="D47" t="inlineStr">
        <is>
          <t>Long</t>
        </is>
      </c>
      <c r="E47" t="n">
        <v>542</v>
      </c>
      <c r="F47" t="inlineStr">
        <is>
          <t>up</t>
        </is>
      </c>
      <c r="G47" t="inlineStr">
        <is>
          <t>up</t>
        </is>
      </c>
      <c r="H47" t="inlineStr">
        <is>
          <t>up</t>
        </is>
      </c>
      <c r="I47" t="inlineStr">
        <is>
          <t>down</t>
        </is>
      </c>
      <c r="J47" t="n">
        <v>47</v>
      </c>
      <c r="K47" t="inlineStr">
        <is>
          <t>bear</t>
        </is>
      </c>
      <c r="L47" t="inlineStr">
        <is>
          <t>+</t>
        </is>
      </c>
      <c r="M47" t="n">
        <v>22.9</v>
      </c>
      <c r="N47" t="n">
        <v>8.48</v>
      </c>
      <c r="O47" t="n">
        <v>4641.08</v>
      </c>
      <c r="P47" t="inlineStr">
        <is>
          <t>below</t>
        </is>
      </c>
      <c r="Q47" t="n">
        <v>4638.84</v>
      </c>
      <c r="R47" t="n">
        <v>1.4</v>
      </c>
      <c r="S47" t="n">
        <v>247</v>
      </c>
      <c r="T47" t="inlineStr">
        <is>
          <t>No</t>
        </is>
      </c>
      <c r="U47" t="inlineStr">
        <is>
          <t>Yes</t>
        </is>
      </c>
    </row>
    <row r="48">
      <c r="A48" t="inlineStr">
        <is>
          <t>2026-08-23</t>
        </is>
      </c>
      <c r="B48" t="inlineStr">
        <is>
          <t>19:35</t>
        </is>
      </c>
      <c r="C48" t="inlineStr">
        <is>
          <t>MGC</t>
        </is>
      </c>
      <c r="D48" t="inlineStr">
        <is>
          <t>Long</t>
        </is>
      </c>
      <c r="E48" t="n">
        <v>-62</v>
      </c>
      <c r="F48" t="inlineStr">
        <is>
          <t>up</t>
        </is>
      </c>
      <c r="G48" t="inlineStr">
        <is>
          <t>up</t>
        </is>
      </c>
      <c r="H48" t="inlineStr">
        <is>
          <t>up</t>
        </is>
      </c>
      <c r="I48" t="inlineStr">
        <is>
          <t>up</t>
        </is>
      </c>
      <c r="J48" t="n">
        <v>51.3</v>
      </c>
      <c r="K48" t="inlineStr">
        <is>
          <t>bear</t>
        </is>
      </c>
      <c r="L48" t="inlineStr">
        <is>
          <t>+</t>
        </is>
      </c>
      <c r="M48" t="n">
        <v>17.6</v>
      </c>
      <c r="N48" t="n">
        <v>4.28</v>
      </c>
      <c r="O48" t="n">
        <v>4671.8</v>
      </c>
      <c r="P48" t="inlineStr">
        <is>
          <t>below</t>
        </is>
      </c>
      <c r="Q48" t="n">
        <v>4676.31</v>
      </c>
      <c r="R48" t="n">
        <v>2.21</v>
      </c>
      <c r="S48" t="n">
        <v>-749</v>
      </c>
      <c r="T48" t="inlineStr">
        <is>
          <t>Yes</t>
        </is>
      </c>
      <c r="U48" t="inlineStr">
        <is>
          <t>Yes</t>
        </is>
      </c>
    </row>
    <row r="49">
      <c r="A49" t="inlineStr">
        <is>
          <t>2026-08-23</t>
        </is>
      </c>
      <c r="B49" t="inlineStr">
        <is>
          <t>19:46</t>
        </is>
      </c>
      <c r="C49" t="inlineStr">
        <is>
          <t>MGC</t>
        </is>
      </c>
      <c r="D49" t="inlineStr">
        <is>
          <t>Long</t>
        </is>
      </c>
      <c r="E49" t="n">
        <v>120</v>
      </c>
      <c r="F49" t="inlineStr">
        <is>
          <t>up</t>
        </is>
      </c>
      <c r="G49" t="inlineStr">
        <is>
          <t>up</t>
        </is>
      </c>
      <c r="H49" t="inlineStr">
        <is>
          <t>up</t>
        </is>
      </c>
      <c r="I49" t="inlineStr">
        <is>
          <t>up</t>
        </is>
      </c>
      <c r="J49" t="n">
        <v>53</v>
      </c>
      <c r="K49" t="inlineStr">
        <is>
          <t>bear</t>
        </is>
      </c>
      <c r="L49" t="inlineStr">
        <is>
          <t>+</t>
        </is>
      </c>
      <c r="M49" t="n">
        <v>15.3</v>
      </c>
      <c r="N49" t="n">
        <v>4.64</v>
      </c>
      <c r="O49" t="n">
        <v>4671.43</v>
      </c>
      <c r="P49" t="inlineStr">
        <is>
          <t>below</t>
        </is>
      </c>
      <c r="Q49" t="n">
        <v>4676.31</v>
      </c>
      <c r="R49" t="n">
        <v>1.78</v>
      </c>
      <c r="S49" t="n">
        <v>-780</v>
      </c>
      <c r="T49" t="inlineStr">
        <is>
          <t>Yes</t>
        </is>
      </c>
      <c r="U49" t="inlineStr">
        <is>
          <t>Yes</t>
        </is>
      </c>
    </row>
    <row r="50">
      <c r="A50" t="inlineStr">
        <is>
          <t>2026-08-23</t>
        </is>
      </c>
      <c r="B50" t="inlineStr">
        <is>
          <t>20:23</t>
        </is>
      </c>
      <c r="C50" t="inlineStr">
        <is>
          <t>MGC</t>
        </is>
      </c>
      <c r="D50" t="inlineStr">
        <is>
          <t>Long</t>
        </is>
      </c>
      <c r="E50" t="n">
        <v>-61</v>
      </c>
      <c r="F50" t="inlineStr">
        <is>
          <t>up</t>
        </is>
      </c>
      <c r="G50" t="inlineStr">
        <is>
          <t>up</t>
        </is>
      </c>
      <c r="H50" t="inlineStr">
        <is>
          <t>up</t>
        </is>
      </c>
      <c r="I50" t="inlineStr">
        <is>
          <t>down</t>
        </is>
      </c>
      <c r="J50" t="n">
        <v>45.7</v>
      </c>
      <c r="K50" t="inlineStr">
        <is>
          <t>bull</t>
        </is>
      </c>
      <c r="L50" t="inlineStr">
        <is>
          <t>+</t>
        </is>
      </c>
      <c r="M50" t="n">
        <v>21.8</v>
      </c>
      <c r="N50" t="n">
        <v>6.88</v>
      </c>
      <c r="O50" t="n">
        <v>4678.24</v>
      </c>
      <c r="P50" t="inlineStr">
        <is>
          <t>below</t>
        </is>
      </c>
      <c r="Q50" t="n">
        <v>4676.12</v>
      </c>
      <c r="R50" t="n">
        <v>3.85</v>
      </c>
      <c r="S50" t="n">
        <v>-872</v>
      </c>
      <c r="T50" t="inlineStr">
        <is>
          <t>No</t>
        </is>
      </c>
      <c r="U50" t="inlineStr">
        <is>
          <t>Yes</t>
        </is>
      </c>
    </row>
    <row r="51">
      <c r="A51" t="inlineStr">
        <is>
          <t>2026-08-23</t>
        </is>
      </c>
      <c r="B51" t="inlineStr">
        <is>
          <t>20:28</t>
        </is>
      </c>
      <c r="C51" t="inlineStr">
        <is>
          <t>MGC</t>
        </is>
      </c>
      <c r="D51" t="inlineStr">
        <is>
          <t>Long</t>
        </is>
      </c>
      <c r="E51" t="n">
        <v>229</v>
      </c>
      <c r="F51" t="inlineStr">
        <is>
          <t>up</t>
        </is>
      </c>
      <c r="G51" t="inlineStr">
        <is>
          <t>up</t>
        </is>
      </c>
      <c r="H51" t="inlineStr">
        <is>
          <t>up</t>
        </is>
      </c>
      <c r="I51" t="inlineStr">
        <is>
          <t>down</t>
        </is>
      </c>
      <c r="J51" t="n">
        <v>39.7</v>
      </c>
      <c r="K51" t="inlineStr">
        <is>
          <t>bull</t>
        </is>
      </c>
      <c r="L51" t="inlineStr">
        <is>
          <t>-</t>
        </is>
      </c>
      <c r="M51" t="n">
        <v>22.2</v>
      </c>
      <c r="N51" t="n">
        <v>7.73</v>
      </c>
      <c r="O51" t="n">
        <v>4676.43</v>
      </c>
      <c r="P51" t="inlineStr">
        <is>
          <t>below</t>
        </is>
      </c>
      <c r="Q51" t="n">
        <v>4676.95</v>
      </c>
      <c r="R51" t="n">
        <v>5.44</v>
      </c>
      <c r="S51" t="n">
        <v>-764</v>
      </c>
      <c r="T51" t="inlineStr">
        <is>
          <t>No</t>
        </is>
      </c>
      <c r="U51" t="inlineStr">
        <is>
          <t>Yes</t>
        </is>
      </c>
    </row>
    <row r="52">
      <c r="A52" t="inlineStr">
        <is>
          <t>2026-08-23</t>
        </is>
      </c>
      <c r="B52" t="inlineStr">
        <is>
          <t>22:57</t>
        </is>
      </c>
      <c r="C52" t="inlineStr">
        <is>
          <t>MGC</t>
        </is>
      </c>
      <c r="D52" t="inlineStr">
        <is>
          <t>Long</t>
        </is>
      </c>
      <c r="E52" t="n">
        <v>-63</v>
      </c>
      <c r="F52" t="inlineStr">
        <is>
          <t>up</t>
        </is>
      </c>
      <c r="G52" t="inlineStr">
        <is>
          <t>up</t>
        </is>
      </c>
      <c r="H52" t="inlineStr">
        <is>
          <t>up</t>
        </is>
      </c>
      <c r="I52" t="inlineStr">
        <is>
          <t>down</t>
        </is>
      </c>
      <c r="J52" t="n">
        <v>57.5</v>
      </c>
      <c r="K52" t="inlineStr">
        <is>
          <t>bull</t>
        </is>
      </c>
      <c r="L52" t="inlineStr">
        <is>
          <t>-</t>
        </is>
      </c>
      <c r="M52" t="n">
        <v>20.3</v>
      </c>
      <c r="N52" t="n">
        <v>8.4</v>
      </c>
      <c r="O52" t="n">
        <v>4682.74</v>
      </c>
      <c r="P52" t="inlineStr">
        <is>
          <t>below</t>
        </is>
      </c>
      <c r="Q52" t="n">
        <v>4675.82</v>
      </c>
      <c r="R52" t="n">
        <v>2.05</v>
      </c>
      <c r="S52" t="n">
        <v>961</v>
      </c>
      <c r="T52" t="inlineStr">
        <is>
          <t>No</t>
        </is>
      </c>
      <c r="U52" t="inlineStr">
        <is>
          <t>Yes</t>
        </is>
      </c>
    </row>
    <row r="53">
      <c r="A53" t="inlineStr">
        <is>
          <t>2026-08-24</t>
        </is>
      </c>
      <c r="B53" t="inlineStr">
        <is>
          <t>00:18</t>
        </is>
      </c>
      <c r="C53" t="inlineStr">
        <is>
          <t>MGC</t>
        </is>
      </c>
      <c r="D53" t="inlineStr">
        <is>
          <t>Long</t>
        </is>
      </c>
      <c r="E53" t="n">
        <v>16</v>
      </c>
      <c r="F53" t="inlineStr">
        <is>
          <t>up</t>
        </is>
      </c>
      <c r="G53" t="inlineStr">
        <is>
          <t>up</t>
        </is>
      </c>
      <c r="H53" t="inlineStr">
        <is>
          <t>up</t>
        </is>
      </c>
      <c r="I53" t="inlineStr">
        <is>
          <t>down</t>
        </is>
      </c>
      <c r="J53" t="n">
        <v>50.7</v>
      </c>
      <c r="K53" t="inlineStr">
        <is>
          <t>bull</t>
        </is>
      </c>
      <c r="L53" t="inlineStr">
        <is>
          <t>-</t>
        </is>
      </c>
      <c r="M53" t="n">
        <v>12.8</v>
      </c>
      <c r="N53" t="n">
        <v>6.16</v>
      </c>
      <c r="O53" t="n">
        <v>4684.49</v>
      </c>
      <c r="P53" t="inlineStr">
        <is>
          <t>above</t>
        </is>
      </c>
      <c r="Q53" t="n">
        <v>4675.82</v>
      </c>
      <c r="R53" t="n">
        <v>0.97</v>
      </c>
      <c r="S53" t="n">
        <v>473</v>
      </c>
      <c r="T53" t="inlineStr">
        <is>
          <t>No</t>
        </is>
      </c>
      <c r="U53" t="inlineStr">
        <is>
          <t>Yes</t>
        </is>
      </c>
    </row>
    <row r="54">
      <c r="A54" t="inlineStr">
        <is>
          <t>2026-08-24</t>
        </is>
      </c>
      <c r="B54" t="inlineStr">
        <is>
          <t>09:39</t>
        </is>
      </c>
      <c r="C54" t="inlineStr">
        <is>
          <t>MGC</t>
        </is>
      </c>
      <c r="D54" t="inlineStr">
        <is>
          <t>Long</t>
        </is>
      </c>
      <c r="E54" t="n">
        <v>-120</v>
      </c>
      <c r="F54" t="inlineStr">
        <is>
          <t>up</t>
        </is>
      </c>
      <c r="G54" t="inlineStr">
        <is>
          <t>up</t>
        </is>
      </c>
      <c r="H54" t="inlineStr">
        <is>
          <t>up</t>
        </is>
      </c>
      <c r="I54" t="inlineStr">
        <is>
          <t>up</t>
        </is>
      </c>
      <c r="J54" t="n">
        <v>53.2</v>
      </c>
      <c r="K54" t="inlineStr">
        <is>
          <t>bull</t>
        </is>
      </c>
      <c r="L54" t="inlineStr">
        <is>
          <t>+</t>
        </is>
      </c>
      <c r="M54" t="n">
        <v>23.4</v>
      </c>
      <c r="N54" t="n">
        <v>8.32</v>
      </c>
      <c r="T54" t="inlineStr">
        <is>
          <t>Yes</t>
        </is>
      </c>
      <c r="U54" t="inlineStr">
        <is>
          <t>Yes</t>
        </is>
      </c>
    </row>
    <row r="55">
      <c r="A55" t="inlineStr">
        <is>
          <t>2026-08-24</t>
        </is>
      </c>
      <c r="B55" t="inlineStr">
        <is>
          <t>10:58</t>
        </is>
      </c>
      <c r="C55" t="inlineStr">
        <is>
          <t>MNQ</t>
        </is>
      </c>
      <c r="D55" t="inlineStr">
        <is>
          <t>Long</t>
        </is>
      </c>
      <c r="E55" t="n">
        <v>-106.5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48.7</v>
      </c>
      <c r="K55" t="inlineStr">
        <is>
          <t>bear</t>
        </is>
      </c>
      <c r="L55" t="inlineStr">
        <is>
          <t>+</t>
        </is>
      </c>
      <c r="M55" t="n">
        <v>24.6</v>
      </c>
      <c r="N55" t="n">
        <v>44.21</v>
      </c>
      <c r="O55" t="n">
        <v>29047.93</v>
      </c>
      <c r="P55" t="inlineStr">
        <is>
          <t>above</t>
        </is>
      </c>
      <c r="Q55" t="n">
        <v>29002.3</v>
      </c>
      <c r="R55" t="n">
        <v>0.83</v>
      </c>
      <c r="S55" t="n">
        <v>-22771</v>
      </c>
      <c r="T55" t="inlineStr">
        <is>
          <t>No</t>
        </is>
      </c>
      <c r="U55" t="inlineStr">
        <is>
          <t>No</t>
        </is>
      </c>
    </row>
    <row r="56">
      <c r="A56" t="inlineStr">
        <is>
          <t>2026-08-24</t>
        </is>
      </c>
      <c r="B56" t="inlineStr">
        <is>
          <t>11:13</t>
        </is>
      </c>
      <c r="C56" t="inlineStr">
        <is>
          <t>MNQ</t>
        </is>
      </c>
      <c r="D56" t="inlineStr">
        <is>
          <t>Short</t>
        </is>
      </c>
      <c r="E56" t="n">
        <v>-240</v>
      </c>
      <c r="F56" t="inlineStr">
        <is>
          <t>down</t>
        </is>
      </c>
      <c r="G56" t="inlineStr">
        <is>
          <t>down</t>
        </is>
      </c>
      <c r="H56" t="inlineStr">
        <is>
          <t>down</t>
        </is>
      </c>
      <c r="I56" t="inlineStr">
        <is>
          <t>down</t>
        </is>
      </c>
      <c r="J56" t="n">
        <v>43</v>
      </c>
      <c r="K56" t="inlineStr">
        <is>
          <t>bear</t>
        </is>
      </c>
      <c r="L56" t="inlineStr">
        <is>
          <t>+</t>
        </is>
      </c>
      <c r="M56" t="n">
        <v>22.1</v>
      </c>
      <c r="N56" t="n">
        <v>42.16</v>
      </c>
      <c r="O56" t="n">
        <v>29049.15</v>
      </c>
      <c r="P56" t="inlineStr">
        <is>
          <t>above</t>
        </is>
      </c>
      <c r="Q56" t="n">
        <v>29002.3</v>
      </c>
      <c r="R56" t="n">
        <v>0.82</v>
      </c>
      <c r="S56" t="n">
        <v>-28547</v>
      </c>
      <c r="T56" t="inlineStr">
        <is>
          <t>Yes</t>
        </is>
      </c>
      <c r="U56" t="inlineStr">
        <is>
          <t>Yes</t>
        </is>
      </c>
    </row>
    <row r="57">
      <c r="A57" t="inlineStr">
        <is>
          <t>2026-08-25</t>
        </is>
      </c>
      <c r="B57" t="inlineStr">
        <is>
          <t>09:50</t>
        </is>
      </c>
      <c r="C57" t="inlineStr">
        <is>
          <t>MGC</t>
        </is>
      </c>
      <c r="D57" t="inlineStr">
        <is>
          <t>Short</t>
        </is>
      </c>
      <c r="E57" t="n">
        <v>-225</v>
      </c>
      <c r="F57" t="inlineStr">
        <is>
          <t>flat</t>
        </is>
      </c>
      <c r="G57" t="inlineStr">
        <is>
          <t>down</t>
        </is>
      </c>
      <c r="H57" t="inlineStr">
        <is>
          <t>down</t>
        </is>
      </c>
      <c r="I57" t="inlineStr">
        <is>
          <t>down</t>
        </is>
      </c>
      <c r="J57" t="n">
        <v>33.4</v>
      </c>
      <c r="K57" t="inlineStr">
        <is>
          <t>bear</t>
        </is>
      </c>
      <c r="L57" t="inlineStr">
        <is>
          <t>-</t>
        </is>
      </c>
      <c r="M57" t="n">
        <v>29</v>
      </c>
      <c r="N57" t="n">
        <v>8.199999999999999</v>
      </c>
      <c r="O57" t="n">
        <v>4667.8</v>
      </c>
      <c r="P57" t="inlineStr">
        <is>
          <t>below</t>
        </is>
      </c>
      <c r="Q57" t="n">
        <v>4671.26</v>
      </c>
      <c r="R57" t="n">
        <v>1.07</v>
      </c>
      <c r="S57" t="n">
        <v>-1228</v>
      </c>
      <c r="T57" t="inlineStr">
        <is>
          <t>Yes</t>
        </is>
      </c>
      <c r="U57" t="inlineStr">
        <is>
          <t>No</t>
        </is>
      </c>
    </row>
    <row r="58">
      <c r="A58" t="inlineStr">
        <is>
          <t>2026-08-25</t>
        </is>
      </c>
      <c r="B58" t="inlineStr">
        <is>
          <t>10:22</t>
        </is>
      </c>
      <c r="C58" t="inlineStr">
        <is>
          <t>MNQ</t>
        </is>
      </c>
      <c r="D58" t="inlineStr">
        <is>
          <t>Long</t>
        </is>
      </c>
      <c r="E58" t="n">
        <v>-90</v>
      </c>
      <c r="F58" t="inlineStr">
        <is>
          <t>down</t>
        </is>
      </c>
      <c r="G58" t="inlineStr">
        <is>
          <t>up</t>
        </is>
      </c>
      <c r="H58" t="inlineStr">
        <is>
          <t>down</t>
        </is>
      </c>
      <c r="I58" t="inlineStr">
        <is>
          <t>down</t>
        </is>
      </c>
      <c r="J58" t="n">
        <v>34.9</v>
      </c>
      <c r="K58" t="inlineStr">
        <is>
          <t>bear</t>
        </is>
      </c>
      <c r="L58" t="inlineStr">
        <is>
          <t>-</t>
        </is>
      </c>
      <c r="M58" t="n">
        <v>20.8</v>
      </c>
      <c r="N58" t="n">
        <v>41.2</v>
      </c>
      <c r="O58" t="n">
        <v>29315.35</v>
      </c>
      <c r="P58" t="inlineStr">
        <is>
          <t>below</t>
        </is>
      </c>
      <c r="Q58" t="n">
        <v>29329.98</v>
      </c>
      <c r="R58" t="n">
        <v>1.01</v>
      </c>
      <c r="S58" t="n">
        <v>-12925</v>
      </c>
      <c r="T58" t="inlineStr">
        <is>
          <t>No</t>
        </is>
      </c>
      <c r="U58" t="inlineStr">
        <is>
          <t>No</t>
        </is>
      </c>
    </row>
    <row r="59">
      <c r="A59" t="inlineStr">
        <is>
          <t>2026-08-25</t>
        </is>
      </c>
      <c r="B59" t="inlineStr">
        <is>
          <t>10:32</t>
        </is>
      </c>
      <c r="C59" t="inlineStr">
        <is>
          <t>MNQ</t>
        </is>
      </c>
      <c r="D59" t="inlineStr">
        <is>
          <t>Short</t>
        </is>
      </c>
      <c r="E59" t="n">
        <v>96.5</v>
      </c>
      <c r="F59" t="inlineStr">
        <is>
          <t>down</t>
        </is>
      </c>
      <c r="G59" t="inlineStr">
        <is>
          <t>up</t>
        </is>
      </c>
      <c r="H59" t="inlineStr">
        <is>
          <t>down</t>
        </is>
      </c>
      <c r="I59" t="inlineStr">
        <is>
          <t>down</t>
        </is>
      </c>
      <c r="J59" t="n">
        <v>32.3</v>
      </c>
      <c r="K59" t="inlineStr">
        <is>
          <t>bear</t>
        </is>
      </c>
      <c r="L59" t="inlineStr">
        <is>
          <t>-</t>
        </is>
      </c>
      <c r="M59" t="n">
        <v>24.2</v>
      </c>
      <c r="N59" t="n">
        <v>46.07</v>
      </c>
      <c r="O59" t="n">
        <v>29300.24</v>
      </c>
      <c r="P59" t="inlineStr">
        <is>
          <t>below</t>
        </is>
      </c>
      <c r="Q59" t="n">
        <v>29342.1</v>
      </c>
      <c r="R59" t="n">
        <v>1.74</v>
      </c>
      <c r="S59" t="n">
        <v>-15569</v>
      </c>
      <c r="T59" t="inlineStr">
        <is>
          <t>No</t>
        </is>
      </c>
      <c r="U59" t="inlineStr">
        <is>
          <t>Yes</t>
        </is>
      </c>
    </row>
    <row r="60">
      <c r="A60" t="inlineStr">
        <is>
          <t>2026-08-25</t>
        </is>
      </c>
      <c r="B60" t="inlineStr">
        <is>
          <t>12:32</t>
        </is>
      </c>
      <c r="C60" t="inlineStr">
        <is>
          <t>MGC</t>
        </is>
      </c>
      <c r="D60" t="inlineStr">
        <is>
          <t>Short</t>
        </is>
      </c>
      <c r="E60" t="n">
        <v>9</v>
      </c>
      <c r="F60" t="inlineStr">
        <is>
          <t>up</t>
        </is>
      </c>
      <c r="G60" t="inlineStr">
        <is>
          <t>down</t>
        </is>
      </c>
      <c r="H60" t="inlineStr">
        <is>
          <t>up</t>
        </is>
      </c>
      <c r="I60" t="inlineStr">
        <is>
          <t>up</t>
        </is>
      </c>
      <c r="J60" t="n">
        <v>48.3</v>
      </c>
      <c r="K60" t="inlineStr">
        <is>
          <t>bull</t>
        </is>
      </c>
      <c r="L60" t="inlineStr">
        <is>
          <t>-</t>
        </is>
      </c>
      <c r="M60" t="n">
        <v>15.2</v>
      </c>
      <c r="N60" t="n">
        <v>6.07</v>
      </c>
      <c r="O60" t="n">
        <v>4687.7</v>
      </c>
      <c r="P60" t="inlineStr">
        <is>
          <t>above</t>
        </is>
      </c>
      <c r="Q60" t="n">
        <v>4677.28</v>
      </c>
      <c r="R60" t="n">
        <v>1.21</v>
      </c>
      <c r="S60" t="n">
        <v>4023</v>
      </c>
      <c r="T60" t="inlineStr">
        <is>
          <t>No</t>
        </is>
      </c>
      <c r="U60" t="inlineStr">
        <is>
          <t>No</t>
        </is>
      </c>
    </row>
    <row r="61">
      <c r="A61" t="inlineStr">
        <is>
          <t>2026-08-25</t>
        </is>
      </c>
      <c r="B61" t="inlineStr">
        <is>
          <t>23:19</t>
        </is>
      </c>
      <c r="C61" t="inlineStr">
        <is>
          <t>MGC</t>
        </is>
      </c>
      <c r="D61" t="inlineStr">
        <is>
          <t>Short</t>
        </is>
      </c>
      <c r="E61" t="n">
        <v>35</v>
      </c>
      <c r="F61" t="inlineStr">
        <is>
          <t>up</t>
        </is>
      </c>
      <c r="G61" t="inlineStr">
        <is>
          <t>down</t>
        </is>
      </c>
      <c r="H61" t="inlineStr">
        <is>
          <t>up</t>
        </is>
      </c>
      <c r="I61" t="inlineStr">
        <is>
          <t>down</t>
        </is>
      </c>
      <c r="J61" t="n">
        <v>38.5</v>
      </c>
      <c r="K61" t="inlineStr">
        <is>
          <t>bear</t>
        </is>
      </c>
      <c r="L61" t="inlineStr">
        <is>
          <t>-</t>
        </is>
      </c>
      <c r="M61" t="n">
        <v>24.2</v>
      </c>
      <c r="N61" t="n">
        <v>4.83</v>
      </c>
      <c r="O61" t="n">
        <v>4698.38</v>
      </c>
      <c r="P61" t="inlineStr">
        <is>
          <t>above</t>
        </is>
      </c>
      <c r="Q61" t="n">
        <v>4701.45</v>
      </c>
      <c r="R61" t="n">
        <v>1.26</v>
      </c>
      <c r="S61" t="n">
        <v>4291</v>
      </c>
      <c r="T61" t="inlineStr">
        <is>
          <t>No</t>
        </is>
      </c>
      <c r="U61" t="inlineStr">
        <is>
          <t>No</t>
        </is>
      </c>
    </row>
    <row r="62">
      <c r="A62" t="inlineStr">
        <is>
          <t>2026-08-26</t>
        </is>
      </c>
      <c r="B62" t="inlineStr">
        <is>
          <t>09:50</t>
        </is>
      </c>
      <c r="C62" t="inlineStr">
        <is>
          <t>MGC</t>
        </is>
      </c>
      <c r="D62" t="inlineStr">
        <is>
          <t>Long</t>
        </is>
      </c>
      <c r="E62" t="n">
        <v>21</v>
      </c>
      <c r="F62" t="inlineStr">
        <is>
          <t>flat</t>
        </is>
      </c>
      <c r="G62" t="inlineStr">
        <is>
          <t>down</t>
        </is>
      </c>
      <c r="H62" t="inlineStr">
        <is>
          <t>down</t>
        </is>
      </c>
      <c r="I62" t="inlineStr">
        <is>
          <t>down</t>
        </is>
      </c>
      <c r="J62" t="n">
        <v>56.2</v>
      </c>
      <c r="K62" t="inlineStr">
        <is>
          <t>bull</t>
        </is>
      </c>
      <c r="L62" t="inlineStr">
        <is>
          <t>+</t>
        </is>
      </c>
      <c r="M62" t="n">
        <v>31.7</v>
      </c>
      <c r="N62" t="n">
        <v>7.81</v>
      </c>
      <c r="O62" t="n">
        <v>4673.72</v>
      </c>
      <c r="P62" t="inlineStr">
        <is>
          <t>above</t>
        </is>
      </c>
      <c r="Q62" t="n">
        <v>4669.87</v>
      </c>
      <c r="R62" t="n">
        <v>1</v>
      </c>
      <c r="S62" t="n">
        <v>1062</v>
      </c>
      <c r="T62" t="inlineStr">
        <is>
          <t>No</t>
        </is>
      </c>
      <c r="U62" t="inlineStr">
        <is>
          <t>No</t>
        </is>
      </c>
    </row>
    <row r="63">
      <c r="A63" t="inlineStr">
        <is>
          <t>2026-08-26</t>
        </is>
      </c>
      <c r="B63" t="inlineStr">
        <is>
          <t>10:18</t>
        </is>
      </c>
      <c r="C63" t="inlineStr">
        <is>
          <t>MGC</t>
        </is>
      </c>
      <c r="D63" t="inlineStr">
        <is>
          <t>Short</t>
        </is>
      </c>
      <c r="E63" t="n">
        <v>96</v>
      </c>
      <c r="F63" t="inlineStr">
        <is>
          <t>flat</t>
        </is>
      </c>
      <c r="G63" t="inlineStr">
        <is>
          <t>down</t>
        </is>
      </c>
      <c r="H63" t="inlineStr">
        <is>
          <t>down</t>
        </is>
      </c>
      <c r="I63" t="inlineStr">
        <is>
          <t>down</t>
        </is>
      </c>
      <c r="J63" t="n">
        <v>53.5</v>
      </c>
      <c r="K63" t="inlineStr">
        <is>
          <t>bull</t>
        </is>
      </c>
      <c r="L63" t="inlineStr">
        <is>
          <t>+</t>
        </is>
      </c>
      <c r="M63" t="n">
        <v>24.4</v>
      </c>
      <c r="N63" t="n">
        <v>7.68</v>
      </c>
      <c r="O63" t="n">
        <v>4677.35</v>
      </c>
      <c r="P63" t="inlineStr">
        <is>
          <t>above</t>
        </is>
      </c>
      <c r="Q63" t="n">
        <v>4683.11</v>
      </c>
      <c r="R63" t="n">
        <v>0.59</v>
      </c>
      <c r="S63" t="n">
        <v>1237</v>
      </c>
      <c r="T63" t="inlineStr">
        <is>
          <t>Yes</t>
        </is>
      </c>
      <c r="U63" t="inlineStr">
        <is>
          <t>No</t>
        </is>
      </c>
    </row>
    <row r="64">
      <c r="A64" t="inlineStr">
        <is>
          <t>2026-08-26</t>
        </is>
      </c>
      <c r="B64" t="inlineStr">
        <is>
          <t>11:46</t>
        </is>
      </c>
      <c r="C64" t="inlineStr">
        <is>
          <t>MGC</t>
        </is>
      </c>
      <c r="D64" t="inlineStr">
        <is>
          <t>Long</t>
        </is>
      </c>
      <c r="E64" t="n">
        <v>-165</v>
      </c>
      <c r="F64" t="inlineStr">
        <is>
          <t>down</t>
        </is>
      </c>
      <c r="G64" t="inlineStr">
        <is>
          <t>down</t>
        </is>
      </c>
      <c r="H64" t="inlineStr">
        <is>
          <t>down</t>
        </is>
      </c>
      <c r="I64" t="inlineStr">
        <is>
          <t>down</t>
        </is>
      </c>
      <c r="J64" t="n">
        <v>50.6</v>
      </c>
      <c r="K64" t="inlineStr">
        <is>
          <t>bear</t>
        </is>
      </c>
      <c r="L64" t="inlineStr">
        <is>
          <t>+</t>
        </is>
      </c>
      <c r="M64" t="n">
        <v>27.1</v>
      </c>
      <c r="N64" t="n">
        <v>7.39</v>
      </c>
      <c r="O64" t="n">
        <v>4664.41</v>
      </c>
      <c r="P64" t="inlineStr">
        <is>
          <t>below</t>
        </is>
      </c>
      <c r="Q64" t="n">
        <v>4653.95</v>
      </c>
      <c r="R64" t="n">
        <v>1.54</v>
      </c>
      <c r="S64" t="n">
        <v>1823</v>
      </c>
      <c r="T64" t="inlineStr">
        <is>
          <t>No</t>
        </is>
      </c>
      <c r="U64" t="inlineStr">
        <is>
          <t>No</t>
        </is>
      </c>
    </row>
    <row r="65">
      <c r="A65" t="inlineStr">
        <is>
          <t>2026-08-26</t>
        </is>
      </c>
      <c r="B65" t="inlineStr">
        <is>
          <t>11:55</t>
        </is>
      </c>
      <c r="C65" t="inlineStr">
        <is>
          <t>MGC</t>
        </is>
      </c>
      <c r="D65" t="inlineStr">
        <is>
          <t>Short</t>
        </is>
      </c>
      <c r="E65" t="n">
        <v>185</v>
      </c>
      <c r="F65" t="inlineStr">
        <is>
          <t>down</t>
        </is>
      </c>
      <c r="G65" t="inlineStr">
        <is>
          <t>down</t>
        </is>
      </c>
      <c r="H65" t="inlineStr">
        <is>
          <t>down</t>
        </is>
      </c>
      <c r="I65" t="inlineStr">
        <is>
          <t>down</t>
        </is>
      </c>
      <c r="J65" t="n">
        <v>40.2</v>
      </c>
      <c r="K65" t="inlineStr">
        <is>
          <t>bear</t>
        </is>
      </c>
      <c r="L65" t="inlineStr">
        <is>
          <t>+</t>
        </is>
      </c>
      <c r="M65" t="n">
        <v>26.2</v>
      </c>
      <c r="N65" t="n">
        <v>7.62</v>
      </c>
      <c r="O65" t="n">
        <v>4664.02</v>
      </c>
      <c r="P65" t="inlineStr">
        <is>
          <t>below</t>
        </is>
      </c>
      <c r="Q65" t="n">
        <v>4653.95</v>
      </c>
      <c r="R65" t="n">
        <v>1.21</v>
      </c>
      <c r="S65" t="n">
        <v>241</v>
      </c>
      <c r="T65" t="inlineStr">
        <is>
          <t>Yes</t>
        </is>
      </c>
      <c r="U65" t="inlineStr">
        <is>
          <t>Yes</t>
        </is>
      </c>
    </row>
    <row r="66">
      <c r="A66" t="inlineStr">
        <is>
          <t>2026-08-26</t>
        </is>
      </c>
      <c r="B66" t="inlineStr">
        <is>
          <t>13:11</t>
        </is>
      </c>
      <c r="C66" t="inlineStr">
        <is>
          <t>MGC</t>
        </is>
      </c>
      <c r="D66" t="inlineStr">
        <is>
          <t>Short</t>
        </is>
      </c>
      <c r="E66" t="n">
        <v>-255</v>
      </c>
      <c r="F66" t="inlineStr">
        <is>
          <t>down</t>
        </is>
      </c>
      <c r="G66" t="inlineStr">
        <is>
          <t>down</t>
        </is>
      </c>
      <c r="H66" t="inlineStr">
        <is>
          <t>down</t>
        </is>
      </c>
      <c r="I66" t="inlineStr">
        <is>
          <t>down</t>
        </is>
      </c>
      <c r="J66" t="n">
        <v>46</v>
      </c>
      <c r="K66" t="inlineStr">
        <is>
          <t>bear</t>
        </is>
      </c>
      <c r="L66" t="inlineStr">
        <is>
          <t>+</t>
        </is>
      </c>
      <c r="M66" t="n">
        <v>25.2</v>
      </c>
      <c r="N66" t="n">
        <v>5.81</v>
      </c>
      <c r="O66" t="n">
        <v>4660.6</v>
      </c>
      <c r="P66" t="inlineStr">
        <is>
          <t>below</t>
        </is>
      </c>
      <c r="Q66" t="n">
        <v>4653.95</v>
      </c>
      <c r="R66" t="n">
        <v>0.6899999999999999</v>
      </c>
      <c r="S66" t="n">
        <v>1646</v>
      </c>
      <c r="T66" t="inlineStr">
        <is>
          <t>Yes</t>
        </is>
      </c>
      <c r="U66" t="inlineStr">
        <is>
          <t>Yes</t>
        </is>
      </c>
    </row>
    <row r="67">
      <c r="A67" t="inlineStr">
        <is>
          <t>2026-08-26</t>
        </is>
      </c>
      <c r="B67" t="inlineStr">
        <is>
          <t>19:54</t>
        </is>
      </c>
      <c r="C67" t="inlineStr">
        <is>
          <t>MNQ</t>
        </is>
      </c>
      <c r="D67" t="inlineStr">
        <is>
          <t>Long</t>
        </is>
      </c>
      <c r="E67" t="n">
        <v>81.5</v>
      </c>
      <c r="F67" t="inlineStr">
        <is>
          <t>up</t>
        </is>
      </c>
      <c r="G67" t="inlineStr">
        <is>
          <t>up</t>
        </is>
      </c>
      <c r="H67" t="inlineStr">
        <is>
          <t>up</t>
        </is>
      </c>
      <c r="I67" t="inlineStr">
        <is>
          <t>up</t>
        </is>
      </c>
      <c r="J67" t="n">
        <v>72.59999999999999</v>
      </c>
      <c r="K67" t="inlineStr">
        <is>
          <t>bull</t>
        </is>
      </c>
      <c r="L67" t="inlineStr">
        <is>
          <t>-</t>
        </is>
      </c>
      <c r="M67" t="n">
        <v>52.8</v>
      </c>
      <c r="N67" t="n">
        <v>21.3</v>
      </c>
      <c r="O67" t="n">
        <v>29282.24</v>
      </c>
      <c r="P67" t="inlineStr">
        <is>
          <t>above</t>
        </is>
      </c>
      <c r="Q67" t="n">
        <v>29245.2</v>
      </c>
      <c r="R67" t="n">
        <v>0.97</v>
      </c>
      <c r="S67" t="n">
        <v>19153</v>
      </c>
      <c r="T67" t="inlineStr">
        <is>
          <t>Yes</t>
        </is>
      </c>
      <c r="U67" t="inlineStr">
        <is>
          <t>Yes</t>
        </is>
      </c>
    </row>
    <row r="68">
      <c r="A68" t="inlineStr">
        <is>
          <t>2026-08-26</t>
        </is>
      </c>
      <c r="B68" t="inlineStr">
        <is>
          <t>20:04</t>
        </is>
      </c>
      <c r="C68" t="inlineStr">
        <is>
          <t>MNQ</t>
        </is>
      </c>
      <c r="D68" t="inlineStr">
        <is>
          <t>Long</t>
        </is>
      </c>
      <c r="E68" t="n">
        <v>-81</v>
      </c>
      <c r="F68" t="inlineStr">
        <is>
          <t>up</t>
        </is>
      </c>
      <c r="G68" t="inlineStr">
        <is>
          <t>up</t>
        </is>
      </c>
      <c r="H68" t="inlineStr">
        <is>
          <t>up</t>
        </is>
      </c>
      <c r="I68" t="inlineStr">
        <is>
          <t>up</t>
        </is>
      </c>
      <c r="J68" t="n">
        <v>64.40000000000001</v>
      </c>
      <c r="K68" t="inlineStr">
        <is>
          <t>bull</t>
        </is>
      </c>
      <c r="L68" t="inlineStr">
        <is>
          <t>-</t>
        </is>
      </c>
      <c r="M68" t="n">
        <v>55</v>
      </c>
      <c r="N68" t="n">
        <v>23.81</v>
      </c>
      <c r="O68" t="n">
        <v>29284.87</v>
      </c>
      <c r="P68" t="inlineStr">
        <is>
          <t>above</t>
        </is>
      </c>
      <c r="Q68" t="n">
        <v>29225.22</v>
      </c>
      <c r="R68" t="n">
        <v>1.06</v>
      </c>
      <c r="S68" t="n">
        <v>18721</v>
      </c>
      <c r="T68" t="inlineStr">
        <is>
          <t>Yes</t>
        </is>
      </c>
      <c r="U68" t="inlineStr">
        <is>
          <t>Yes</t>
        </is>
      </c>
    </row>
    <row r="69">
      <c r="A69" t="inlineStr">
        <is>
          <t>2026-08-26</t>
        </is>
      </c>
      <c r="B69" t="inlineStr">
        <is>
          <t>21:05</t>
        </is>
      </c>
      <c r="C69" t="inlineStr">
        <is>
          <t>MNQ</t>
        </is>
      </c>
      <c r="D69" t="inlineStr">
        <is>
          <t>Long</t>
        </is>
      </c>
      <c r="E69" t="n">
        <v>-120</v>
      </c>
      <c r="F69" t="inlineStr">
        <is>
          <t>up</t>
        </is>
      </c>
      <c r="G69" t="inlineStr">
        <is>
          <t>up</t>
        </is>
      </c>
      <c r="H69" t="inlineStr">
        <is>
          <t>down</t>
        </is>
      </c>
      <c r="I69" t="inlineStr">
        <is>
          <t>down</t>
        </is>
      </c>
      <c r="J69" t="n">
        <v>39</v>
      </c>
      <c r="K69" t="inlineStr">
        <is>
          <t>bear</t>
        </is>
      </c>
      <c r="L69" t="inlineStr">
        <is>
          <t>-</t>
        </is>
      </c>
      <c r="M69" t="n">
        <v>39.4</v>
      </c>
      <c r="N69" t="n">
        <v>28.02</v>
      </c>
      <c r="O69" t="n">
        <v>29295.47</v>
      </c>
      <c r="P69" t="inlineStr">
        <is>
          <t>above</t>
        </is>
      </c>
      <c r="Q69" t="n">
        <v>29225.22</v>
      </c>
      <c r="R69" t="n">
        <v>0.97</v>
      </c>
      <c r="S69" t="n">
        <v>14869</v>
      </c>
      <c r="T69" t="inlineStr">
        <is>
          <t>No</t>
        </is>
      </c>
      <c r="U69" t="inlineStr">
        <is>
          <t>Yes</t>
        </is>
      </c>
    </row>
    <row r="70">
      <c r="A70" t="inlineStr">
        <is>
          <t>2026-08-26</t>
        </is>
      </c>
      <c r="B70" t="inlineStr">
        <is>
          <t>21:16</t>
        </is>
      </c>
      <c r="C70" t="inlineStr">
        <is>
          <t>MNQ</t>
        </is>
      </c>
      <c r="D70" t="inlineStr">
        <is>
          <t>Long</t>
        </is>
      </c>
      <c r="E70" t="n">
        <v>302.5</v>
      </c>
      <c r="F70" t="inlineStr">
        <is>
          <t>up</t>
        </is>
      </c>
      <c r="G70" t="inlineStr">
        <is>
          <t>up</t>
        </is>
      </c>
      <c r="H70" t="inlineStr">
        <is>
          <t>down</t>
        </is>
      </c>
      <c r="I70" t="inlineStr">
        <is>
          <t>down</t>
        </is>
      </c>
      <c r="J70" t="n">
        <v>41.8</v>
      </c>
      <c r="K70" t="inlineStr">
        <is>
          <t>bear</t>
        </is>
      </c>
      <c r="L70" t="inlineStr">
        <is>
          <t>-</t>
        </is>
      </c>
      <c r="M70" t="n">
        <v>37.7</v>
      </c>
      <c r="N70" t="n">
        <v>29.13</v>
      </c>
      <c r="O70" t="n">
        <v>29296.6</v>
      </c>
      <c r="P70" t="inlineStr">
        <is>
          <t>above</t>
        </is>
      </c>
      <c r="Q70" t="n">
        <v>29225.22</v>
      </c>
      <c r="R70" t="n">
        <v>1.27</v>
      </c>
      <c r="S70" t="n">
        <v>14789</v>
      </c>
      <c r="T70" t="inlineStr">
        <is>
          <t>No</t>
        </is>
      </c>
      <c r="U70" t="inlineStr">
        <is>
          <t>Yes</t>
        </is>
      </c>
    </row>
    <row r="71">
      <c r="A71" t="inlineStr">
        <is>
          <t>2026-08-26</t>
        </is>
      </c>
      <c r="B71" t="inlineStr">
        <is>
          <t>21:27</t>
        </is>
      </c>
      <c r="C71" t="inlineStr">
        <is>
          <t>MNQ</t>
        </is>
      </c>
      <c r="D71" t="inlineStr">
        <is>
          <t>Long</t>
        </is>
      </c>
      <c r="E71" t="n">
        <v>42</v>
      </c>
      <c r="F71" t="inlineStr">
        <is>
          <t>up</t>
        </is>
      </c>
      <c r="G71" t="inlineStr">
        <is>
          <t>up</t>
        </is>
      </c>
      <c r="H71" t="inlineStr">
        <is>
          <t>down</t>
        </is>
      </c>
      <c r="I71" t="inlineStr">
        <is>
          <t>down</t>
        </is>
      </c>
      <c r="J71" t="n">
        <v>46.9</v>
      </c>
      <c r="K71" t="inlineStr">
        <is>
          <t>bear</t>
        </is>
      </c>
      <c r="L71" t="inlineStr">
        <is>
          <t>-</t>
        </is>
      </c>
      <c r="M71" t="n">
        <v>34</v>
      </c>
      <c r="N71" t="n">
        <v>27.73</v>
      </c>
      <c r="O71" t="n">
        <v>29297.38</v>
      </c>
      <c r="P71" t="inlineStr">
        <is>
          <t>above</t>
        </is>
      </c>
      <c r="Q71" t="n">
        <v>29225.22</v>
      </c>
      <c r="R71" t="n">
        <v>1.13</v>
      </c>
      <c r="S71" t="n">
        <v>15723</v>
      </c>
      <c r="T71" t="inlineStr">
        <is>
          <t>No</t>
        </is>
      </c>
      <c r="U71" t="inlineStr">
        <is>
          <t>Yes</t>
        </is>
      </c>
    </row>
    <row r="72">
      <c r="A72" t="inlineStr">
        <is>
          <t>2026-08-26</t>
        </is>
      </c>
      <c r="B72" t="inlineStr">
        <is>
          <t>21:35</t>
        </is>
      </c>
      <c r="C72" t="inlineStr">
        <is>
          <t>MNQ</t>
        </is>
      </c>
      <c r="D72" t="inlineStr">
        <is>
          <t>Long</t>
        </is>
      </c>
      <c r="E72" t="n">
        <v>88.5</v>
      </c>
      <c r="F72" t="inlineStr">
        <is>
          <t>up</t>
        </is>
      </c>
      <c r="G72" t="inlineStr">
        <is>
          <t>up</t>
        </is>
      </c>
      <c r="H72" t="inlineStr">
        <is>
          <t>down</t>
        </is>
      </c>
      <c r="I72" t="inlineStr">
        <is>
          <t>down</t>
        </is>
      </c>
      <c r="J72" t="n">
        <v>52.9</v>
      </c>
      <c r="K72" t="inlineStr">
        <is>
          <t>bear</t>
        </is>
      </c>
      <c r="L72" t="inlineStr">
        <is>
          <t>+</t>
        </is>
      </c>
      <c r="M72" t="n">
        <v>29.8</v>
      </c>
      <c r="N72" t="n">
        <v>27.15</v>
      </c>
      <c r="O72" t="n">
        <v>29298.36</v>
      </c>
      <c r="P72" t="inlineStr">
        <is>
          <t>above</t>
        </is>
      </c>
      <c r="Q72" t="n">
        <v>29225.22</v>
      </c>
      <c r="R72" t="n">
        <v>1.25</v>
      </c>
      <c r="S72" t="n">
        <v>16639</v>
      </c>
      <c r="T72" t="inlineStr">
        <is>
          <t>No</t>
        </is>
      </c>
      <c r="U72" t="inlineStr">
        <is>
          <t>Yes</t>
        </is>
      </c>
    </row>
    <row r="73">
      <c r="A73" t="inlineStr">
        <is>
          <t>2026-08-26</t>
        </is>
      </c>
      <c r="B73" t="inlineStr">
        <is>
          <t>22:22</t>
        </is>
      </c>
      <c r="C73" t="inlineStr">
        <is>
          <t>MNQ</t>
        </is>
      </c>
      <c r="D73" t="inlineStr">
        <is>
          <t>Short</t>
        </is>
      </c>
      <c r="E73" t="n">
        <v>50</v>
      </c>
      <c r="F73" t="inlineStr">
        <is>
          <t>up</t>
        </is>
      </c>
      <c r="G73" t="inlineStr">
        <is>
          <t>up</t>
        </is>
      </c>
      <c r="H73" t="inlineStr">
        <is>
          <t>down</t>
        </is>
      </c>
      <c r="I73" t="inlineStr">
        <is>
          <t>up</t>
        </is>
      </c>
      <c r="J73" t="n">
        <v>51.8</v>
      </c>
      <c r="K73" t="inlineStr">
        <is>
          <t>bull</t>
        </is>
      </c>
      <c r="L73" t="inlineStr">
        <is>
          <t>+</t>
        </is>
      </c>
      <c r="M73" t="n">
        <v>16.6</v>
      </c>
      <c r="N73" t="n">
        <v>24.8</v>
      </c>
      <c r="O73" t="n">
        <v>29301.87</v>
      </c>
      <c r="P73" t="inlineStr">
        <is>
          <t>above</t>
        </is>
      </c>
      <c r="Q73" t="n">
        <v>29225.22</v>
      </c>
      <c r="R73" t="n">
        <v>0.35</v>
      </c>
      <c r="S73" t="n">
        <v>17858</v>
      </c>
      <c r="T73" t="inlineStr">
        <is>
          <t>No</t>
        </is>
      </c>
      <c r="U73" t="inlineStr">
        <is>
          <t>No</t>
        </is>
      </c>
    </row>
    <row r="74">
      <c r="A74" t="inlineStr">
        <is>
          <t>2026-08-27</t>
        </is>
      </c>
      <c r="B74" t="inlineStr">
        <is>
          <t>09:43</t>
        </is>
      </c>
      <c r="C74" t="inlineStr">
        <is>
          <t>MGC</t>
        </is>
      </c>
      <c r="D74" t="inlineStr">
        <is>
          <t>Short</t>
        </is>
      </c>
      <c r="E74" t="n">
        <v>360</v>
      </c>
      <c r="F74" t="inlineStr">
        <is>
          <t>down</t>
        </is>
      </c>
      <c r="G74" t="inlineStr">
        <is>
          <t>down</t>
        </is>
      </c>
      <c r="H74" t="inlineStr">
        <is>
          <t>down</t>
        </is>
      </c>
      <c r="I74" t="inlineStr">
        <is>
          <t>down</t>
        </is>
      </c>
      <c r="J74" t="n">
        <v>36.9</v>
      </c>
      <c r="K74" t="inlineStr">
        <is>
          <t>bear</t>
        </is>
      </c>
      <c r="L74" t="inlineStr">
        <is>
          <t>-</t>
        </is>
      </c>
      <c r="M74" t="n">
        <v>24.3</v>
      </c>
      <c r="N74" t="n">
        <v>6.47</v>
      </c>
      <c r="O74" t="n">
        <v>4632.87</v>
      </c>
      <c r="P74" t="inlineStr">
        <is>
          <t>above</t>
        </is>
      </c>
      <c r="Q74" t="n">
        <v>4630.68</v>
      </c>
      <c r="R74" t="n">
        <v>0.92</v>
      </c>
      <c r="S74" t="n">
        <v>-2558</v>
      </c>
      <c r="T74" t="inlineStr">
        <is>
          <t>Yes</t>
        </is>
      </c>
      <c r="U74" t="inlineStr">
        <is>
          <t>Yes</t>
        </is>
      </c>
    </row>
    <row r="75">
      <c r="A75" t="inlineStr">
        <is>
          <t>2026-08-27</t>
        </is>
      </c>
      <c r="B75" t="inlineStr">
        <is>
          <t>10:17</t>
        </is>
      </c>
      <c r="C75" t="inlineStr">
        <is>
          <t>MGC</t>
        </is>
      </c>
      <c r="D75" t="inlineStr">
        <is>
          <t>Short</t>
        </is>
      </c>
      <c r="E75" t="n">
        <v>54</v>
      </c>
      <c r="F75" t="inlineStr">
        <is>
          <t>down</t>
        </is>
      </c>
      <c r="G75" t="inlineStr">
        <is>
          <t>down</t>
        </is>
      </c>
      <c r="H75" t="inlineStr">
        <is>
          <t>down</t>
        </is>
      </c>
      <c r="I75" t="inlineStr">
        <is>
          <t>down</t>
        </is>
      </c>
      <c r="J75" t="n">
        <v>46</v>
      </c>
      <c r="K75" t="inlineStr">
        <is>
          <t>bear</t>
        </is>
      </c>
      <c r="L75" t="inlineStr">
        <is>
          <t>-</t>
        </is>
      </c>
      <c r="M75" t="n">
        <v>29.7</v>
      </c>
      <c r="N75" t="n">
        <v>7.41</v>
      </c>
      <c r="O75" t="n">
        <v>4629.45</v>
      </c>
      <c r="P75" t="inlineStr">
        <is>
          <t>above</t>
        </is>
      </c>
      <c r="Q75" t="n">
        <v>4630.62</v>
      </c>
      <c r="R75" t="n">
        <v>0.7</v>
      </c>
      <c r="S75" t="n">
        <v>-1346</v>
      </c>
      <c r="T75" t="inlineStr">
        <is>
          <t>Yes</t>
        </is>
      </c>
      <c r="U75" t="inlineStr">
        <is>
          <t>Yes</t>
        </is>
      </c>
    </row>
    <row r="76">
      <c r="A76" t="inlineStr">
        <is>
          <t>2026-08-28</t>
        </is>
      </c>
      <c r="B76" t="inlineStr">
        <is>
          <t>10:09</t>
        </is>
      </c>
      <c r="C76" t="inlineStr">
        <is>
          <t>MGC</t>
        </is>
      </c>
      <c r="D76" t="inlineStr">
        <is>
          <t>Short</t>
        </is>
      </c>
      <c r="E76" t="n">
        <v>426</v>
      </c>
      <c r="F76" t="inlineStr">
        <is>
          <t>down</t>
        </is>
      </c>
      <c r="G76" t="inlineStr">
        <is>
          <t>down</t>
        </is>
      </c>
      <c r="H76" t="inlineStr">
        <is>
          <t>down</t>
        </is>
      </c>
      <c r="I76" t="inlineStr">
        <is>
          <t>down</t>
        </is>
      </c>
      <c r="J76" t="n">
        <v>27.3</v>
      </c>
      <c r="K76" t="inlineStr">
        <is>
          <t>bear</t>
        </is>
      </c>
      <c r="L76" t="inlineStr">
        <is>
          <t>-</t>
        </is>
      </c>
      <c r="M76" t="n">
        <v>22.3</v>
      </c>
      <c r="N76" t="n">
        <v>12.36</v>
      </c>
      <c r="O76" t="n">
        <v>4643.29</v>
      </c>
      <c r="P76" t="inlineStr">
        <is>
          <t>below</t>
        </is>
      </c>
      <c r="Q76" t="n">
        <v>4656.24</v>
      </c>
      <c r="R76" t="n">
        <v>8.82</v>
      </c>
      <c r="S76" t="n">
        <v>-4681</v>
      </c>
      <c r="T76" t="inlineStr">
        <is>
          <t>Yes</t>
        </is>
      </c>
      <c r="U76" t="inlineStr">
        <is>
          <t>Yes</t>
        </is>
      </c>
    </row>
    <row r="77">
      <c r="A77" t="inlineStr">
        <is>
          <t>2026-08-28</t>
        </is>
      </c>
      <c r="B77" t="inlineStr">
        <is>
          <t>10:25</t>
        </is>
      </c>
      <c r="C77" t="inlineStr">
        <is>
          <t>MNQ</t>
        </is>
      </c>
      <c r="D77" t="inlineStr">
        <is>
          <t>Short</t>
        </is>
      </c>
      <c r="E77" t="n">
        <v>134</v>
      </c>
      <c r="F77" t="inlineStr">
        <is>
          <t>up</t>
        </is>
      </c>
      <c r="G77" t="inlineStr">
        <is>
          <t>up</t>
        </is>
      </c>
      <c r="H77" t="inlineStr">
        <is>
          <t>down</t>
        </is>
      </c>
      <c r="I77" t="inlineStr">
        <is>
          <t>down</t>
        </is>
      </c>
      <c r="J77" t="n">
        <v>53.9</v>
      </c>
      <c r="K77" t="inlineStr">
        <is>
          <t>bear</t>
        </is>
      </c>
      <c r="L77" t="inlineStr">
        <is>
          <t>-</t>
        </is>
      </c>
      <c r="M77" t="n">
        <v>15</v>
      </c>
      <c r="N77" t="n">
        <v>48.7</v>
      </c>
      <c r="O77" t="n">
        <v>29621.34</v>
      </c>
      <c r="P77" t="inlineStr">
        <is>
          <t>above</t>
        </is>
      </c>
      <c r="Q77" t="n">
        <v>29597.96</v>
      </c>
      <c r="R77" t="n">
        <v>1.3</v>
      </c>
      <c r="S77" t="n">
        <v>-1405</v>
      </c>
      <c r="T77" t="inlineStr">
        <is>
          <t>No</t>
        </is>
      </c>
      <c r="U77" t="inlineStr">
        <is>
          <t>No</t>
        </is>
      </c>
    </row>
    <row r="78">
      <c r="A78" t="inlineStr">
        <is>
          <t>2026-08-28</t>
        </is>
      </c>
      <c r="B78" t="inlineStr">
        <is>
          <t>10:40</t>
        </is>
      </c>
      <c r="C78" t="inlineStr">
        <is>
          <t>MNQ</t>
        </is>
      </c>
      <c r="D78" t="inlineStr">
        <is>
          <t>Short</t>
        </is>
      </c>
      <c r="E78" t="n">
        <v>-102</v>
      </c>
      <c r="F78" t="inlineStr">
        <is>
          <t>up</t>
        </is>
      </c>
      <c r="G78" t="inlineStr">
        <is>
          <t>up</t>
        </is>
      </c>
      <c r="H78" t="inlineStr">
        <is>
          <t>down</t>
        </is>
      </c>
      <c r="I78" t="inlineStr">
        <is>
          <t>up</t>
        </is>
      </c>
      <c r="J78" t="n">
        <v>64.59999999999999</v>
      </c>
      <c r="K78" t="inlineStr">
        <is>
          <t>bull</t>
        </is>
      </c>
      <c r="L78" t="inlineStr">
        <is>
          <t>+</t>
        </is>
      </c>
      <c r="M78" t="n">
        <v>16.3</v>
      </c>
      <c r="N78" t="n">
        <v>50.22</v>
      </c>
      <c r="O78" t="n">
        <v>29632.07</v>
      </c>
      <c r="P78" t="inlineStr">
        <is>
          <t>above</t>
        </is>
      </c>
      <c r="Q78" t="n">
        <v>29597.61</v>
      </c>
      <c r="R78" t="n">
        <v>1.47</v>
      </c>
      <c r="S78" t="n">
        <v>7992</v>
      </c>
      <c r="T78" t="inlineStr">
        <is>
          <t>No</t>
        </is>
      </c>
      <c r="U78" t="inlineStr">
        <is>
          <t>No</t>
        </is>
      </c>
    </row>
    <row r="79">
      <c r="A79" t="inlineStr">
        <is>
          <t>2026-08-28</t>
        </is>
      </c>
      <c r="B79" t="inlineStr">
        <is>
          <t>11:12</t>
        </is>
      </c>
      <c r="C79" t="inlineStr">
        <is>
          <t>MNQ</t>
        </is>
      </c>
      <c r="D79" t="inlineStr">
        <is>
          <t>Short</t>
        </is>
      </c>
      <c r="E79" t="n">
        <v>-13.5</v>
      </c>
      <c r="F79" t="inlineStr">
        <is>
          <t>up</t>
        </is>
      </c>
      <c r="G79" t="inlineStr">
        <is>
          <t>up</t>
        </is>
      </c>
      <c r="H79" t="inlineStr">
        <is>
          <t>up</t>
        </is>
      </c>
      <c r="I79" t="inlineStr">
        <is>
          <t>up</t>
        </is>
      </c>
      <c r="J79" t="n">
        <v>60.3</v>
      </c>
      <c r="K79" t="inlineStr">
        <is>
          <t>bull</t>
        </is>
      </c>
      <c r="L79" t="inlineStr">
        <is>
          <t>+</t>
        </is>
      </c>
      <c r="M79" t="n">
        <v>22.7</v>
      </c>
      <c r="N79" t="n">
        <v>45.18</v>
      </c>
      <c r="O79" t="n">
        <v>29661.43</v>
      </c>
      <c r="P79" t="inlineStr">
        <is>
          <t>above</t>
        </is>
      </c>
      <c r="Q79" t="n">
        <v>29677.41</v>
      </c>
      <c r="R79" t="n">
        <v>1.4</v>
      </c>
      <c r="S79" t="n">
        <v>19065</v>
      </c>
      <c r="T79" t="inlineStr">
        <is>
          <t>No</t>
        </is>
      </c>
      <c r="U79" t="inlineStr">
        <is>
          <t>No</t>
        </is>
      </c>
    </row>
    <row r="80">
      <c r="A80" t="inlineStr">
        <is>
          <t>2026-08-28</t>
        </is>
      </c>
      <c r="B80" t="inlineStr">
        <is>
          <t>12:53</t>
        </is>
      </c>
      <c r="C80" t="inlineStr">
        <is>
          <t>MNQ</t>
        </is>
      </c>
      <c r="D80" t="inlineStr">
        <is>
          <t>Long</t>
        </is>
      </c>
      <c r="E80" t="n">
        <v>-162</v>
      </c>
      <c r="F80" t="inlineStr">
        <is>
          <t>flat</t>
        </is>
      </c>
      <c r="G80" t="inlineStr">
        <is>
          <t>up</t>
        </is>
      </c>
      <c r="H80" t="inlineStr">
        <is>
          <t>down</t>
        </is>
      </c>
      <c r="I80" t="inlineStr">
        <is>
          <t>down</t>
        </is>
      </c>
      <c r="J80" t="n">
        <v>39.7</v>
      </c>
      <c r="K80" t="inlineStr">
        <is>
          <t>bear</t>
        </is>
      </c>
      <c r="L80" t="inlineStr">
        <is>
          <t>-</t>
        </is>
      </c>
      <c r="M80" t="n">
        <v>31.6</v>
      </c>
      <c r="N80" t="n">
        <v>49.23</v>
      </c>
      <c r="O80" t="n">
        <v>29635.25</v>
      </c>
      <c r="P80" t="inlineStr">
        <is>
          <t>below</t>
        </is>
      </c>
      <c r="Q80" t="n">
        <v>29651.01</v>
      </c>
      <c r="R80" t="n">
        <v>1.55</v>
      </c>
      <c r="S80" t="n">
        <v>-22938</v>
      </c>
      <c r="T80" t="inlineStr">
        <is>
          <t>No</t>
        </is>
      </c>
      <c r="U80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  <row r="2">
      <c r="A2" t="inlineStr">
        <is>
          <t>2026-08-13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CPI</t>
        </is>
      </c>
      <c r="F2" t="inlineStr">
        <is>
          <t>0.2%</t>
        </is>
      </c>
      <c r="G2" t="inlineStr">
        <is>
          <t>0.2%</t>
        </is>
      </c>
      <c r="H2" t="inlineStr">
        <is>
          <t>0.0%</t>
        </is>
      </c>
    </row>
    <row r="3">
      <c r="A3" t="inlineStr">
        <is>
          <t>2026-08-14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PPI</t>
        </is>
      </c>
      <c r="F3" t="inlineStr">
        <is>
          <t>0.2%</t>
        </is>
      </c>
      <c r="G3" t="inlineStr">
        <is>
          <t>0.3%</t>
        </is>
      </c>
      <c r="H3" t="inlineStr">
        <is>
          <t>0.4%</t>
        </is>
      </c>
    </row>
    <row r="4">
      <c r="A4" t="inlineStr">
        <is>
          <t>2026-08-15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-0.3%</t>
        </is>
      </c>
      <c r="G4" t="inlineStr">
        <is>
          <t>0.2%</t>
        </is>
      </c>
      <c r="H4" t="inlineStr">
        <is>
          <t>-0.2%</t>
        </is>
      </c>
    </row>
    <row r="5">
      <c r="A5" t="inlineStr">
        <is>
          <t>2026-08-20</t>
        </is>
      </c>
      <c r="B5" t="inlineStr">
        <is>
          <t>14:00</t>
        </is>
      </c>
      <c r="C5" t="inlineStr">
        <is>
          <t>USD</t>
        </is>
      </c>
      <c r="D5" t="inlineStr">
        <is>
          <t>High</t>
        </is>
      </c>
      <c r="E5" t="inlineStr">
        <is>
          <t>FOMC Minutes</t>
        </is>
      </c>
    </row>
    <row r="6">
      <c r="A6" t="inlineStr">
        <is>
          <t>2026-08-27</t>
        </is>
      </c>
      <c r="B6" t="inlineStr">
        <is>
          <t>08:30</t>
        </is>
      </c>
      <c r="C6" t="inlineStr">
        <is>
          <t>USD</t>
        </is>
      </c>
      <c r="D6" t="inlineStr">
        <is>
          <t>High</t>
        </is>
      </c>
      <c r="E6" t="inlineStr">
        <is>
          <t>PCE</t>
        </is>
      </c>
      <c r="F6" t="inlineStr">
        <is>
          <t>0.2%</t>
        </is>
      </c>
      <c r="G6" t="inlineStr">
        <is>
          <t>0.2%</t>
        </is>
      </c>
      <c r="H6" t="inlineStr">
        <is>
          <t>0.1%</t>
        </is>
      </c>
    </row>
    <row r="7">
      <c r="A7" t="inlineStr">
        <is>
          <t>2026-08-27</t>
        </is>
      </c>
      <c r="B7" t="inlineStr">
        <is>
          <t>08:30</t>
        </is>
      </c>
      <c r="C7" t="inlineStr">
        <is>
          <t>USD</t>
        </is>
      </c>
      <c r="D7" t="inlineStr">
        <is>
          <t>High</t>
        </is>
      </c>
      <c r="E7" t="inlineStr">
        <is>
          <t>GDP</t>
        </is>
      </c>
      <c r="F7" t="inlineStr">
        <is>
          <t>1.5%</t>
        </is>
      </c>
      <c r="G7" t="inlineStr">
        <is>
          <t>1.5%</t>
        </is>
      </c>
      <c r="H7" t="inlineStr">
        <is>
          <t>2.1%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2026-08-30 00:20</t>
        </is>
      </c>
    </row>
    <row r="3">
      <c r="A3" t="inlineStr">
        <is>
          <t>Date range</t>
        </is>
      </c>
      <c r="B3" t="inlineStr">
        <is>
          <t>2026-08-11 → 2026-08-28</t>
        </is>
      </c>
    </row>
    <row r="4">
      <c r="A4" t="inlineStr">
        <is>
          <t>Trades</t>
        </is>
      </c>
      <c r="B4" t="n">
        <v>79</v>
      </c>
    </row>
    <row r="5">
      <c r="A5" t="inlineStr">
        <is>
          <t>Win rate</t>
        </is>
      </c>
      <c r="B5" t="inlineStr">
        <is>
          <t>54.4%</t>
        </is>
      </c>
    </row>
    <row r="6">
      <c r="A6" t="inlineStr">
        <is>
          <t>Total P&amp;L</t>
        </is>
      </c>
      <c r="B6" t="n">
        <v>1809.5</v>
      </c>
    </row>
    <row r="7">
      <c r="A7" t="inlineStr">
        <is>
          <t>Profit factor</t>
        </is>
      </c>
      <c r="B7" t="n">
        <v>1.24</v>
      </c>
    </row>
    <row r="8">
      <c r="A8" t="inlineStr">
        <is>
          <t>Expectancy / trade</t>
        </is>
      </c>
      <c r="B8" t="n">
        <v>22.91</v>
      </c>
    </row>
    <row r="9">
      <c r="A9" t="inlineStr">
        <is>
          <t>Avg win</t>
        </is>
      </c>
      <c r="B9" t="n">
        <v>217.72</v>
      </c>
    </row>
    <row r="10">
      <c r="A10" t="inlineStr">
        <is>
          <t>Avg loss</t>
        </is>
      </c>
      <c r="B10" t="n">
        <v>-209.79</v>
      </c>
    </row>
    <row r="11">
      <c r="A11" t="inlineStr">
        <is>
          <t>Avg RR targeted</t>
        </is>
      </c>
      <c r="B11" t="n">
        <v>1.38</v>
      </c>
    </row>
    <row r="12">
      <c r="A12" t="inlineStr">
        <is>
          <t>Avg RR realized</t>
        </is>
      </c>
      <c r="B12" t="n">
        <v>0.01</v>
      </c>
    </row>
    <row r="13">
      <c r="A13" t="inlineStr">
        <is>
          <t>Max drawdown</t>
        </is>
      </c>
      <c r="B13" t="n">
        <v>-1750</v>
      </c>
    </row>
    <row r="14">
      <c r="A14" t="inlineStr">
        <is>
          <t>Max win streak</t>
        </is>
      </c>
      <c r="B14" t="n">
        <v>8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77</v>
      </c>
      <c r="C19" t="inlineStr">
        <is>
          <t>55%</t>
        </is>
      </c>
      <c r="D19" t="n">
        <v>1900.5</v>
      </c>
      <c r="E19" t="n">
        <v>24.68</v>
      </c>
    </row>
    <row r="20">
      <c r="A20" t="inlineStr">
        <is>
          <t>Rejection</t>
        </is>
      </c>
      <c r="B20" t="n">
        <v>1</v>
      </c>
      <c r="C20" t="inlineStr">
        <is>
          <t>100%</t>
        </is>
      </c>
      <c r="D20" t="n">
        <v>134</v>
      </c>
      <c r="E20" t="n">
        <v>134</v>
      </c>
    </row>
    <row r="21">
      <c r="A21" t="inlineStr">
        <is>
          <t>Break and Retest, Rejection</t>
        </is>
      </c>
      <c r="B21" t="n">
        <v>1</v>
      </c>
      <c r="C21" t="inlineStr">
        <is>
          <t>0%</t>
        </is>
      </c>
      <c r="D21" t="n">
        <v>-225</v>
      </c>
      <c r="E21" t="n">
        <v>-225</v>
      </c>
    </row>
    <row r="23">
      <c r="A23" s="24" t="inlineStr">
        <is>
          <t>By Instrument</t>
        </is>
      </c>
    </row>
    <row r="24">
      <c r="A24" s="23" t="inlineStr">
        <is>
          <t>Instrument</t>
        </is>
      </c>
      <c r="B24" s="23" t="inlineStr">
        <is>
          <t>Trades</t>
        </is>
      </c>
      <c r="C24" s="23" t="inlineStr">
        <is>
          <t>Win %</t>
        </is>
      </c>
      <c r="D24" s="23" t="inlineStr">
        <is>
          <t>Total P&amp;L</t>
        </is>
      </c>
      <c r="E24" s="23" t="inlineStr">
        <is>
          <t>Expectancy</t>
        </is>
      </c>
    </row>
    <row r="25">
      <c r="A25" t="inlineStr">
        <is>
          <t>MGC</t>
        </is>
      </c>
      <c r="B25" t="n">
        <v>43</v>
      </c>
      <c r="C25" t="inlineStr">
        <is>
          <t>53%</t>
        </is>
      </c>
      <c r="D25" t="n">
        <v>1438</v>
      </c>
      <c r="E25" t="n">
        <v>33.44</v>
      </c>
    </row>
    <row r="26">
      <c r="A26" t="inlineStr">
        <is>
          <t>MNQ</t>
        </is>
      </c>
      <c r="B26" t="n">
        <v>36</v>
      </c>
      <c r="C26" t="inlineStr">
        <is>
          <t>56%</t>
        </is>
      </c>
      <c r="D26" t="n">
        <v>371.5</v>
      </c>
      <c r="E26" t="n">
        <v>10.32</v>
      </c>
    </row>
    <row r="28">
      <c r="A28" s="24" t="inlineStr">
        <is>
          <t>By Direction</t>
        </is>
      </c>
    </row>
    <row r="29">
      <c r="A29" s="23" t="inlineStr">
        <is>
          <t>Direction</t>
        </is>
      </c>
      <c r="B29" s="23" t="inlineStr">
        <is>
          <t>Trades</t>
        </is>
      </c>
      <c r="C29" s="23" t="inlineStr">
        <is>
          <t>Win %</t>
        </is>
      </c>
      <c r="D29" s="23" t="inlineStr">
        <is>
          <t>Total P&amp;L</t>
        </is>
      </c>
      <c r="E29" s="23" t="inlineStr">
        <is>
          <t>Expectancy</t>
        </is>
      </c>
    </row>
    <row r="30">
      <c r="A30" t="inlineStr">
        <is>
          <t>Long</t>
        </is>
      </c>
      <c r="B30" t="n">
        <v>44</v>
      </c>
      <c r="C30" t="inlineStr">
        <is>
          <t>52%</t>
        </is>
      </c>
      <c r="D30" t="n">
        <v>2150</v>
      </c>
      <c r="E30" t="n">
        <v>48.86</v>
      </c>
    </row>
    <row r="31">
      <c r="A31" t="inlineStr">
        <is>
          <t>Short</t>
        </is>
      </c>
      <c r="B31" t="n">
        <v>35</v>
      </c>
      <c r="C31" t="inlineStr">
        <is>
          <t>57%</t>
        </is>
      </c>
      <c r="D31" t="n">
        <v>-340.5</v>
      </c>
      <c r="E31" t="n">
        <v>-9.73</v>
      </c>
    </row>
    <row r="33">
      <c r="A33" s="24" t="inlineStr">
        <is>
          <t>By Hour</t>
        </is>
      </c>
    </row>
    <row r="34">
      <c r="A34" s="23" t="inlineStr">
        <is>
          <t>Hour</t>
        </is>
      </c>
      <c r="B34" s="23" t="inlineStr">
        <is>
          <t>Trades</t>
        </is>
      </c>
      <c r="C34" s="23" t="inlineStr">
        <is>
          <t>Win %</t>
        </is>
      </c>
      <c r="D34" s="23" t="inlineStr">
        <is>
          <t>Total P&amp;L</t>
        </is>
      </c>
      <c r="E34" s="23" t="inlineStr">
        <is>
          <t>Expectancy</t>
        </is>
      </c>
    </row>
    <row r="35">
      <c r="A35" t="inlineStr">
        <is>
          <t>00:00</t>
        </is>
      </c>
      <c r="B35" t="n">
        <v>1</v>
      </c>
      <c r="C35" t="inlineStr">
        <is>
          <t>100%</t>
        </is>
      </c>
      <c r="D35" t="n">
        <v>16</v>
      </c>
      <c r="E35" t="n">
        <v>16</v>
      </c>
    </row>
    <row r="36">
      <c r="A36" t="inlineStr">
        <is>
          <t>08:00</t>
        </is>
      </c>
      <c r="B36" t="n">
        <v>1</v>
      </c>
      <c r="C36" t="inlineStr">
        <is>
          <t>0%</t>
        </is>
      </c>
      <c r="D36" t="n">
        <v>-57</v>
      </c>
      <c r="E36" t="n">
        <v>-57</v>
      </c>
    </row>
    <row r="37">
      <c r="A37" t="inlineStr">
        <is>
          <t>09:00</t>
        </is>
      </c>
      <c r="B37" t="n">
        <v>15</v>
      </c>
      <c r="C37" t="inlineStr">
        <is>
          <t>73%</t>
        </is>
      </c>
      <c r="D37" t="n">
        <v>1902.5</v>
      </c>
      <c r="E37" t="n">
        <v>126.83</v>
      </c>
    </row>
    <row r="38">
      <c r="A38" t="inlineStr">
        <is>
          <t>10:00</t>
        </is>
      </c>
      <c r="B38" t="n">
        <v>16</v>
      </c>
      <c r="C38" t="inlineStr">
        <is>
          <t>50%</t>
        </is>
      </c>
      <c r="D38" t="n">
        <v>295.5</v>
      </c>
      <c r="E38" t="n">
        <v>18.47</v>
      </c>
    </row>
    <row r="39">
      <c r="A39" t="inlineStr">
        <is>
          <t>11:00</t>
        </is>
      </c>
      <c r="B39" t="n">
        <v>10</v>
      </c>
      <c r="C39" t="inlineStr">
        <is>
          <t>40%</t>
        </is>
      </c>
      <c r="D39" t="n">
        <v>-139</v>
      </c>
      <c r="E39" t="n">
        <v>-13.9</v>
      </c>
    </row>
    <row r="40">
      <c r="A40" t="inlineStr">
        <is>
          <t>12:00</t>
        </is>
      </c>
      <c r="B40" t="n">
        <v>6</v>
      </c>
      <c r="C40" t="inlineStr">
        <is>
          <t>83%</t>
        </is>
      </c>
      <c r="D40" t="n">
        <v>-2</v>
      </c>
      <c r="E40" t="n">
        <v>-0.33</v>
      </c>
    </row>
    <row r="41">
      <c r="A41" t="inlineStr">
        <is>
          <t>13:00</t>
        </is>
      </c>
      <c r="B41" t="n">
        <v>1</v>
      </c>
      <c r="C41" t="inlineStr">
        <is>
          <t>0%</t>
        </is>
      </c>
      <c r="D41" t="n">
        <v>-255</v>
      </c>
      <c r="E41" t="n">
        <v>-255</v>
      </c>
    </row>
    <row r="42">
      <c r="A42" t="inlineStr">
        <is>
          <t>14:00</t>
        </is>
      </c>
      <c r="B42" t="n">
        <v>2</v>
      </c>
      <c r="C42" t="inlineStr">
        <is>
          <t>0%</t>
        </is>
      </c>
      <c r="D42" t="n">
        <v>-402</v>
      </c>
      <c r="E42" t="n">
        <v>-201</v>
      </c>
    </row>
    <row r="43">
      <c r="A43" t="inlineStr">
        <is>
          <t>15:00</t>
        </is>
      </c>
      <c r="B43" t="n">
        <v>1</v>
      </c>
      <c r="C43" t="inlineStr">
        <is>
          <t>0%</t>
        </is>
      </c>
      <c r="D43" t="n">
        <v>-120</v>
      </c>
      <c r="E43" t="n">
        <v>-120</v>
      </c>
    </row>
    <row r="44">
      <c r="A44" t="inlineStr">
        <is>
          <t>19:00</t>
        </is>
      </c>
      <c r="B44" t="n">
        <v>7</v>
      </c>
      <c r="C44" t="inlineStr">
        <is>
          <t>57%</t>
        </is>
      </c>
      <c r="D44" t="n">
        <v>-1470.5</v>
      </c>
      <c r="E44" t="n">
        <v>-210.07</v>
      </c>
    </row>
    <row r="45">
      <c r="A45" t="inlineStr">
        <is>
          <t>20:00</t>
        </is>
      </c>
      <c r="B45" t="n">
        <v>4</v>
      </c>
      <c r="C45" t="inlineStr">
        <is>
          <t>50%</t>
        </is>
      </c>
      <c r="D45" t="n">
        <v>457</v>
      </c>
      <c r="E45" t="n">
        <v>114.25</v>
      </c>
    </row>
    <row r="46">
      <c r="A46" t="inlineStr">
        <is>
          <t>21:00</t>
        </is>
      </c>
      <c r="B46" t="n">
        <v>5</v>
      </c>
      <c r="C46" t="inlineStr">
        <is>
          <t>80%</t>
        </is>
      </c>
      <c r="D46" t="n">
        <v>503</v>
      </c>
      <c r="E46" t="n">
        <v>100.6</v>
      </c>
    </row>
    <row r="47">
      <c r="A47" t="inlineStr">
        <is>
          <t>22:00</t>
        </is>
      </c>
      <c r="B47" t="n">
        <v>5</v>
      </c>
      <c r="C47" t="inlineStr">
        <is>
          <t>40%</t>
        </is>
      </c>
      <c r="D47" t="n">
        <v>1886</v>
      </c>
      <c r="E47" t="n">
        <v>377.2</v>
      </c>
    </row>
    <row r="48">
      <c r="A48" t="inlineStr">
        <is>
          <t>23:00</t>
        </is>
      </c>
      <c r="B48" t="n">
        <v>5</v>
      </c>
      <c r="C48" t="inlineStr">
        <is>
          <t>40%</t>
        </is>
      </c>
      <c r="D48" t="n">
        <v>-805</v>
      </c>
      <c r="E48" t="n">
        <v>-161</v>
      </c>
    </row>
    <row r="50">
      <c r="A50" s="24" t="inlineStr">
        <is>
          <t>By Day of Week</t>
        </is>
      </c>
    </row>
    <row r="51">
      <c r="A51" s="23" t="inlineStr">
        <is>
          <t>Day</t>
        </is>
      </c>
      <c r="B51" s="23" t="inlineStr">
        <is>
          <t>Trades</t>
        </is>
      </c>
      <c r="C51" s="23" t="inlineStr">
        <is>
          <t>Win %</t>
        </is>
      </c>
      <c r="D51" s="23" t="inlineStr">
        <is>
          <t>Total P&amp;L</t>
        </is>
      </c>
      <c r="E51" s="23" t="inlineStr">
        <is>
          <t>Expectancy</t>
        </is>
      </c>
    </row>
    <row r="52">
      <c r="A52" t="inlineStr">
        <is>
          <t>Thu</t>
        </is>
      </c>
      <c r="B52" t="n">
        <v>9</v>
      </c>
      <c r="C52" t="inlineStr">
        <is>
          <t>56%</t>
        </is>
      </c>
      <c r="D52" t="n">
        <v>1387</v>
      </c>
      <c r="E52" t="n">
        <v>154.11</v>
      </c>
    </row>
    <row r="53">
      <c r="A53" t="inlineStr">
        <is>
          <t>Fri</t>
        </is>
      </c>
      <c r="B53" t="n">
        <v>12</v>
      </c>
      <c r="C53" t="inlineStr">
        <is>
          <t>67%</t>
        </is>
      </c>
      <c r="D53" t="n">
        <v>930.5</v>
      </c>
      <c r="E53" t="n">
        <v>77.54000000000001</v>
      </c>
    </row>
    <row r="54">
      <c r="A54" t="inlineStr">
        <is>
          <t>Sun</t>
        </is>
      </c>
      <c r="B54" t="n">
        <v>5</v>
      </c>
      <c r="C54" t="inlineStr">
        <is>
          <t>40%</t>
        </is>
      </c>
      <c r="D54" t="n">
        <v>163</v>
      </c>
      <c r="E54" t="n">
        <v>32.6</v>
      </c>
    </row>
    <row r="55">
      <c r="A55" t="inlineStr">
        <is>
          <t>Wed</t>
        </is>
      </c>
      <c r="B55" t="n">
        <v>25</v>
      </c>
      <c r="C55" t="inlineStr">
        <is>
          <t>60%</t>
        </is>
      </c>
      <c r="D55" t="n">
        <v>-8.5</v>
      </c>
      <c r="E55" t="n">
        <v>-0.34</v>
      </c>
    </row>
    <row r="56">
      <c r="A56" t="inlineStr">
        <is>
          <t>Mon</t>
        </is>
      </c>
      <c r="B56" t="n">
        <v>7</v>
      </c>
      <c r="C56" t="inlineStr">
        <is>
          <t>43%</t>
        </is>
      </c>
      <c r="D56" t="n">
        <v>-237.5</v>
      </c>
      <c r="E56" t="n">
        <v>-33.93</v>
      </c>
    </row>
    <row r="57">
      <c r="A57" t="inlineStr">
        <is>
          <t>Tue</t>
        </is>
      </c>
      <c r="B57" t="n">
        <v>21</v>
      </c>
      <c r="C57" t="inlineStr">
        <is>
          <t>48%</t>
        </is>
      </c>
      <c r="D57" t="n">
        <v>-425</v>
      </c>
      <c r="E57" t="n">
        <v>-20.24</v>
      </c>
    </row>
    <row r="59">
      <c r="A59" s="24" t="inlineStr">
        <is>
          <t>Behavior Flags</t>
        </is>
      </c>
    </row>
    <row r="60">
      <c r="A60" t="inlineStr">
        <is>
          <t>Overtrading</t>
        </is>
      </c>
      <c r="B60" t="inlineStr">
        <is>
          <t>11 trades on 2026-08-11 (&gt; 6)</t>
        </is>
      </c>
    </row>
    <row r="61">
      <c r="A61" t="inlineStr">
        <is>
          <t>Overtrading</t>
        </is>
      </c>
      <c r="B61" t="inlineStr">
        <is>
          <t>9 trades on 2026-08-12 (&gt; 6)</t>
        </is>
      </c>
    </row>
    <row r="62">
      <c r="A62" t="inlineStr">
        <is>
          <t>Overtrading</t>
        </is>
      </c>
      <c r="B62" t="inlineStr">
        <is>
          <t>12 trades on 2026-08-26 (&gt; 6)</t>
        </is>
      </c>
    </row>
    <row r="63">
      <c r="A63" t="inlineStr">
        <is>
          <t>Possible revenge trade</t>
        </is>
      </c>
      <c r="B63" t="inlineStr">
        <is>
          <t>MGC Short at 08/11 19:34 — 4 min after a loss, size 10</t>
        </is>
      </c>
    </row>
    <row r="64">
      <c r="A64" t="inlineStr">
        <is>
          <t>Possible revenge trade</t>
        </is>
      </c>
      <c r="B64" t="inlineStr">
        <is>
          <t>MGC Long at 08/11 23:25 — 14 min after a loss, size 10</t>
        </is>
      </c>
    </row>
    <row r="65">
      <c r="A65" t="inlineStr">
        <is>
          <t>Possible revenge trade</t>
        </is>
      </c>
      <c r="B65" t="inlineStr">
        <is>
          <t>MGC Short at 08/11 23:36 — 11 min after a loss, size 20</t>
        </is>
      </c>
    </row>
    <row r="66">
      <c r="A66" t="inlineStr">
        <is>
          <t>Possible revenge trade</t>
        </is>
      </c>
      <c r="B66" t="inlineStr">
        <is>
          <t>MGC Short at 08/13 22:59 — 9 min after a loss, size 3</t>
        </is>
      </c>
    </row>
    <row r="67">
      <c r="A67" t="inlineStr">
        <is>
          <t>Possible revenge trade</t>
        </is>
      </c>
      <c r="B67" t="inlineStr">
        <is>
          <t>MGC Long at 08/18 10:08 — 8 min after a loss, size 3</t>
        </is>
      </c>
    </row>
    <row r="68">
      <c r="A68" t="inlineStr">
        <is>
          <t>Possible revenge trade</t>
        </is>
      </c>
      <c r="B68" t="inlineStr">
        <is>
          <t>MNQ Short at 08/18 10:21 — 5 min after a loss, size 3</t>
        </is>
      </c>
    </row>
    <row r="69">
      <c r="A69" t="inlineStr">
        <is>
          <t>Possible revenge trade</t>
        </is>
      </c>
      <c r="B69" t="inlineStr">
        <is>
          <t>MGC Long at 08/23 19:46 — 11 min after a loss, size 1</t>
        </is>
      </c>
    </row>
    <row r="70">
      <c r="A70" t="inlineStr">
        <is>
          <t>Possible revenge trade</t>
        </is>
      </c>
      <c r="B70" t="inlineStr">
        <is>
          <t>MGC Long at 08/23 20:28 — 5 min after a loss, size 2</t>
        </is>
      </c>
    </row>
    <row r="71">
      <c r="A71" t="inlineStr">
        <is>
          <t>Possible revenge trade</t>
        </is>
      </c>
      <c r="B71" t="inlineStr">
        <is>
          <t>MNQ Short at 08/24 11:13 — 15 min after a loss, size 5</t>
        </is>
      </c>
    </row>
    <row r="72">
      <c r="A72" t="inlineStr">
        <is>
          <t>Possible revenge trade</t>
        </is>
      </c>
      <c r="B72" t="inlineStr">
        <is>
          <t>MGC Short at 08/26 11:55 — 9 min after a loss, size 5</t>
        </is>
      </c>
    </row>
    <row r="73">
      <c r="A73" t="inlineStr">
        <is>
          <t>Possible revenge trade</t>
        </is>
      </c>
      <c r="B73" t="inlineStr">
        <is>
          <t>MNQ Long at 08/26 21:16 — 11 min after a loss, size 12</t>
        </is>
      </c>
    </row>
    <row r="74">
      <c r="A74" t="inlineStr">
        <is>
          <t>Stop overrun</t>
        </is>
      </c>
      <c r="B74" t="inlineStr">
        <is>
          <t>MNQ 08/12 11:57 realized RR -1.19 (worse than -1R)</t>
        </is>
      </c>
    </row>
    <row r="75">
      <c r="A75" t="inlineStr">
        <is>
          <t>Stop overrun</t>
        </is>
      </c>
      <c r="B75" t="inlineStr">
        <is>
          <t>MNQ 08/18 10:21 realized RR -1.19 (worse than -1R)</t>
        </is>
      </c>
    </row>
    <row r="76">
      <c r="A76" t="inlineStr">
        <is>
          <t>Winner cut short</t>
        </is>
      </c>
      <c r="B76" t="inlineStr">
        <is>
          <t>MGC 08/11 19:27 took 0.18R of 0.42R target</t>
        </is>
      </c>
    </row>
    <row r="77">
      <c r="A77" t="inlineStr">
        <is>
          <t>Winner cut short</t>
        </is>
      </c>
      <c r="B77" t="inlineStr">
        <is>
          <t>MNQ 08/25 10:32 took 0.49R of 2.16R target</t>
        </is>
      </c>
    </row>
    <row r="78">
      <c r="A78" t="inlineStr">
        <is>
          <t>Inconsistent sizing</t>
        </is>
      </c>
      <c r="B78" t="inlineStr">
        <is>
          <t>Position size varies a lot (CV 1.11)</t>
        </is>
      </c>
    </row>
    <row r="79">
      <c r="A79" t="inlineStr">
        <is>
          <t>Negative-edge hour</t>
        </is>
      </c>
      <c r="B79" t="inlineStr">
        <is>
          <t>12:00: 6 trades, 83% win, $-2 total</t>
        </is>
      </c>
    </row>
    <row r="80">
      <c r="A80" t="inlineStr">
        <is>
          <t>Negative-edge hour</t>
        </is>
      </c>
      <c r="B80" t="inlineStr">
        <is>
          <t>11:00: 10 trades, 40% win, $-139 total</t>
        </is>
      </c>
    </row>
    <row r="81">
      <c r="A81" t="inlineStr">
        <is>
          <t>Negative-edge hour</t>
        </is>
      </c>
      <c r="B81" t="inlineStr">
        <is>
          <t>23:00: 5 trades, 40% win, $-805 total</t>
        </is>
      </c>
    </row>
    <row r="82">
      <c r="A82" t="inlineStr">
        <is>
          <t>Negative-edge hour</t>
        </is>
      </c>
      <c r="B82" t="inlineStr">
        <is>
          <t>19:00: 7 trades, 57% win, $-1471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No prior memory on file — this is a fresh read. Here's the review.</t>
        </is>
      </c>
    </row>
    <row r="4">
      <c r="A4" s="14" t="inlineStr"/>
    </row>
    <row r="5">
      <c r="A5" s="14" t="inlineStr">
        <is>
          <t>## Bottom line</t>
        </is>
      </c>
    </row>
    <row r="6">
      <c r="A6" s="14" t="inlineStr">
        <is>
          <t>You're net profitable (+$1,809 over 79 trades) but the edge is thin and fragile: profit factor 1.24, expectancy $22.90/trade. More importantly, the account's actual engine right now isn't your process — it's variance from rule-breaking trades. That's the thing to fix before anything else.</t>
        </is>
      </c>
    </row>
    <row r="7">
      <c r="A7" s="14" t="inlineStr"/>
    </row>
    <row r="8">
      <c r="A8" s="14" t="inlineStr">
        <is>
          <t>## 1. The scariest number in this data: revenge trades are currently "winning"</t>
        </is>
      </c>
    </row>
    <row r="9">
      <c r="A9" s="14" t="inlineStr">
        <is>
          <t>Your 12 flagged revenge trades show **+$2,286 total PnL, 58% win rate, $190.50 expectancy** — better than your account average, and larger than your entire month's profit ($1,809). That means **your non-revenge trading is net negative right now**, and the only thing keeping you green is a pattern you should be eliminating.</t>
        </is>
      </c>
    </row>
    <row r="10">
      <c r="A10" s="14" t="inlineStr"/>
    </row>
    <row r="11">
      <c r="A11" s="14" t="inlineStr">
        <is>
          <t>This is not skill, it's a live martingale. Look at 08/26 21:05 → 21:16: you lost -$120 on a 3-lot, then 11 minutes later went long 12 lots (4x normal size) and it worked (+$302). Same session, 08/11: MGC short size 10 after a loss, then long size 10, then short size 20 — sizing escalated within hours on the same bad day. The math on that pattern is unforgiving: your avg loss at normal size is ~$210. A losing revenge trade at 4x size isn't a $210 loss, it's $800+. One bad one erases days of grinding. You've been lucky so far — that's exactly when this habit gets reinforced and blows up biggest.</t>
        </is>
      </c>
    </row>
    <row r="12">
      <c r="A12" s="14" t="inlineStr"/>
    </row>
    <row r="13">
      <c r="A13" s="14" t="inlineStr">
        <is>
          <t>**Action:** hard rule — after any loss, minimum 15-30 min cooldown, and size caps at your normal max regardless of conviction. If you can't take a loss without wanting to "get it back," that's the signal to stop for the session, not size up.</t>
        </is>
      </c>
    </row>
    <row r="14">
      <c r="A14" s="14" t="inlineStr"/>
    </row>
    <row r="15">
      <c r="A15" s="14" t="inlineStr">
        <is>
          <t>## 2. Your plan is good; your execution is erasing most of it</t>
        </is>
      </c>
    </row>
    <row r="16">
      <c r="A16" s="14" t="inlineStr">
        <is>
          <t>`avg_rr_targeted` is 1.38, `avg_rr_realized` is **0.01**. At 54% win rate and a true 1.38R payoff, your expected value would be roughly +0.3R/trade — a genuinely strong edge. You're capturing almost none of it. This lines up with the specific flags:</t>
        </is>
      </c>
    </row>
    <row r="17">
      <c r="A17" s="14" t="inlineStr">
        <is>
          <t>- **Winners cut short** (MGC 08/11: took 0.18R of a 0.42R target; MNQ 08/25 10:32: took 0.49R of 2.16R)</t>
        </is>
      </c>
    </row>
    <row r="18">
      <c r="A18" s="14" t="inlineStr">
        <is>
          <t>- **Stop overrun** (two trades ran to -1.19R instead of -1R)</t>
        </is>
      </c>
    </row>
    <row r="19">
      <c r="A19" s="14" t="inlineStr">
        <is>
          <t>- The 12:00 hour is the clearest symptom: **83% win rate but total PnL ≈ -$2**. You're right constantly and still making nothing — classic cut-winners/blown-stops signature, not a bad-setup problem.</t>
        </is>
      </c>
    </row>
    <row r="20">
      <c r="A20" s="14" t="inlineStr"/>
    </row>
    <row r="21">
      <c r="A21" s="14" t="inlineStr">
        <is>
          <t>This is the single highest-leverage fix available to you. Fixing sizing discipline matters, but fixing RR execution is worth more dollars for less behavior change — you already know where to enter, you're just not letting the trade play out or not honoring the stop.</t>
        </is>
      </c>
    </row>
    <row r="22">
      <c r="A22" s="14" t="inlineStr"/>
    </row>
    <row r="23">
      <c r="A23" s="14" t="inlineStr">
        <is>
          <t>## 3. What's actually working — do more of this</t>
        </is>
      </c>
    </row>
    <row r="24">
      <c r="A24" s="14" t="inlineStr">
        <is>
          <t>- **09:00 hour**: 15 trades, 73% win rate, +$1,902 — this single hour is basically your whole month's profit. Whatever session/setup conditions you have at the open, that's your A+ window.</t>
        </is>
      </c>
    </row>
    <row r="25">
      <c r="A25" s="14" t="inlineStr">
        <is>
          <t>- **Trading with the 1H trend**: n=49, 59% WR, +$3,333 (+$68/trade) vs. **against/unclear 1H trend**: n=30, 47% WR, **-$1,524** (-$51/trade). That's a ~$5,000 swing based on one filter alone.</t>
        </is>
      </c>
    </row>
    <row r="26">
      <c r="A26" s="14" t="inlineStr">
        <is>
          <t>- **5m MACD aligned with trade**: n=47, +$3,265 (+$69/trade) vs. MACD against: n=32, **-$1,455** (-$45/trade).</t>
        </is>
      </c>
    </row>
    <row r="27">
      <c r="A27" s="14" t="inlineStr">
        <is>
          <t>- **ADX ≥25 (real trend)**: +$1,960 (+$61/trade) vs. **ADX &lt;20 (chop)**: n=29, 62% win rate but **-$1,540 total** — you win often in chop but your losers there are disproportionately large. Chop is where your RR-execution problem (point 2) hurts most.</t>
        </is>
      </c>
    </row>
    <row r="28">
      <c r="A28" s="14" t="inlineStr">
        <is>
          <t>- **MGC over MNQ**: expectancy $33.44 vs $10.32 — gold is carrying the account.</t>
        </is>
      </c>
    </row>
    <row r="29">
      <c r="A29" s="14" t="inlineStr">
        <is>
          <t>- **Longs over shorts**: +$48.86 vs **-$9.73** expectancy. Shorts are net negative on this sample.</t>
        </is>
      </c>
    </row>
    <row r="30">
      <c r="A30" s="14" t="inlineStr"/>
    </row>
    <row r="31">
      <c r="A31" s="14" t="inlineStr">
        <is>
          <t>## 4. What's bleeding money — stop or restrict</t>
        </is>
      </c>
    </row>
    <row r="32">
      <c r="A32" s="14" t="inlineStr">
        <is>
          <t>- **19:00 and 23:00 hours**: -$1,470 and -$805 respectively, worst expectancy of any session (-$210 and -$161/trade). These two hours alone cost you more than your entire account made.</t>
        </is>
      </c>
    </row>
    <row r="33">
      <c r="A33" s="14" t="inlineStr">
        <is>
          <t>- **Overtrading days** (08/11, 08/12, 08/26 — 9 to 12 trades each) are also your revenge-trade days. The correlation is not a coincidence: once you're overtrading, you're revenge trading, and vice versa.</t>
        </is>
      </c>
    </row>
    <row r="34">
      <c r="A34" s="14" t="inlineStr">
        <is>
          <t>- **Tue/Wed**: combined -$433 across 46 trades despite okay win rates — you're grinding volume on days that don't pay.</t>
        </is>
      </c>
    </row>
    <row r="35">
      <c r="A35" s="14" t="inlineStr">
        <is>
          <t>- Trading against 1H trend / against MACD / in ADX&lt;20 chop, especially stacked with the bad evening hours, is your worst-case combo.</t>
        </is>
      </c>
    </row>
    <row r="36">
      <c r="A36" s="14" t="inlineStr"/>
    </row>
    <row r="37">
      <c r="A37" s="14" t="inlineStr">
        <is>
          <t>## Concrete rules for next month</t>
        </is>
      </c>
    </row>
    <row r="38">
      <c r="A38" s="14" t="inlineStr">
        <is>
          <t>1. **No new entries within 20 minutes of a loss.** No exceptions, no "this one's different."</t>
        </is>
      </c>
    </row>
    <row r="39">
      <c r="A39" s="14" t="inlineStr">
        <is>
          <t>2. **Cap size at your normal max** — no size-up after a loss, ever. The CV of 1.11 in position sizing needs to come down; sizing should track conviction/setup quality, not emotion.</t>
        </is>
      </c>
    </row>
    <row r="40">
      <c r="A40" s="14" t="inlineStr">
        <is>
          <t>3. **Hard stop honored as placed.** If you're overrunning stops, either your stop placement is wrong (fix in planning) or you're hesitating to exit (fix in execution) — journal which one it is next time it happens.</t>
        </is>
      </c>
    </row>
    <row r="41">
      <c r="A41" s="14" t="inlineStr">
        <is>
          <t>4. **Let winners hit target or trail per plan** — stop closing at 20-50% of target out of nerves. You have two flagged instances; that habit paired with stop overrun is why realized RR is 0.01 against a 1.38 target.</t>
        </is>
      </c>
    </row>
    <row r="42">
      <c r="A42" s="14" t="inlineStr">
        <is>
          <t>5. **Filter for 1H-trend-aligned + MACD-aligned setups**, and treat ADX&lt;20 chop as reduced-size or no-trade conditions.</t>
        </is>
      </c>
    </row>
    <row r="43">
      <c r="A43" s="14" t="inlineStr">
        <is>
          <t>6. **Skip 19:00-23:00** entirely for a few weeks and see what it does to your expectancy — the data says this window is a net drag, not just noise.</t>
        </is>
      </c>
    </row>
    <row r="44">
      <c r="A44" s="14" t="inlineStr">
        <is>
          <t>7. **Cap trades/day at 6** (your own threshold) — the days you blew past it are the same days revenge trading and oversizing happened.</t>
        </is>
      </c>
    </row>
    <row r="45">
      <c r="A45" s="14" t="inlineStr"/>
    </row>
    <row r="46">
      <c r="A46" s="14" t="inlineStr">
        <is>
          <t>If you fix #1 and #2 (revenge/size discipline) and #4 (RR execution), your win rate and setup selection are already good enough to make this a clearly profitable system rather than one propped up by lucky escalation.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2026-08-30T04:29:39Z</dcterms:modified>
  <cp:lastModifiedBy>Abdul Basit</cp:lastModifiedBy>
</cp:coreProperties>
</file>