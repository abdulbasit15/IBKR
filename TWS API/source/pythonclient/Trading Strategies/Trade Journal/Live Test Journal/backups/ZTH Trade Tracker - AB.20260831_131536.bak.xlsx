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92</v>
      </c>
      <c r="B87" s="22" t="n">
        <v>46265</v>
      </c>
      <c r="C87" s="10" t="n">
        <v>0.03986111111111111</v>
      </c>
      <c r="D87" s="5" t="inlineStr">
        <is>
          <t>MGC</t>
        </is>
      </c>
      <c r="E87" s="5" t="inlineStr">
        <is>
          <t>Long</t>
        </is>
      </c>
      <c r="F87" s="5" t="n">
        <v>4473.6</v>
      </c>
      <c r="G87" s="5" t="n">
        <v>4472.7</v>
      </c>
      <c r="H87" s="5" t="n">
        <v>3</v>
      </c>
      <c r="I87" s="5" t="n"/>
      <c r="J87" s="5" t="n"/>
      <c r="K87" s="8">
        <f>IF(AND(I87&lt;&gt;"",J87&lt;&gt;"",F87&lt;&gt;""), (J87-F87)/(F87-I87), "")</f>
        <v/>
      </c>
      <c r="L87" s="8">
        <f>IF(AND(F87&lt;&gt;"",G87&lt;&gt;"",I87&lt;&gt;""), (G87-F87)/(F87-I87), "")</f>
        <v/>
      </c>
      <c r="M87" s="5">
        <f>IF(N87&gt;0,"Win",IF(N87&lt;0,"Loss",""))</f>
        <v/>
      </c>
      <c r="N87" s="16">
        <f>IF(AND(F87&lt;&gt;"",G87&lt;&gt;"",H87&lt;&gt;"",D87&lt;&gt;""), IF(E87="Long", (G87-F87)*H87*VLOOKUP(D87,Multipliers!A:B,2,FALSE), (F87-G87)*H87*VLOOKUP(D87,Multipliers!A:B,2,FALSE)), "")</f>
        <v/>
      </c>
      <c r="O87" s="9">
        <f>IF(AND(N87&lt;&gt;"",F87&lt;&gt;"",H87&lt;&gt;"",D87&lt;&gt;""), N87/(F87*H87*VLOOKUP(D87,Multipliers!A:B,2,FALSE)),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5" t="inlineStr">
        <is>
          <t>MGC</t>
        </is>
      </c>
      <c r="T87" s="5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93</v>
      </c>
      <c r="B88" s="22" t="n">
        <v>46265</v>
      </c>
      <c r="C88" s="10" t="n">
        <v>0.4046875</v>
      </c>
      <c r="D88" s="5" t="inlineStr">
        <is>
          <t>MNQ</t>
        </is>
      </c>
      <c r="E88" s="5" t="inlineStr">
        <is>
          <t>Short</t>
        </is>
      </c>
      <c r="F88" s="5" t="n">
        <v>29429</v>
      </c>
      <c r="G88" s="5" t="n">
        <v>29395.5</v>
      </c>
      <c r="H88" s="5" t="n">
        <v>2</v>
      </c>
      <c r="I88" s="5" t="n">
        <v>29454</v>
      </c>
      <c r="J88" s="5" t="n">
        <v>29395.5</v>
      </c>
      <c r="K88" s="8">
        <f>IF(AND(I88&lt;&gt;"",J88&lt;&gt;"",F88&lt;&gt;""), (J88-F88)/(F88-I88), "")</f>
        <v/>
      </c>
      <c r="L88" s="8">
        <f>IF(AND(F88&lt;&gt;"",G88&lt;&gt;"",I88&lt;&gt;""), (G88-F88)/(F88-I88), "")</f>
        <v/>
      </c>
      <c r="M88" s="5">
        <f>IF(N88&gt;0,"Win",IF(N88&lt;0,"Loss",""))</f>
        <v/>
      </c>
      <c r="N88" s="16">
        <f>IF(AND(F88&lt;&gt;"",G88&lt;&gt;"",H88&lt;&gt;"",D88&lt;&gt;""), IF(E88="Long", (G88-F88)*H88*VLOOKUP(D88,Multipliers!A:B,2,FALSE), (F88-G88)*H88*VLOOKUP(D88,Multipliers!A:B,2,FALSE)), "")</f>
        <v/>
      </c>
      <c r="O88" s="9">
        <f>IF(AND(N88&lt;&gt;"",F88&lt;&gt;"",H88&lt;&gt;"",D88&lt;&gt;""), N88/(F88*H88*VLOOKUP(D88,Multipliers!A:B,2,FALSE)),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11" t="inlineStr">
        <is>
          <t>MNQ</t>
        </is>
      </c>
      <c r="T88" s="11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94</v>
      </c>
      <c r="B89" s="22" t="n">
        <v>46265</v>
      </c>
      <c r="C89" s="10" t="n">
        <v>0.4141898148148148</v>
      </c>
      <c r="D89" s="5" t="inlineStr">
        <is>
          <t>MNQ</t>
        </is>
      </c>
      <c r="E89" s="5" t="inlineStr">
        <is>
          <t>Long</t>
        </is>
      </c>
      <c r="F89" s="5" t="n">
        <v>29460.75</v>
      </c>
      <c r="G89" s="5" t="n">
        <v>29439.25</v>
      </c>
      <c r="H89" s="5" t="n">
        <v>3</v>
      </c>
      <c r="I89" s="5" t="n">
        <v>29439.25</v>
      </c>
      <c r="J89" s="5" t="n">
        <v>29468</v>
      </c>
      <c r="K89" s="8">
        <f>IF(AND(I89&lt;&gt;"",J89&lt;&gt;"",F89&lt;&gt;""), (J89-F89)/(F89-I89), "")</f>
        <v/>
      </c>
      <c r="L89" s="8">
        <f>IF(AND(F89&lt;&gt;"",G89&lt;&gt;"",I89&lt;&gt;""), (G89-F89)/(F89-I89), "")</f>
        <v/>
      </c>
      <c r="M89" s="5">
        <f>IF(N89&gt;0,"Win",IF(N89&lt;0,"Loss",""))</f>
        <v/>
      </c>
      <c r="N89" s="16">
        <f>IF(AND(F89&lt;&gt;"",G89&lt;&gt;"",H89&lt;&gt;"",D89&lt;&gt;""), IF(E89="Long", (G89-F89)*H89*VLOOKUP(D89,Multipliers!A:B,2,FALSE), (F89-G89)*H89*VLOOKUP(D89,Multipliers!A:B,2,FALSE)), "")</f>
        <v/>
      </c>
      <c r="O89" s="9">
        <f>IF(AND(N89&lt;&gt;"",F89&lt;&gt;"",H89&lt;&gt;"",D89&lt;&gt;""), N89/(F89*H89*VLOOKUP(D89,Multipliers!A:B,2,FALSE)),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95</v>
      </c>
      <c r="B90" s="22" t="n">
        <v>46265</v>
      </c>
      <c r="C90" s="10" t="n">
        <v>0.424074074074074</v>
      </c>
      <c r="D90" s="5" t="inlineStr">
        <is>
          <t>MGC</t>
        </is>
      </c>
      <c r="E90" s="5" t="inlineStr">
        <is>
          <t>Long</t>
        </is>
      </c>
      <c r="F90" s="5" t="n">
        <v>4475.3</v>
      </c>
      <c r="G90" s="5" t="n">
        <v>4472.8</v>
      </c>
      <c r="H90" s="5" t="n">
        <v>3</v>
      </c>
      <c r="I90" s="5" t="n"/>
      <c r="J90" s="5" t="n"/>
      <c r="K90" s="8">
        <f>IF(AND(I90&lt;&gt;"",J90&lt;&gt;"",F90&lt;&gt;""), (J90-F90)/(F90-I90), "")</f>
        <v/>
      </c>
      <c r="L90" s="8">
        <f>IF(AND(F90&lt;&gt;"",G90&lt;&gt;"",I90&lt;&gt;""), (G90-F90)/(F90-I90), "")</f>
        <v/>
      </c>
      <c r="M90" s="5">
        <f>IF(N90&gt;0,"Win",IF(N90&lt;0,"Loss",""))</f>
        <v/>
      </c>
      <c r="N90" s="16">
        <f>IF(AND(F90&lt;&gt;"",G90&lt;&gt;"",H90&lt;&gt;"",D90&lt;&gt;""), IF(E90="Long", (G90-F90)*H90*VLOOKUP(D90,Multipliers!A:B,2,FALSE), (F90-G90)*H90*VLOOKUP(D90,Multipliers!A:B,2,FALSE)), "")</f>
        <v/>
      </c>
      <c r="O90" s="9">
        <f>IF(AND(N90&lt;&gt;"",F90&lt;&gt;"",H90&lt;&gt;"",D90&lt;&gt;""), N90/(F90*H90*VLOOKUP(D90,Multipliers!A:B,2,FALSE)),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MGC</t>
        </is>
      </c>
      <c r="T90" s="5" t="n"/>
      <c r="U90" s="5" t="n"/>
      <c r="V90" s="5" t="inlineStr">
        <is>
          <t>Revenge trade, 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96</v>
      </c>
      <c r="B91" s="22" t="n">
        <v>46265</v>
      </c>
      <c r="C91" s="10" t="n">
        <v>0.4248032407407407</v>
      </c>
      <c r="D91" s="5" t="inlineStr">
        <is>
          <t>MNQ</t>
        </is>
      </c>
      <c r="E91" s="5" t="inlineStr">
        <is>
          <t>Short</t>
        </is>
      </c>
      <c r="F91" s="5" t="n">
        <v>29395</v>
      </c>
      <c r="G91" s="5" t="n">
        <v>29415</v>
      </c>
      <c r="H91" s="5" t="n">
        <v>3</v>
      </c>
      <c r="I91" s="5" t="n">
        <v>29415</v>
      </c>
      <c r="J91" s="5" t="n">
        <v>29394</v>
      </c>
      <c r="K91" s="8">
        <f>IF(AND(I91&lt;&gt;"",J91&lt;&gt;"",F91&lt;&gt;""), (J91-F91)/(F91-I91), "")</f>
        <v/>
      </c>
      <c r="L91" s="8">
        <f>IF(AND(F91&lt;&gt;"",G91&lt;&gt;"",I91&lt;&gt;""), (G91-F91)/(F91-I91), "")</f>
        <v/>
      </c>
      <c r="M91" s="5">
        <f>IF(N91&gt;0,"Win",IF(N91&lt;0,"Loss",""))</f>
        <v/>
      </c>
      <c r="N91" s="16">
        <f>IF(AND(F91&lt;&gt;"",G91&lt;&gt;"",H91&lt;&gt;"",D91&lt;&gt;""), IF(E91="Long", (G91-F91)*H91*VLOOKUP(D91,Multipliers!A:B,2,FALSE), (F91-G91)*H91*VLOOKUP(D91,Multipliers!A:B,2,FALSE)), "")</f>
        <v/>
      </c>
      <c r="O91" s="9">
        <f>IF(AND(N91&lt;&gt;"",F91&lt;&gt;"",H91&lt;&gt;"",D91&lt;&gt;""), N91/(F91*H91*VLOOKUP(D91,Multipliers!A:B,2,FALSE)),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Revenge trade, 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97</v>
      </c>
      <c r="B92" s="22" t="n">
        <v>46265</v>
      </c>
      <c r="C92" s="10" t="n">
        <v>0.4452083333333333</v>
      </c>
      <c r="D92" s="5" t="inlineStr">
        <is>
          <t>MNQ</t>
        </is>
      </c>
      <c r="E92" s="5" t="inlineStr">
        <is>
          <t>Long</t>
        </is>
      </c>
      <c r="F92" s="5" t="n">
        <v>29410</v>
      </c>
      <c r="G92" s="5" t="n">
        <v>29435</v>
      </c>
      <c r="H92" s="5" t="n">
        <v>5</v>
      </c>
      <c r="I92" s="5" t="n">
        <v>29400</v>
      </c>
      <c r="J92" s="5" t="n">
        <v>29435</v>
      </c>
      <c r="K92" s="8">
        <f>IF(AND(I92&lt;&gt;"",J92&lt;&gt;"",F92&lt;&gt;""), (J92-F92)/(F92-I92), "")</f>
        <v/>
      </c>
      <c r="L92" s="8">
        <f>IF(AND(F92&lt;&gt;"",G92&lt;&gt;"",I92&lt;&gt;""), (G92-F92)/(F92-I92), "")</f>
        <v/>
      </c>
      <c r="M92" s="5">
        <f>IF(N92&gt;0,"Win",IF(N92&lt;0,"Loss",""))</f>
        <v/>
      </c>
      <c r="N92" s="16">
        <f>IF(AND(F92&lt;&gt;"",G92&lt;&gt;"",H92&lt;&gt;"",D92&lt;&gt;""), IF(E92="Long", (G92-F92)*H92*VLOOKUP(D92,Multipliers!A:B,2,FALSE), (F92-G92)*H92*VLOOKUP(D92,Multipliers!A:B,2,FALSE)), "")</f>
        <v/>
      </c>
      <c r="O92" s="9">
        <f>IF(AND(N92&lt;&gt;"",F92&lt;&gt;"",H92&lt;&gt;"",D92&lt;&gt;""), N92/(F92*H92*VLOOKUP(D92,Multipliers!A:B,2,FALSE)),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98</v>
      </c>
      <c r="B93" s="22" t="n">
        <v>46265</v>
      </c>
      <c r="C93" s="10" t="n">
        <v>0.4496643518518518</v>
      </c>
      <c r="D93" s="5" t="inlineStr">
        <is>
          <t>MNQ</t>
        </is>
      </c>
      <c r="E93" s="5" t="inlineStr">
        <is>
          <t>Long</t>
        </is>
      </c>
      <c r="F93" s="5" t="n">
        <v>29408.5</v>
      </c>
      <c r="G93" s="5" t="n">
        <v>29399.75</v>
      </c>
      <c r="H93" s="5" t="n">
        <v>5</v>
      </c>
      <c r="I93" s="5" t="n">
        <v>29392.75</v>
      </c>
      <c r="J93" s="5" t="n">
        <v>29443.25</v>
      </c>
      <c r="K93" s="8">
        <f>IF(AND(I93&lt;&gt;"",J93&lt;&gt;"",F93&lt;&gt;""), (J93-F93)/(F93-I93), "")</f>
        <v/>
      </c>
      <c r="L93" s="8">
        <f>IF(AND(F93&lt;&gt;"",G93&lt;&gt;"",I93&lt;&gt;""), (G93-F93)/(F93-I93), "")</f>
        <v/>
      </c>
      <c r="M93" s="5">
        <f>IF(N93&gt;0,"Win",IF(N93&lt;0,"Loss",""))</f>
        <v/>
      </c>
      <c r="N93" s="16">
        <f>IF(AND(F93&lt;&gt;"",G93&lt;&gt;"",H93&lt;&gt;"",D93&lt;&gt;""), IF(E93="Long", (G93-F93)*H93*VLOOKUP(D93,Multipliers!A:B,2,FALSE), (F93-G93)*H93*VLOOKUP(D93,Multipliers!A:B,2,FALSE)), "")</f>
        <v/>
      </c>
      <c r="O93" s="9">
        <f>IF(AND(N93&lt;&gt;"",F93&lt;&gt;"",H93&lt;&gt;"",D93&lt;&gt;""), N93/(F93*H93*VLOOKUP(D93,Multipliers!A:B,2,FALSE)),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MNQ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99</v>
      </c>
      <c r="B94" s="22" t="n">
        <v>46265</v>
      </c>
      <c r="C94" s="10" t="n">
        <v>0.4505324074074074</v>
      </c>
      <c r="D94" s="5" t="inlineStr">
        <is>
          <t>MNQ</t>
        </is>
      </c>
      <c r="E94" s="5" t="inlineStr">
        <is>
          <t>Long</t>
        </is>
      </c>
      <c r="F94" s="5" t="n">
        <v>29401.5</v>
      </c>
      <c r="G94" s="5" t="n">
        <v>29392</v>
      </c>
      <c r="H94" s="5" t="n">
        <v>3</v>
      </c>
      <c r="I94" s="5" t="n">
        <v>29392.75</v>
      </c>
      <c r="J94" s="5" t="n">
        <v>29443.25</v>
      </c>
      <c r="K94" s="8">
        <f>IF(AND(I94&lt;&gt;"",J94&lt;&gt;"",F94&lt;&gt;""), (J94-F94)/(F94-I94), "")</f>
        <v/>
      </c>
      <c r="L94" s="8">
        <f>IF(AND(F94&lt;&gt;"",G94&lt;&gt;"",I94&lt;&gt;""), (G94-F94)/(F94-I94), "")</f>
        <v/>
      </c>
      <c r="M94" s="5">
        <f>IF(N94&gt;0,"Win",IF(N94&lt;0,"Loss",""))</f>
        <v/>
      </c>
      <c r="N94" s="16">
        <f>IF(AND(F94&lt;&gt;"",G94&lt;&gt;"",H94&lt;&gt;"",D94&lt;&gt;""), IF(E94="Long", (G94-F94)*H94*VLOOKUP(D94,Multipliers!A:B,2,FALSE), (F94-G94)*H94*VLOOKUP(D94,Multipliers!A:B,2,FALSE)), "")</f>
        <v/>
      </c>
      <c r="O94" s="9">
        <f>IF(AND(N94&lt;&gt;"",F94&lt;&gt;"",H94&lt;&gt;"",D94&lt;&gt;""), N94/(F94*H94*VLOOKUP(D94,Multipliers!A:B,2,FALSE)),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MNQ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00:57</t>
        </is>
      </c>
      <c r="C87" t="inlineStr">
        <is>
          <t>MGC</t>
        </is>
      </c>
      <c r="D87" t="inlineStr">
        <is>
          <t>Long</t>
        </is>
      </c>
      <c r="E87" t="n">
        <v>-27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53.1</v>
      </c>
      <c r="K87" t="inlineStr">
        <is>
          <t>bear</t>
        </is>
      </c>
      <c r="L87" t="inlineStr">
        <is>
          <t>+</t>
        </is>
      </c>
      <c r="M87" t="n">
        <v>16.3</v>
      </c>
      <c r="N87" t="n">
        <v>5.07</v>
      </c>
      <c r="O87" t="n">
        <v>4489</v>
      </c>
      <c r="P87" t="inlineStr">
        <is>
          <t>below</t>
        </is>
      </c>
      <c r="Q87" t="n">
        <v>4507.27</v>
      </c>
      <c r="R87" t="n">
        <v>2.48</v>
      </c>
      <c r="S87" t="n">
        <v>934</v>
      </c>
      <c r="T87" t="n">
        <v>26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No</t>
        </is>
      </c>
      <c r="Y87" t="inlineStr">
        <is>
          <t>strong bullish close</t>
        </is>
      </c>
      <c r="Z87" t="n">
        <v>1.24</v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45.8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29437.27</v>
      </c>
      <c r="P88" t="inlineStr">
        <is>
          <t>below</t>
        </is>
      </c>
      <c r="Q88" t="n">
        <v>29467.73</v>
      </c>
      <c r="R88" t="n">
        <v>0.89</v>
      </c>
      <c r="S88" t="n">
        <v>-14094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>
        <is>
          <t>bearish pin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52.2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29438.28</v>
      </c>
      <c r="P89" t="inlineStr">
        <is>
          <t>above</t>
        </is>
      </c>
      <c r="Q89" t="n">
        <v>29466.76</v>
      </c>
      <c r="R89" t="n">
        <v>0.74</v>
      </c>
      <c r="S89" t="n">
        <v>-8659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10:10</t>
        </is>
      </c>
      <c r="C90" t="inlineStr">
        <is>
          <t>MGC</t>
        </is>
      </c>
      <c r="D90" t="inlineStr">
        <is>
          <t>Long</t>
        </is>
      </c>
      <c r="E90" t="n">
        <v>-75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37.8</v>
      </c>
      <c r="K90" t="inlineStr">
        <is>
          <t>bear</t>
        </is>
      </c>
      <c r="L90" t="inlineStr">
        <is>
          <t>-</t>
        </is>
      </c>
      <c r="M90" t="n">
        <v>33.4</v>
      </c>
      <c r="N90" t="n">
        <v>6.72</v>
      </c>
      <c r="O90" t="n">
        <v>4478.66</v>
      </c>
      <c r="P90" t="inlineStr">
        <is>
          <t>below</t>
        </is>
      </c>
      <c r="Q90" t="n">
        <v>4474.83</v>
      </c>
      <c r="R90" t="n">
        <v>0.65</v>
      </c>
      <c r="S90" t="n">
        <v>-3696</v>
      </c>
      <c r="T90" t="n">
        <v>26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No</t>
        </is>
      </c>
      <c r="Y90" t="inlineStr">
        <is>
          <t>strong bullish close</t>
        </is>
      </c>
      <c r="Z90" t="n">
        <v>0.59</v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29429.98</v>
      </c>
      <c r="P91" t="inlineStr">
        <is>
          <t>below</t>
        </is>
      </c>
      <c r="Q91" t="n">
        <v>29467.56</v>
      </c>
      <c r="R91" t="n">
        <v>0.79</v>
      </c>
      <c r="S91" t="n">
        <v>-18288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2026-08-31T17:15:34Z</dcterms:modified>
  <cp:lastModifiedBy>Abdul Basit</cp:lastModifiedBy>
</cp:coreProperties>
</file>