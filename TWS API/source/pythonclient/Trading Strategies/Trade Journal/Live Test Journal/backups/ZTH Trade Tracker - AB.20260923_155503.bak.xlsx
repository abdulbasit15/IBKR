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IBKR\TWS API\source\pythonclient\Trading Strategies\Trade Journal\Live Test Journal\"/>
    </mc:Choice>
  </mc:AlternateContent>
  <xr:revisionPtr revIDLastSave="0" documentId="13_ncr:1_{B3F872BD-A724-4C85-BE64-DC1D3B484E2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de Tracker - Eval" sheetId="1" r:id="rId1"/>
    <sheet name="Multipliers" sheetId="2" r:id="rId2"/>
    <sheet name="Tag Options" sheetId="3" r:id="rId3"/>
    <sheet name="Trading Rules" sheetId="4" r:id="rId4"/>
    <sheet name="Indicators" sheetId="5" r:id="rId5"/>
    <sheet name="Economic News" sheetId="6" r:id="rId6"/>
    <sheet name="Analysis" sheetId="7" r:id="rId7"/>
    <sheet name="AI Sugges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" l="1"/>
  <c r="O27" i="1" s="1"/>
  <c r="L27" i="1"/>
  <c r="K27" i="1"/>
  <c r="N26" i="1"/>
  <c r="O26" i="1" s="1"/>
  <c r="L26" i="1"/>
  <c r="K26" i="1"/>
  <c r="N25" i="1"/>
  <c r="O25" i="1" s="1"/>
  <c r="L25" i="1"/>
  <c r="K25" i="1"/>
  <c r="N24" i="1"/>
  <c r="O24" i="1" s="1"/>
  <c r="L24" i="1"/>
  <c r="K24" i="1"/>
  <c r="N23" i="1"/>
  <c r="O23" i="1" s="1"/>
  <c r="L23" i="1"/>
  <c r="K23" i="1"/>
  <c r="N22" i="1"/>
  <c r="O22" i="1" s="1"/>
  <c r="L22" i="1"/>
  <c r="K22" i="1"/>
  <c r="N21" i="1"/>
  <c r="O21" i="1" s="1"/>
  <c r="L21" i="1"/>
  <c r="K21" i="1"/>
  <c r="N20" i="1"/>
  <c r="O20" i="1" s="1"/>
  <c r="L20" i="1"/>
  <c r="K20" i="1"/>
  <c r="N19" i="1"/>
  <c r="O19" i="1" s="1"/>
  <c r="L19" i="1"/>
  <c r="K19" i="1"/>
  <c r="N18" i="1"/>
  <c r="O18" i="1" s="1"/>
  <c r="L18" i="1"/>
  <c r="K18" i="1"/>
  <c r="N17" i="1"/>
  <c r="O17" i="1" s="1"/>
  <c r="L17" i="1"/>
  <c r="K17" i="1"/>
  <c r="N16" i="1"/>
  <c r="O16" i="1" s="1"/>
  <c r="L16" i="1"/>
  <c r="K16" i="1"/>
  <c r="N15" i="1"/>
  <c r="O15" i="1" s="1"/>
  <c r="L15" i="1"/>
  <c r="K15" i="1"/>
  <c r="N14" i="1"/>
  <c r="O14" i="1" s="1"/>
  <c r="L14" i="1"/>
  <c r="K14" i="1"/>
  <c r="N13" i="1"/>
  <c r="O13" i="1" s="1"/>
  <c r="L13" i="1"/>
  <c r="K13" i="1"/>
  <c r="N12" i="1"/>
  <c r="O12" i="1" s="1"/>
  <c r="L12" i="1"/>
  <c r="K12" i="1"/>
  <c r="N11" i="1"/>
  <c r="O11" i="1" s="1"/>
  <c r="L11" i="1"/>
  <c r="K11" i="1"/>
  <c r="N10" i="1"/>
  <c r="O10" i="1" s="1"/>
  <c r="L10" i="1"/>
  <c r="K10" i="1"/>
  <c r="N9" i="1"/>
  <c r="O9" i="1" s="1"/>
  <c r="L9" i="1"/>
  <c r="K9" i="1"/>
  <c r="N8" i="1"/>
  <c r="O8" i="1" s="1"/>
  <c r="L8" i="1"/>
  <c r="K8" i="1"/>
  <c r="N7" i="1"/>
  <c r="O7" i="1" s="1"/>
  <c r="L7" i="1"/>
  <c r="K7" i="1"/>
  <c r="N6" i="1"/>
  <c r="O6" i="1" s="1"/>
  <c r="L6" i="1"/>
  <c r="K6" i="1"/>
  <c r="N5" i="1"/>
  <c r="O5" i="1" s="1"/>
  <c r="L5" i="1"/>
  <c r="K5" i="1"/>
  <c r="N4" i="1"/>
  <c r="O4" i="1" s="1"/>
  <c r="L4" i="1"/>
  <c r="K4" i="1"/>
  <c r="N3" i="1"/>
  <c r="O3" i="1" s="1"/>
  <c r="L3" i="1"/>
  <c r="K3" i="1"/>
  <c r="N2" i="1"/>
  <c r="P2" i="1" s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L2" i="1"/>
  <c r="K2" i="1"/>
  <c r="M3" i="1" l="1"/>
  <c r="M5" i="1"/>
  <c r="M7" i="1"/>
  <c r="M9" i="1"/>
  <c r="M11" i="1"/>
  <c r="M13" i="1"/>
  <c r="M15" i="1"/>
  <c r="M17" i="1"/>
  <c r="M19" i="1"/>
  <c r="M21" i="1"/>
  <c r="M23" i="1"/>
  <c r="M25" i="1"/>
  <c r="M27" i="1"/>
  <c r="M2" i="1"/>
  <c r="M4" i="1"/>
  <c r="M6" i="1"/>
  <c r="M8" i="1"/>
  <c r="M10" i="1"/>
  <c r="M12" i="1"/>
  <c r="M14" i="1"/>
  <c r="M16" i="1"/>
  <c r="M18" i="1"/>
  <c r="M20" i="1"/>
  <c r="M22" i="1"/>
  <c r="M24" i="1"/>
  <c r="M26" i="1"/>
  <c r="O2" i="1"/>
</calcChain>
</file>

<file path=xl/sharedStrings.xml><?xml version="1.0" encoding="utf-8"?>
<sst xmlns="http://schemas.openxmlformats.org/spreadsheetml/2006/main" count="1035" uniqueCount="320">
  <si>
    <t>Trade Setup</t>
  </si>
  <si>
    <t>Mistakes</t>
  </si>
  <si>
    <t>Rules</t>
  </si>
  <si>
    <t>Market Conditions</t>
  </si>
  <si>
    <t>Emotion Before Trade</t>
  </si>
  <si>
    <t>Process</t>
  </si>
  <si>
    <t>Learning</t>
  </si>
  <si>
    <t>MNQ</t>
  </si>
  <si>
    <t>Long</t>
  </si>
  <si>
    <t>Break and Retest</t>
  </si>
  <si>
    <t>Imported from Tradovate</t>
  </si>
  <si>
    <t>Overtraded</t>
  </si>
  <si>
    <t>MGC</t>
  </si>
  <si>
    <t>Cut winner early, Revenge trade, Overtraded</t>
  </si>
  <si>
    <t>Short</t>
  </si>
  <si>
    <t>Revenge trade, Overtraded</t>
  </si>
  <si>
    <t>Oversized, Revenge trade, Overtraded</t>
  </si>
  <si>
    <t>Oversized, Cut winner early, Overtraded</t>
  </si>
  <si>
    <t>Asset</t>
  </si>
  <si>
    <t>Multiplier</t>
  </si>
  <si>
    <t>ES</t>
  </si>
  <si>
    <t>MES</t>
  </si>
  <si>
    <t>NQ</t>
  </si>
  <si>
    <t>YM</t>
  </si>
  <si>
    <t>RTY</t>
  </si>
  <si>
    <t>GC</t>
  </si>
  <si>
    <t>CL</t>
  </si>
  <si>
    <t>MCL</t>
  </si>
  <si>
    <t>QM</t>
  </si>
  <si>
    <t>MYM</t>
  </si>
  <si>
    <t>M2K</t>
  </si>
  <si>
    <t>Market conditions</t>
  </si>
  <si>
    <t>Emotion before trade</t>
  </si>
  <si>
    <t>Setup</t>
  </si>
  <si>
    <t>Reference list of suggested tag values — edit freely.</t>
  </si>
  <si>
    <t>Followed plan</t>
  </si>
  <si>
    <t>Trending up</t>
  </si>
  <si>
    <t>Calm</t>
  </si>
  <si>
    <t>Pre-market done</t>
  </si>
  <si>
    <t>Revenge trade</t>
  </si>
  <si>
    <t>Wait for confluence</t>
  </si>
  <si>
    <t>Broke a rule</t>
  </si>
  <si>
    <t>Trending down</t>
  </si>
  <si>
    <t>Confident</t>
  </si>
  <si>
    <t>Bounce</t>
  </si>
  <si>
    <t>Wrote entry reason</t>
  </si>
  <si>
    <t>Oversized</t>
  </si>
  <si>
    <t>Size down on news</t>
  </si>
  <si>
    <t>Within daily loss limit</t>
  </si>
  <si>
    <t>Ranging</t>
  </si>
  <si>
    <t>Focused</t>
  </si>
  <si>
    <t>Rejection</t>
  </si>
  <si>
    <t>A+ process day</t>
  </si>
  <si>
    <t>Moved stop</t>
  </si>
  <si>
    <t>Let winners run</t>
  </si>
  <si>
    <t>Hit daily loss limit</t>
  </si>
  <si>
    <t>Choppy</t>
  </si>
  <si>
    <t>FOMO</t>
  </si>
  <si>
    <t>123 Setup</t>
  </si>
  <si>
    <t>Cooled off between trades</t>
  </si>
  <si>
    <t>Cut winner early</t>
  </si>
  <si>
    <t>Honor the stop</t>
  </si>
  <si>
    <t>Within max size</t>
  </si>
  <si>
    <t>High volatility</t>
  </si>
  <si>
    <t>Fear</t>
  </si>
  <si>
    <t>Pivot</t>
  </si>
  <si>
    <t>Journaled</t>
  </si>
  <si>
    <t>Blew stop</t>
  </si>
  <si>
    <t>Trade only A+</t>
  </si>
  <si>
    <t>Risked &gt;1R per trade</t>
  </si>
  <si>
    <t>Low volatility</t>
  </si>
  <si>
    <t>Greed</t>
  </si>
  <si>
    <t>A+ setup</t>
  </si>
  <si>
    <t>No pre-market</t>
  </si>
  <si>
    <t>No confluence</t>
  </si>
  <si>
    <t>Reduce overnight trading</t>
  </si>
  <si>
    <t>Traded planned session</t>
  </si>
  <si>
    <t>News day</t>
  </si>
  <si>
    <t>Impatient</t>
  </si>
  <si>
    <t>Full confluence</t>
  </si>
  <si>
    <t>Distracted</t>
  </si>
  <si>
    <t>Early entry</t>
  </si>
  <si>
    <t>Stick to Pullbacks</t>
  </si>
  <si>
    <t>Waited for A+ only</t>
  </si>
  <si>
    <t>Thin / overnight</t>
  </si>
  <si>
    <t>Frustrated</t>
  </si>
  <si>
    <t>Breakout</t>
  </si>
  <si>
    <t>Multitasking</t>
  </si>
  <si>
    <t>Late entry</t>
  </si>
  <si>
    <t>Take the 2R</t>
  </si>
  <si>
    <t>Stopped after 2 losses</t>
  </si>
  <si>
    <t>Strong trend</t>
  </si>
  <si>
    <t>Bored</t>
  </si>
  <si>
    <t>Breakdown</t>
  </si>
  <si>
    <t>Rushed entry</t>
  </si>
  <si>
    <t>Be patient</t>
  </si>
  <si>
    <t>Reversal day</t>
  </si>
  <si>
    <t>Pressure to recover</t>
  </si>
  <si>
    <t>Pullback</t>
  </si>
  <si>
    <t>Chased entry</t>
  </si>
  <si>
    <t>Smaller size</t>
  </si>
  <si>
    <t>Tilted</t>
  </si>
  <si>
    <t>Reversal</t>
  </si>
  <si>
    <t>Out-of-plan</t>
  </si>
  <si>
    <t>Anxious</t>
  </si>
  <si>
    <t>Range fade</t>
  </si>
  <si>
    <t>No stop</t>
  </si>
  <si>
    <t>Zen mode</t>
  </si>
  <si>
    <t>Trend continuation</t>
  </si>
  <si>
    <t>VWAP bounce</t>
  </si>
  <si>
    <t>Support / Resistance</t>
  </si>
  <si>
    <t>Scalping</t>
  </si>
  <si>
    <t>Type</t>
  </si>
  <si>
    <t>Rule</t>
  </si>
  <si>
    <t>Hard</t>
  </si>
  <si>
    <t>Check Economic News.</t>
  </si>
  <si>
    <t>Mark Levels before market open. Mark the opening print as a 4/5 Level.</t>
  </si>
  <si>
    <t>Create a plan — only long if 1H is uptrend; only short if 1H is downtrend.</t>
  </si>
  <si>
    <t>Pick the levels you want to go long/short off based on that analysis. Label the levels AND where the analysis could switch — e.g. an uptrend holds until a level breaks; if the hourly candle closes beneath it, bias can flip down. Mark out both.</t>
  </si>
  <si>
    <t>Trade only after 9:45. Don't trade after 12 pm.</t>
  </si>
  <si>
    <t>Target 2–2.5 Risk to Reward.</t>
  </si>
  <si>
    <t>Aim for 1–3 trades a day with a predefined daily stop loss and an overall assumed profit target.</t>
  </si>
  <si>
    <t>Other</t>
  </si>
  <si>
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</si>
  <si>
    <t>Date</t>
  </si>
  <si>
    <t>Time</t>
  </si>
  <si>
    <t>Dir</t>
  </si>
  <si>
    <t>P&amp;L</t>
  </si>
  <si>
    <t>1H Trend</t>
  </si>
  <si>
    <t>1H ST</t>
  </si>
  <si>
    <t>15m ST</t>
  </si>
  <si>
    <t>5m ST</t>
  </si>
  <si>
    <t>5m RSI</t>
  </si>
  <si>
    <t>5m EMA</t>
  </si>
  <si>
    <t>5m MACD</t>
  </si>
  <si>
    <t>5m ADX</t>
  </si>
  <si>
    <t>5m ATR</t>
  </si>
  <si>
    <t>VWAP</t>
  </si>
  <si>
    <t>VWAP Side</t>
  </si>
  <si>
    <t>VPOC</t>
  </si>
  <si>
    <t>RVOL</t>
  </si>
  <si>
    <t>Est. Delta</t>
  </si>
  <si>
    <t>Fib %</t>
  </si>
  <si>
    <t>Fib Zone</t>
  </si>
  <si>
    <t>PB Score</t>
  </si>
  <si>
    <t>At Level</t>
  </si>
  <si>
    <t>Candle</t>
  </si>
  <si>
    <t>Trig Vol</t>
  </si>
  <si>
    <t>STs Aligned</t>
  </si>
  <si>
    <t>With 1H Trend</t>
  </si>
  <si>
    <t>2026-09-09</t>
  </si>
  <si>
    <t>10:50</t>
  </si>
  <si>
    <t>up</t>
  </si>
  <si>
    <t>down</t>
  </si>
  <si>
    <t>bull</t>
  </si>
  <si>
    <t>-</t>
  </si>
  <si>
    <t>above</t>
  </si>
  <si>
    <t>shallow</t>
  </si>
  <si>
    <t>Good</t>
  </si>
  <si>
    <t>No</t>
  </si>
  <si>
    <t>bearish engulfing</t>
  </si>
  <si>
    <t>Yes</t>
  </si>
  <si>
    <t>15:01</t>
  </si>
  <si>
    <t>bear</t>
  </si>
  <si>
    <t>below</t>
  </si>
  <si>
    <t>Weak</t>
  </si>
  <si>
    <t>Round</t>
  </si>
  <si>
    <t>strong bearish close</t>
  </si>
  <si>
    <t>15:07</t>
  </si>
  <si>
    <t>golden</t>
  </si>
  <si>
    <t>strong bullish close</t>
  </si>
  <si>
    <t>15:08</t>
  </si>
  <si>
    <t>bullish engulfing</t>
  </si>
  <si>
    <t>15:31</t>
  </si>
  <si>
    <t>22:34</t>
  </si>
  <si>
    <t>+</t>
  </si>
  <si>
    <t>22:36</t>
  </si>
  <si>
    <t>flat</t>
  </si>
  <si>
    <t>22:42</t>
  </si>
  <si>
    <t>extended (no pullback)</t>
  </si>
  <si>
    <t>No setup</t>
  </si>
  <si>
    <t>22:46</t>
  </si>
  <si>
    <t>22:51</t>
  </si>
  <si>
    <t>22:53</t>
  </si>
  <si>
    <t>23:22</t>
  </si>
  <si>
    <t>23:23</t>
  </si>
  <si>
    <t>23:24</t>
  </si>
  <si>
    <t>23:25</t>
  </si>
  <si>
    <t>bullish pin/hammer</t>
  </si>
  <si>
    <t>23:30</t>
  </si>
  <si>
    <t>23:31</t>
  </si>
  <si>
    <t>ORL</t>
  </si>
  <si>
    <t>2026-09-10</t>
  </si>
  <si>
    <t>08:51</t>
  </si>
  <si>
    <t>08:55</t>
  </si>
  <si>
    <t>PDL/Round</t>
  </si>
  <si>
    <t>11:16</t>
  </si>
  <si>
    <t>14:56</t>
  </si>
  <si>
    <t>20:58</t>
  </si>
  <si>
    <t>21:02</t>
  </si>
  <si>
    <t>21:04</t>
  </si>
  <si>
    <t>2026-09-23</t>
  </si>
  <si>
    <t>10:10</t>
  </si>
  <si>
    <t>10:21</t>
  </si>
  <si>
    <t>10:32</t>
  </si>
  <si>
    <t>10:38</t>
  </si>
  <si>
    <t>11:06</t>
  </si>
  <si>
    <t>11:28</t>
  </si>
  <si>
    <t>13:09</t>
  </si>
  <si>
    <t>ORL/Round</t>
  </si>
  <si>
    <t>13:10</t>
  </si>
  <si>
    <t>13:43</t>
  </si>
  <si>
    <t>Time (ET)</t>
  </si>
  <si>
    <t>Currency</t>
  </si>
  <si>
    <t>Impact</t>
  </si>
  <si>
    <t>Event</t>
  </si>
  <si>
    <t>Actual</t>
  </si>
  <si>
    <t>Forecast</t>
  </si>
  <si>
    <t>Previous</t>
  </si>
  <si>
    <t>2026-09-11</t>
  </si>
  <si>
    <t>08:30</t>
  </si>
  <si>
    <t>USD</t>
  </si>
  <si>
    <t>High</t>
  </si>
  <si>
    <t>PPI</t>
  </si>
  <si>
    <t>0.2%</t>
  </si>
  <si>
    <t>0.3%</t>
  </si>
  <si>
    <t>2026-09-12</t>
  </si>
  <si>
    <t>CPI</t>
  </si>
  <si>
    <t>2026-09-17</t>
  </si>
  <si>
    <t>Retail Sales</t>
  </si>
  <si>
    <t>1.4%</t>
  </si>
  <si>
    <t>0.6%</t>
  </si>
  <si>
    <t>-0.2%</t>
  </si>
  <si>
    <t>14:00</t>
  </si>
  <si>
    <t>Fed Rate Decision</t>
  </si>
  <si>
    <t>4.00%</t>
  </si>
  <si>
    <t>3.75%</t>
  </si>
  <si>
    <t>Overview</t>
  </si>
  <si>
    <t>Generated</t>
  </si>
  <si>
    <t>2026-09-23 15:51</t>
  </si>
  <si>
    <t>Date range</t>
  </si>
  <si>
    <t>2026-09-09 → 2026-09-23</t>
  </si>
  <si>
    <t>Trades</t>
  </si>
  <si>
    <t>Win rate</t>
  </si>
  <si>
    <t>57.6%</t>
  </si>
  <si>
    <t>Total P&amp;L</t>
  </si>
  <si>
    <t>Profit factor</t>
  </si>
  <si>
    <t>Expectancy / trade</t>
  </si>
  <si>
    <t>Avg win</t>
  </si>
  <si>
    <t>Avg loss</t>
  </si>
  <si>
    <t>Avg RR targeted</t>
  </si>
  <si>
    <t>Avg RR realized</t>
  </si>
  <si>
    <t>Max drawdown</t>
  </si>
  <si>
    <t>Max win streak</t>
  </si>
  <si>
    <t>Max loss streak</t>
  </si>
  <si>
    <t>By Setup</t>
  </si>
  <si>
    <t>Win %</t>
  </si>
  <si>
    <t>Expectancy</t>
  </si>
  <si>
    <t>58%</t>
  </si>
  <si>
    <t>By Instrument</t>
  </si>
  <si>
    <t>Instrument</t>
  </si>
  <si>
    <t>78%</t>
  </si>
  <si>
    <t>33%</t>
  </si>
  <si>
    <t>By Direction</t>
  </si>
  <si>
    <t>Direction</t>
  </si>
  <si>
    <t>68%</t>
  </si>
  <si>
    <t>43%</t>
  </si>
  <si>
    <t>By Hour</t>
  </si>
  <si>
    <t>Hour</t>
  </si>
  <si>
    <t>08:00</t>
  </si>
  <si>
    <t>50%</t>
  </si>
  <si>
    <t>10:00</t>
  </si>
  <si>
    <t>80%</t>
  </si>
  <si>
    <t>11:00</t>
  </si>
  <si>
    <t>100%</t>
  </si>
  <si>
    <t>13:00</t>
  </si>
  <si>
    <t>0%</t>
  </si>
  <si>
    <t>15:00</t>
  </si>
  <si>
    <t>20:00</t>
  </si>
  <si>
    <t>21:00</t>
  </si>
  <si>
    <t>22:00</t>
  </si>
  <si>
    <t>17%</t>
  </si>
  <si>
    <t>23:00</t>
  </si>
  <si>
    <t>83%</t>
  </si>
  <si>
    <t>By Day of Week</t>
  </si>
  <si>
    <t>Day</t>
  </si>
  <si>
    <t>Wed</t>
  </si>
  <si>
    <t>65%</t>
  </si>
  <si>
    <t>Thu</t>
  </si>
  <si>
    <t>29%</t>
  </si>
  <si>
    <t>Behavior Flags</t>
  </si>
  <si>
    <t>Overtrading</t>
  </si>
  <si>
    <t>17 trades on 2026-09-09 (&gt; 6)</t>
  </si>
  <si>
    <t>7 trades on 2026-09-10 (&gt; 6)</t>
  </si>
  <si>
    <t>9 trades on 2026-09-23 (&gt; 6)</t>
  </si>
  <si>
    <t>Possible revenge trade</t>
  </si>
  <si>
    <t>MGC Long at 09/09 15:07 — 7 min after a loss, size 1</t>
  </si>
  <si>
    <t>MGC Long at 09/09 22:42 — 6 min after a loss, size 2</t>
  </si>
  <si>
    <t>MGC Short at 09/09 22:46 — 4 min after a loss, size 2</t>
  </si>
  <si>
    <t>MGC Short at 09/09 22:51 — 5 min after a loss, size 2</t>
  </si>
  <si>
    <t>MGC Long at 09/09 22:53 — 2 min after a loss, size 2</t>
  </si>
  <si>
    <t>MNQ Long at 09/09 23:31 — 1 min after a loss, size 2</t>
  </si>
  <si>
    <t>MGC Short at 09/10 08:55 — 4 min after a loss, size 1</t>
  </si>
  <si>
    <t>MNQ Long at 09/10 21:04 — 2 min after a loss, size 9</t>
  </si>
  <si>
    <t>MGC Long at 09/23 10:32 — 11 min after a loss, size 3</t>
  </si>
  <si>
    <t>Winner cut short</t>
  </si>
  <si>
    <t>MGC 09/09 15:07 took 0.02R of 2.00R target</t>
  </si>
  <si>
    <t>MGC 09/10 08:55 took 0.44R of 1.64R target</t>
  </si>
  <si>
    <t>MNQ 09/23 11:06 took 0.24R of 0.74R target</t>
  </si>
  <si>
    <t>Inconsistent sizing</t>
  </si>
  <si>
    <t>Position size varies a lot (CV 0.81)</t>
  </si>
  <si>
    <t>Negative-edge setup</t>
  </si>
  <si>
    <t>Break and Retest: 33 trades, 58% win, $-780 total</t>
  </si>
  <si>
    <t>Negative-edge instrument</t>
  </si>
  <si>
    <t>MGC: 15 trades, 33% win, $-999 total</t>
  </si>
  <si>
    <t>Negative-edge hour</t>
  </si>
  <si>
    <t>15:00: 4 trades, 50% win, $-36 total</t>
  </si>
  <si>
    <t>22:00: 6 trades, 17% win, $-387 total</t>
  </si>
  <si>
    <t>Claude AI Coaching</t>
  </si>
  <si>
    <t>[AI skipped — no Claude backend available]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</si>
</sst>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Aptos"/>
    </font>
    <font>
      <u/>
      <sz val="11"/>
      <color theme="10"/>
      <name val="Calibri"/>
      <scheme val="minor"/>
    </font>
    <font>
      <b/>
      <sz val="11"/>
      <color rgb="FFFFFFFF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3"/>
      <color rgb="FF111827"/>
      <name val="Calibri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5" fillId="0" borderId="1"/>
  </cellStyleXfs>
  <cellXfs count="25">
    <xf numFmtId="0" fontId="0" fillId="0" borderId="0" xfId="0" applyBorder="1"/>
    <xf numFmtId="0" fontId="1" fillId="2" borderId="1" xfId="0" applyFont="1" applyFill="1"/>
    <xf numFmtId="0" fontId="2" fillId="0" borderId="0" xfId="0" applyFont="1" applyBorder="1"/>
    <xf numFmtId="0" fontId="2" fillId="0" borderId="0" xfId="0" applyFont="1" applyBorder="1" applyAlignment="1">
      <alignment horizontal="left" vertical="top" wrapText="1"/>
    </xf>
    <xf numFmtId="164" fontId="3" fillId="0" borderId="0" xfId="0" applyNumberFormat="1" applyFont="1" applyBorder="1" applyAlignment="1">
      <alignment horizontal="left" vertical="top" wrapText="1"/>
    </xf>
    <xf numFmtId="4" fontId="3" fillId="0" borderId="0" xfId="0" applyNumberFormat="1" applyFont="1" applyBorder="1" applyAlignment="1">
      <alignment horizontal="left" vertical="top" wrapText="1"/>
    </xf>
    <xf numFmtId="2" fontId="2" fillId="0" borderId="0" xfId="0" applyNumberFormat="1" applyFont="1" applyBorder="1" applyAlignment="1">
      <alignment horizontal="left" vertical="top" wrapText="1"/>
    </xf>
    <xf numFmtId="10" fontId="3" fillId="0" borderId="0" xfId="0" applyNumberFormat="1" applyFont="1" applyBorder="1" applyAlignment="1">
      <alignment horizontal="left" vertical="top" wrapText="1"/>
    </xf>
    <xf numFmtId="20" fontId="2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0" xfId="1" applyBorder="1" applyAlignment="1">
      <alignment horizontal="left" vertical="top" wrapText="1"/>
    </xf>
    <xf numFmtId="14" fontId="3" fillId="0" borderId="0" xfId="0" applyNumberFormat="1" applyFont="1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4" fontId="2" fillId="0" borderId="0" xfId="0" applyNumberFormat="1" applyFont="1" applyBorder="1" applyAlignment="1">
      <alignment horizontal="left" vertical="top" wrapText="1"/>
    </xf>
    <xf numFmtId="4" fontId="0" fillId="0" borderId="0" xfId="0" applyNumberFormat="1" applyBorder="1"/>
    <xf numFmtId="0" fontId="6" fillId="4" borderId="0" xfId="0" applyFont="1" applyFill="1" applyBorder="1"/>
    <xf numFmtId="0" fontId="7" fillId="0" borderId="0" xfId="0" applyFont="1" applyBorder="1"/>
    <xf numFmtId="0" fontId="8" fillId="5" borderId="0" xfId="0" applyFont="1" applyFill="1" applyBorder="1"/>
    <xf numFmtId="0" fontId="9" fillId="6" borderId="0" xfId="0" applyFont="1" applyFill="1" applyBorder="1"/>
    <xf numFmtId="0" fontId="10" fillId="0" borderId="0" xfId="0" applyFont="1" applyBorder="1"/>
    <xf numFmtId="0" fontId="11" fillId="3" borderId="2" xfId="0" applyFont="1" applyFill="1" applyBorder="1" applyAlignment="1">
      <alignment horizontal="left" vertical="top" wrapText="1"/>
    </xf>
    <xf numFmtId="2" fontId="11" fillId="3" borderId="2" xfId="0" applyNumberFormat="1" applyFont="1" applyFill="1" applyBorder="1" applyAlignment="1">
      <alignment horizontal="left" vertical="top" wrapText="1"/>
    </xf>
    <xf numFmtId="4" fontId="11" fillId="3" borderId="2" xfId="0" applyNumberFormat="1" applyFont="1" applyFill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ySplit="1" topLeftCell="A28" activePane="bottomLeft" state="frozen"/>
      <selection pane="bottomLeft" activeCell="B1" sqref="B1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style="14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0.42578125" bestFit="1" customWidth="1"/>
    <col min="21" max="21" width="52.42578125" customWidth="1"/>
    <col min="22" max="27" width="8.7109375" customWidth="1"/>
  </cols>
  <sheetData>
    <row r="1" spans="1:27" s="24" customFormat="1" ht="30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0"/>
      <c r="N1" s="22"/>
      <c r="O1" s="20"/>
      <c r="P1" s="20"/>
      <c r="Q1" s="20" t="s">
        <v>0</v>
      </c>
      <c r="R1" s="20"/>
      <c r="S1" s="20"/>
      <c r="T1" s="20"/>
      <c r="U1" s="20"/>
      <c r="V1" s="23" t="s">
        <v>1</v>
      </c>
      <c r="W1" s="23" t="s">
        <v>2</v>
      </c>
      <c r="X1" s="23" t="s">
        <v>3</v>
      </c>
      <c r="Y1" s="23" t="s">
        <v>4</v>
      </c>
      <c r="Z1" s="23" t="s">
        <v>5</v>
      </c>
      <c r="AA1" s="23" t="s">
        <v>6</v>
      </c>
    </row>
    <row r="2" spans="1:27" ht="75" customHeight="1" x14ac:dyDescent="0.25">
      <c r="A2" s="3">
        <v>1</v>
      </c>
      <c r="B2" s="11">
        <v>46274</v>
      </c>
      <c r="C2" s="8">
        <v>0.45173611111111112</v>
      </c>
      <c r="D2" s="3" t="s">
        <v>7</v>
      </c>
      <c r="E2" s="3" t="s">
        <v>8</v>
      </c>
      <c r="F2" s="5">
        <v>29521</v>
      </c>
      <c r="G2" s="5">
        <v>29528.5</v>
      </c>
      <c r="H2" s="3">
        <v>2</v>
      </c>
      <c r="I2" s="5"/>
      <c r="J2" s="5">
        <v>29549</v>
      </c>
      <c r="K2" s="6" t="str">
        <f t="shared" ref="K2:K34" si="0">IF(AND(I2&lt;&gt;"",J2&lt;&gt;"",F2&lt;&gt;""), (J2-F2)/(F2-I2), "")</f>
        <v/>
      </c>
      <c r="L2" s="6" t="str">
        <f t="shared" ref="L2:L34" si="1">IF(AND(F2&lt;&gt;"",G2&lt;&gt;"",I2&lt;&gt;""), (G2-F2)/(F2-I2), "")</f>
        <v/>
      </c>
      <c r="M2" s="3" t="str">
        <f t="shared" ref="M2:M34" si="2">IF(N2&gt;0,"Win",IF(N2&lt;0,"Loss",""))</f>
        <v>Win</v>
      </c>
      <c r="N2" s="13">
        <f>IF(AND(F2&lt;&gt;"",G2&lt;&gt;"",H2&lt;&gt;"",D2&lt;&gt;""), IF(E2="Long", (G2-F2)*H2*VLOOKUP(D2,Multipliers!A:B,2,FALSE), (F2-G2)*H2*VLOOKUP(D2,Multipliers!A:B,2,FALSE)), "")</f>
        <v>30</v>
      </c>
      <c r="O2" s="7">
        <f>IF(AND(N2&lt;&gt;"",F2&lt;&gt;"",H2&lt;&gt;"",D2&lt;&gt;""), N2/(F2*H2*VLOOKUP(D2,Multipliers!A:B,2,FALSE)), "")</f>
        <v>2.5405643440262862E-4</v>
      </c>
      <c r="P2" s="3">
        <f>N2</f>
        <v>30</v>
      </c>
      <c r="Q2" s="3" t="s">
        <v>9</v>
      </c>
      <c r="R2" s="3" t="s">
        <v>10</v>
      </c>
      <c r="S2" s="3" t="s">
        <v>7</v>
      </c>
      <c r="T2" s="3"/>
      <c r="U2" s="3"/>
      <c r="V2" s="3" t="s">
        <v>11</v>
      </c>
      <c r="W2" s="3"/>
      <c r="X2" s="3"/>
      <c r="Y2" s="3"/>
      <c r="Z2" s="3"/>
      <c r="AA2" s="3"/>
    </row>
    <row r="3" spans="1:27" ht="18" customHeight="1" x14ac:dyDescent="0.25">
      <c r="A3" s="3">
        <v>2</v>
      </c>
      <c r="B3" s="11">
        <v>46274</v>
      </c>
      <c r="C3" s="8">
        <v>0.62569444444444444</v>
      </c>
      <c r="D3" s="3" t="s">
        <v>7</v>
      </c>
      <c r="E3" s="3" t="s">
        <v>8</v>
      </c>
      <c r="F3" s="5">
        <v>29450.5</v>
      </c>
      <c r="G3" s="5">
        <v>29434.5</v>
      </c>
      <c r="H3" s="3">
        <v>1</v>
      </c>
      <c r="I3" s="5">
        <v>29430.5</v>
      </c>
      <c r="J3" s="5">
        <v>29490.5</v>
      </c>
      <c r="K3" s="6">
        <f t="shared" si="0"/>
        <v>2</v>
      </c>
      <c r="L3" s="6">
        <f t="shared" si="1"/>
        <v>-0.8</v>
      </c>
      <c r="M3" s="3" t="str">
        <f t="shared" si="2"/>
        <v>Loss</v>
      </c>
      <c r="N3" s="13">
        <f>IF(AND(F3&lt;&gt;"",G3&lt;&gt;"",H3&lt;&gt;"",D3&lt;&gt;""), IF(E3="Long", (G3-F3)*H3*VLOOKUP(D3,Multipliers!A:B,2,FALSE), (F3-G3)*H3*VLOOKUP(D3,Multipliers!A:B,2,FALSE)), "")</f>
        <v>-32</v>
      </c>
      <c r="O3" s="7">
        <f>IF(AND(N3&lt;&gt;"",F3&lt;&gt;"",H3&lt;&gt;"",D3&lt;&gt;""), N3/(F3*H3*VLOOKUP(D3,Multipliers!A:B,2,FALSE)), "")</f>
        <v>-5.4328449432097922E-4</v>
      </c>
      <c r="P3" s="3">
        <f t="shared" ref="P3:P34" si="3">P2+N3</f>
        <v>-2</v>
      </c>
      <c r="Q3" s="3" t="s">
        <v>9</v>
      </c>
      <c r="R3" s="3" t="s">
        <v>10</v>
      </c>
      <c r="S3" s="3" t="s">
        <v>7</v>
      </c>
      <c r="T3" s="10"/>
      <c r="U3" s="10"/>
      <c r="V3" s="3" t="s">
        <v>11</v>
      </c>
      <c r="W3" s="3"/>
      <c r="X3" s="3"/>
      <c r="Y3" s="3"/>
      <c r="Z3" s="3"/>
      <c r="AA3" s="3"/>
    </row>
    <row r="4" spans="1:27" ht="60" customHeight="1" x14ac:dyDescent="0.25">
      <c r="A4" s="3">
        <v>3</v>
      </c>
      <c r="B4" s="11">
        <v>46274</v>
      </c>
      <c r="C4" s="8">
        <v>0.63031250000000005</v>
      </c>
      <c r="D4" s="3" t="s">
        <v>12</v>
      </c>
      <c r="E4" s="3" t="s">
        <v>8</v>
      </c>
      <c r="F4" s="5">
        <v>4444.7</v>
      </c>
      <c r="G4" s="5">
        <v>4444.8999999999996</v>
      </c>
      <c r="H4" s="3">
        <v>1</v>
      </c>
      <c r="I4" s="5">
        <v>4436.7</v>
      </c>
      <c r="J4" s="5">
        <v>4460.7</v>
      </c>
      <c r="K4" s="6">
        <f t="shared" si="0"/>
        <v>2</v>
      </c>
      <c r="L4" s="6">
        <f t="shared" si="1"/>
        <v>2.4999999999977263E-2</v>
      </c>
      <c r="M4" s="3" t="str">
        <f t="shared" si="2"/>
        <v>Win</v>
      </c>
      <c r="N4" s="13">
        <f>IF(AND(F4&lt;&gt;"",G4&lt;&gt;"",H4&lt;&gt;"",D4&lt;&gt;""), IF(E4="Long", (G4-F4)*H4*VLOOKUP(D4,Multipliers!A:B,2,FALSE), (F4-G4)*H4*VLOOKUP(D4,Multipliers!A:B,2,FALSE)), "")</f>
        <v>1.999999999998181</v>
      </c>
      <c r="O4" s="7">
        <f>IF(AND(N4&lt;&gt;"",F4&lt;&gt;"",H4&lt;&gt;"",D4&lt;&gt;""), N4/(F4*H4*VLOOKUP(D4,Multipliers!A:B,2,FALSE)), "")</f>
        <v>4.499741264873177E-5</v>
      </c>
      <c r="P4" s="3">
        <f t="shared" si="3"/>
        <v>-1.8189894035458565E-12</v>
      </c>
      <c r="Q4" s="3" t="s">
        <v>9</v>
      </c>
      <c r="R4" s="3" t="s">
        <v>10</v>
      </c>
      <c r="S4" s="3" t="s">
        <v>12</v>
      </c>
      <c r="T4" s="3"/>
      <c r="U4" s="3"/>
      <c r="V4" s="3" t="s">
        <v>13</v>
      </c>
      <c r="W4" s="3"/>
      <c r="X4" s="3"/>
      <c r="Y4" s="3"/>
      <c r="Z4" s="3"/>
      <c r="AA4" s="3"/>
    </row>
    <row r="5" spans="1:27" ht="75" customHeight="1" x14ac:dyDescent="0.25">
      <c r="A5" s="3">
        <v>4</v>
      </c>
      <c r="B5" s="11">
        <v>46274</v>
      </c>
      <c r="C5" s="8">
        <v>0.63062499999999999</v>
      </c>
      <c r="D5" s="3" t="s">
        <v>7</v>
      </c>
      <c r="E5" s="3" t="s">
        <v>8</v>
      </c>
      <c r="F5" s="5">
        <v>29454.5</v>
      </c>
      <c r="G5" s="5">
        <v>29463.25</v>
      </c>
      <c r="H5" s="3">
        <v>1</v>
      </c>
      <c r="I5" s="5"/>
      <c r="J5" s="5"/>
      <c r="K5" s="6" t="str">
        <f t="shared" si="0"/>
        <v/>
      </c>
      <c r="L5" s="6" t="str">
        <f t="shared" si="1"/>
        <v/>
      </c>
      <c r="M5" s="3" t="str">
        <f t="shared" si="2"/>
        <v>Win</v>
      </c>
      <c r="N5" s="13">
        <f>IF(AND(F5&lt;&gt;"",G5&lt;&gt;"",H5&lt;&gt;"",D5&lt;&gt;""), IF(E5="Long", (G5-F5)*H5*VLOOKUP(D5,Multipliers!A:B,2,FALSE), (F5-G5)*H5*VLOOKUP(D5,Multipliers!A:B,2,FALSE)), "")</f>
        <v>17.5</v>
      </c>
      <c r="O5" s="7">
        <f>IF(AND(N5&lt;&gt;"",F5&lt;&gt;"",H5&lt;&gt;"",D5&lt;&gt;""), N5/(F5*H5*VLOOKUP(D5,Multipliers!A:B,2,FALSE)), "")</f>
        <v>2.9706835967339458E-4</v>
      </c>
      <c r="P5" s="3">
        <f t="shared" si="3"/>
        <v>17.499999999998181</v>
      </c>
      <c r="Q5" s="3" t="s">
        <v>9</v>
      </c>
      <c r="R5" s="3" t="s">
        <v>10</v>
      </c>
      <c r="S5" s="3" t="s">
        <v>7</v>
      </c>
      <c r="T5" s="3"/>
      <c r="U5" s="3"/>
      <c r="V5" s="3" t="s">
        <v>11</v>
      </c>
      <c r="W5" s="3"/>
      <c r="X5" s="3"/>
      <c r="Y5" s="3"/>
      <c r="Z5" s="3"/>
      <c r="AA5" s="3"/>
    </row>
    <row r="6" spans="1:27" ht="75" customHeight="1" x14ac:dyDescent="0.25">
      <c r="A6" s="3">
        <v>5</v>
      </c>
      <c r="B6" s="11">
        <v>46274</v>
      </c>
      <c r="C6" s="8">
        <v>0.64693287037037039</v>
      </c>
      <c r="D6" s="3" t="s">
        <v>7</v>
      </c>
      <c r="E6" s="3" t="s">
        <v>8</v>
      </c>
      <c r="F6" s="5">
        <v>29453.25</v>
      </c>
      <c r="G6" s="5">
        <v>29441.5</v>
      </c>
      <c r="H6" s="3">
        <v>1</v>
      </c>
      <c r="I6" s="5">
        <v>29433.25</v>
      </c>
      <c r="J6" s="5">
        <v>29493.25</v>
      </c>
      <c r="K6" s="6">
        <f t="shared" si="0"/>
        <v>2</v>
      </c>
      <c r="L6" s="6">
        <f t="shared" si="1"/>
        <v>-0.58750000000000002</v>
      </c>
      <c r="M6" s="3" t="str">
        <f t="shared" si="2"/>
        <v>Loss</v>
      </c>
      <c r="N6" s="13">
        <f>IF(AND(F6&lt;&gt;"",G6&lt;&gt;"",H6&lt;&gt;"",D6&lt;&gt;""), IF(E6="Long", (G6-F6)*H6*VLOOKUP(D6,Multipliers!A:B,2,FALSE), (F6-G6)*H6*VLOOKUP(D6,Multipliers!A:B,2,FALSE)), "")</f>
        <v>-23.5</v>
      </c>
      <c r="O6" s="7">
        <f>IF(AND(N6&lt;&gt;"",F6&lt;&gt;"",H6&lt;&gt;"",D6&lt;&gt;""), N6/(F6*H6*VLOOKUP(D6,Multipliers!A:B,2,FALSE)), "")</f>
        <v>-3.9893729893984535E-4</v>
      </c>
      <c r="P6" s="3">
        <f t="shared" si="3"/>
        <v>-6.000000000001819</v>
      </c>
      <c r="Q6" s="3" t="s">
        <v>9</v>
      </c>
      <c r="R6" s="3" t="s">
        <v>10</v>
      </c>
      <c r="S6" s="3" t="s">
        <v>7</v>
      </c>
      <c r="T6" s="3"/>
      <c r="U6" s="3"/>
      <c r="V6" s="3" t="s">
        <v>11</v>
      </c>
      <c r="W6" s="3"/>
      <c r="X6" s="3"/>
      <c r="Y6" s="3"/>
      <c r="Z6" s="3"/>
      <c r="AA6" s="3"/>
    </row>
    <row r="7" spans="1:27" ht="75" customHeight="1" x14ac:dyDescent="0.25">
      <c r="A7" s="3">
        <v>6</v>
      </c>
      <c r="B7" s="11">
        <v>46274</v>
      </c>
      <c r="C7" s="8">
        <v>0.94028935185185181</v>
      </c>
      <c r="D7" s="3" t="s">
        <v>7</v>
      </c>
      <c r="E7" s="3" t="s">
        <v>14</v>
      </c>
      <c r="F7" s="5">
        <v>29384.75</v>
      </c>
      <c r="G7" s="5">
        <v>29383</v>
      </c>
      <c r="H7" s="3">
        <v>2</v>
      </c>
      <c r="I7" s="5">
        <v>29400.5</v>
      </c>
      <c r="J7" s="5">
        <v>29383</v>
      </c>
      <c r="K7" s="6">
        <f t="shared" si="0"/>
        <v>0.1111111111111111</v>
      </c>
      <c r="L7" s="6">
        <f t="shared" si="1"/>
        <v>0.1111111111111111</v>
      </c>
      <c r="M7" s="3" t="str">
        <f t="shared" si="2"/>
        <v>Win</v>
      </c>
      <c r="N7" s="13">
        <f>IF(AND(F7&lt;&gt;"",G7&lt;&gt;"",H7&lt;&gt;"",D7&lt;&gt;""), IF(E7="Long", (G7-F7)*H7*VLOOKUP(D7,Multipliers!A:B,2,FALSE), (F7-G7)*H7*VLOOKUP(D7,Multipliers!A:B,2,FALSE)), "")</f>
        <v>7</v>
      </c>
      <c r="O7" s="7">
        <f>IF(AND(N7&lt;&gt;"",F7&lt;&gt;"",H7&lt;&gt;"",D7&lt;&gt;""), N7/(F7*H7*VLOOKUP(D7,Multipliers!A:B,2,FALSE)), "")</f>
        <v>5.9554700992861942E-5</v>
      </c>
      <c r="P7" s="3">
        <f t="shared" si="3"/>
        <v>0.99999999999818101</v>
      </c>
      <c r="Q7" s="3" t="s">
        <v>9</v>
      </c>
      <c r="R7" s="3" t="s">
        <v>10</v>
      </c>
      <c r="S7" s="3" t="s">
        <v>7</v>
      </c>
      <c r="T7" s="3"/>
      <c r="U7" s="3"/>
      <c r="V7" s="3" t="s">
        <v>11</v>
      </c>
      <c r="W7" s="3"/>
      <c r="X7" s="3"/>
      <c r="Y7" s="3"/>
      <c r="Z7" s="3"/>
      <c r="AA7" s="3"/>
    </row>
    <row r="8" spans="1:27" ht="75" customHeight="1" x14ac:dyDescent="0.25">
      <c r="A8" s="3">
        <v>7</v>
      </c>
      <c r="B8" s="11">
        <v>46274</v>
      </c>
      <c r="C8" s="8">
        <v>0.9419791666666667</v>
      </c>
      <c r="D8" s="3" t="s">
        <v>12</v>
      </c>
      <c r="E8" s="3" t="s">
        <v>14</v>
      </c>
      <c r="F8" s="5">
        <v>4457.8</v>
      </c>
      <c r="G8" s="5">
        <v>4462.7</v>
      </c>
      <c r="H8" s="3">
        <v>2</v>
      </c>
      <c r="I8" s="5">
        <v>4462.7</v>
      </c>
      <c r="J8" s="5">
        <v>4457.2</v>
      </c>
      <c r="K8" s="6">
        <f t="shared" si="0"/>
        <v>0.12244897959192007</v>
      </c>
      <c r="L8" s="6">
        <f t="shared" si="1"/>
        <v>-1</v>
      </c>
      <c r="M8" s="3" t="str">
        <f t="shared" si="2"/>
        <v>Loss</v>
      </c>
      <c r="N8" s="13">
        <f>IF(AND(F8&lt;&gt;"",G8&lt;&gt;"",H8&lt;&gt;"",D8&lt;&gt;""), IF(E8="Long", (G8-F8)*H8*VLOOKUP(D8,Multipliers!A:B,2,FALSE), (F8-G8)*H8*VLOOKUP(D8,Multipliers!A:B,2,FALSE)), "")</f>
        <v>-97.999999999992724</v>
      </c>
      <c r="O8" s="7">
        <f>IF(AND(N8&lt;&gt;"",F8&lt;&gt;"",H8&lt;&gt;"",D8&lt;&gt;""), N8/(F8*H8*VLOOKUP(D8,Multipliers!A:B,2,FALSE)), "")</f>
        <v>-1.0991969132755253E-3</v>
      </c>
      <c r="P8" s="3">
        <f t="shared" si="3"/>
        <v>-96.999999999994543</v>
      </c>
      <c r="Q8" s="3" t="s">
        <v>9</v>
      </c>
      <c r="R8" s="3" t="s">
        <v>10</v>
      </c>
      <c r="S8" s="3" t="s">
        <v>12</v>
      </c>
      <c r="T8" s="3"/>
      <c r="U8" s="3"/>
      <c r="V8" s="3" t="s">
        <v>11</v>
      </c>
      <c r="W8" s="3"/>
      <c r="X8" s="3"/>
      <c r="Y8" s="3"/>
      <c r="Z8" s="3"/>
      <c r="AA8" s="3"/>
    </row>
    <row r="9" spans="1:27" ht="75" customHeight="1" x14ac:dyDescent="0.25">
      <c r="A9" s="3">
        <v>8</v>
      </c>
      <c r="B9" s="11">
        <v>46274</v>
      </c>
      <c r="C9" s="8">
        <v>0.94596064814814818</v>
      </c>
      <c r="D9" s="3" t="s">
        <v>12</v>
      </c>
      <c r="E9" s="3" t="s">
        <v>8</v>
      </c>
      <c r="F9" s="5">
        <v>4463.3999999999996</v>
      </c>
      <c r="G9" s="5">
        <v>4461.3999999999996</v>
      </c>
      <c r="H9" s="3">
        <v>2</v>
      </c>
      <c r="I9" s="5">
        <v>4461.3999999999996</v>
      </c>
      <c r="J9" s="5">
        <v>4464.3999999999996</v>
      </c>
      <c r="K9" s="6">
        <f t="shared" si="0"/>
        <v>0.5</v>
      </c>
      <c r="L9" s="6">
        <f t="shared" si="1"/>
        <v>-1</v>
      </c>
      <c r="M9" s="3" t="str">
        <f t="shared" si="2"/>
        <v>Loss</v>
      </c>
      <c r="N9" s="13">
        <f>IF(AND(F9&lt;&gt;"",G9&lt;&gt;"",H9&lt;&gt;"",D9&lt;&gt;""), IF(E9="Long", (G9-F9)*H9*VLOOKUP(D9,Multipliers!A:B,2,FALSE), (F9-G9)*H9*VLOOKUP(D9,Multipliers!A:B,2,FALSE)), "")</f>
        <v>-40</v>
      </c>
      <c r="O9" s="7">
        <f>IF(AND(N9&lt;&gt;"",F9&lt;&gt;"",H9&lt;&gt;"",D9&lt;&gt;""), N9/(F9*H9*VLOOKUP(D9,Multipliers!A:B,2,FALSE)), "")</f>
        <v>-4.4808890083792625E-4</v>
      </c>
      <c r="P9" s="3">
        <f t="shared" si="3"/>
        <v>-136.99999999999454</v>
      </c>
      <c r="Q9" s="3" t="s">
        <v>9</v>
      </c>
      <c r="R9" s="3" t="s">
        <v>10</v>
      </c>
      <c r="S9" s="3" t="s">
        <v>12</v>
      </c>
      <c r="T9" s="3"/>
      <c r="U9" s="3"/>
      <c r="V9" s="3" t="s">
        <v>15</v>
      </c>
      <c r="W9" s="3"/>
      <c r="X9" s="3"/>
      <c r="Y9" s="3"/>
      <c r="Z9" s="3"/>
      <c r="AA9" s="3"/>
    </row>
    <row r="10" spans="1:27" ht="75" customHeight="1" x14ac:dyDescent="0.25">
      <c r="A10" s="3">
        <v>9</v>
      </c>
      <c r="B10" s="11">
        <v>46274</v>
      </c>
      <c r="C10" s="8">
        <v>0.94906250000000003</v>
      </c>
      <c r="D10" s="3" t="s">
        <v>12</v>
      </c>
      <c r="E10" s="3" t="s">
        <v>14</v>
      </c>
      <c r="F10" s="5">
        <v>4460.6000000000004</v>
      </c>
      <c r="G10" s="5">
        <v>4462.5</v>
      </c>
      <c r="H10" s="3">
        <v>2</v>
      </c>
      <c r="I10" s="5">
        <v>4462.5</v>
      </c>
      <c r="J10" s="5">
        <v>4459.5</v>
      </c>
      <c r="K10" s="6">
        <f t="shared" si="0"/>
        <v>0.57894736842135497</v>
      </c>
      <c r="L10" s="6">
        <f t="shared" si="1"/>
        <v>-1</v>
      </c>
      <c r="M10" s="3" t="str">
        <f t="shared" si="2"/>
        <v>Loss</v>
      </c>
      <c r="N10" s="13">
        <f>IF(AND(F10&lt;&gt;"",G10&lt;&gt;"",H10&lt;&gt;"",D10&lt;&gt;""), IF(E10="Long", (G10-F10)*H10*VLOOKUP(D10,Multipliers!A:B,2,FALSE), (F10-G10)*H10*VLOOKUP(D10,Multipliers!A:B,2,FALSE)), "")</f>
        <v>-37.999999999992724</v>
      </c>
      <c r="O10" s="7">
        <f>IF(AND(N10&lt;&gt;"",F10&lt;&gt;"",H10&lt;&gt;"",D10&lt;&gt;""), N10/(F10*H10*VLOOKUP(D10,Multipliers!A:B,2,FALSE)), "")</f>
        <v>-4.2595166569511642E-4</v>
      </c>
      <c r="P10" s="3">
        <f t="shared" si="3"/>
        <v>-174.99999999998727</v>
      </c>
      <c r="Q10" s="3" t="s">
        <v>9</v>
      </c>
      <c r="R10" s="3" t="s">
        <v>10</v>
      </c>
      <c r="S10" s="3" t="s">
        <v>12</v>
      </c>
      <c r="T10" s="3"/>
      <c r="U10" s="3"/>
      <c r="V10" s="3" t="s">
        <v>15</v>
      </c>
      <c r="W10" s="3"/>
      <c r="X10" s="3"/>
      <c r="Y10" s="3"/>
      <c r="Z10" s="3"/>
      <c r="AA10" s="3"/>
    </row>
    <row r="11" spans="1:27" ht="75" customHeight="1" x14ac:dyDescent="0.25">
      <c r="A11" s="3">
        <v>10</v>
      </c>
      <c r="B11" s="11">
        <v>46274</v>
      </c>
      <c r="C11" s="8">
        <v>0.95224537037037038</v>
      </c>
      <c r="D11" s="3" t="s">
        <v>12</v>
      </c>
      <c r="E11" s="3" t="s">
        <v>14</v>
      </c>
      <c r="F11" s="5">
        <v>4462.1000000000004</v>
      </c>
      <c r="G11" s="5">
        <v>4464.1000000000004</v>
      </c>
      <c r="H11" s="3">
        <v>2</v>
      </c>
      <c r="I11" s="5">
        <v>4464.1000000000004</v>
      </c>
      <c r="J11" s="5">
        <v>4461.1000000000004</v>
      </c>
      <c r="K11" s="6">
        <f t="shared" si="0"/>
        <v>0.5</v>
      </c>
      <c r="L11" s="6">
        <f t="shared" si="1"/>
        <v>-1</v>
      </c>
      <c r="M11" s="3" t="str">
        <f t="shared" si="2"/>
        <v>Loss</v>
      </c>
      <c r="N11" s="13">
        <f>IF(AND(F11&lt;&gt;"",G11&lt;&gt;"",H11&lt;&gt;"",D11&lt;&gt;""), IF(E11="Long", (G11-F11)*H11*VLOOKUP(D11,Multipliers!A:B,2,FALSE), (F11-G11)*H11*VLOOKUP(D11,Multipliers!A:B,2,FALSE)), "")</f>
        <v>-40</v>
      </c>
      <c r="O11" s="7">
        <f>IF(AND(N11&lt;&gt;"",F11&lt;&gt;"",H11&lt;&gt;"",D11&lt;&gt;""), N11/(F11*H11*VLOOKUP(D11,Multipliers!A:B,2,FALSE)), "")</f>
        <v>-4.4821944824185924E-4</v>
      </c>
      <c r="P11" s="3">
        <f t="shared" si="3"/>
        <v>-214.99999999998727</v>
      </c>
      <c r="Q11" s="3" t="s">
        <v>9</v>
      </c>
      <c r="R11" s="3" t="s">
        <v>10</v>
      </c>
      <c r="S11" s="3" t="s">
        <v>12</v>
      </c>
      <c r="T11" s="3"/>
      <c r="U11" s="3"/>
      <c r="V11" s="3" t="s">
        <v>15</v>
      </c>
      <c r="W11" s="3"/>
      <c r="X11" s="3"/>
      <c r="Y11" s="3"/>
      <c r="Z11" s="3"/>
      <c r="AA11" s="3"/>
    </row>
    <row r="12" spans="1:27" ht="75" customHeight="1" x14ac:dyDescent="0.25">
      <c r="A12" s="3">
        <v>11</v>
      </c>
      <c r="B12" s="11">
        <v>46274</v>
      </c>
      <c r="C12" s="8">
        <v>0.95377314814814818</v>
      </c>
      <c r="D12" s="3" t="s">
        <v>12</v>
      </c>
      <c r="E12" s="3" t="s">
        <v>8</v>
      </c>
      <c r="F12" s="5">
        <v>4464.1000000000004</v>
      </c>
      <c r="G12" s="5">
        <v>4455.2</v>
      </c>
      <c r="H12" s="3">
        <v>2</v>
      </c>
      <c r="I12" s="5"/>
      <c r="J12" s="5">
        <v>4465</v>
      </c>
      <c r="K12" s="6" t="str">
        <f t="shared" si="0"/>
        <v/>
      </c>
      <c r="L12" s="6" t="str">
        <f t="shared" si="1"/>
        <v/>
      </c>
      <c r="M12" s="3" t="str">
        <f t="shared" si="2"/>
        <v>Loss</v>
      </c>
      <c r="N12" s="13">
        <f>IF(AND(F12&lt;&gt;"",G12&lt;&gt;"",H12&lt;&gt;"",D12&lt;&gt;""), IF(E12="Long", (G12-F12)*H12*VLOOKUP(D12,Multipliers!A:B,2,FALSE), (F12-G12)*H12*VLOOKUP(D12,Multipliers!A:B,2,FALSE)), "")</f>
        <v>-178.00000000001091</v>
      </c>
      <c r="O12" s="7">
        <f>IF(AND(N12&lt;&gt;"",F12&lt;&gt;"",H12&lt;&gt;"",D12&lt;&gt;""), N12/(F12*H12*VLOOKUP(D12,Multipliers!A:B,2,FALSE)), "")</f>
        <v>-1.9936829372103103E-3</v>
      </c>
      <c r="P12" s="3">
        <f t="shared" si="3"/>
        <v>-392.99999999999818</v>
      </c>
      <c r="Q12" s="3" t="s">
        <v>9</v>
      </c>
      <c r="R12" s="3" t="s">
        <v>10</v>
      </c>
      <c r="S12" s="3" t="s">
        <v>12</v>
      </c>
      <c r="T12" s="3"/>
      <c r="U12" s="3"/>
      <c r="V12" s="3" t="s">
        <v>15</v>
      </c>
      <c r="W12" s="3"/>
      <c r="X12" s="3"/>
      <c r="Y12" s="3"/>
      <c r="Z12" s="3"/>
      <c r="AA12" s="3"/>
    </row>
    <row r="13" spans="1:27" ht="75" customHeight="1" x14ac:dyDescent="0.25">
      <c r="A13" s="3">
        <v>12</v>
      </c>
      <c r="B13" s="11">
        <v>46274</v>
      </c>
      <c r="C13" s="8">
        <v>0.97428240740740746</v>
      </c>
      <c r="D13" s="3" t="s">
        <v>7</v>
      </c>
      <c r="E13" s="3" t="s">
        <v>14</v>
      </c>
      <c r="F13" s="5">
        <v>29404.25</v>
      </c>
      <c r="G13" s="5">
        <v>29402</v>
      </c>
      <c r="H13" s="3">
        <v>1</v>
      </c>
      <c r="I13" s="5">
        <v>29409.5</v>
      </c>
      <c r="J13" s="5">
        <v>29399.75</v>
      </c>
      <c r="K13" s="6">
        <f t="shared" si="0"/>
        <v>0.8571428571428571</v>
      </c>
      <c r="L13" s="6">
        <f t="shared" si="1"/>
        <v>0.42857142857142855</v>
      </c>
      <c r="M13" s="3" t="str">
        <f t="shared" si="2"/>
        <v>Win</v>
      </c>
      <c r="N13" s="13">
        <f>IF(AND(F13&lt;&gt;"",G13&lt;&gt;"",H13&lt;&gt;"",D13&lt;&gt;""), IF(E13="Long", (G13-F13)*H13*VLOOKUP(D13,Multipliers!A:B,2,FALSE), (F13-G13)*H13*VLOOKUP(D13,Multipliers!A:B,2,FALSE)), "")</f>
        <v>4.5</v>
      </c>
      <c r="O13" s="7">
        <f>IF(AND(N13&lt;&gt;"",F13&lt;&gt;"",H13&lt;&gt;"",D13&lt;&gt;""), N13/(F13*H13*VLOOKUP(D13,Multipliers!A:B,2,FALSE)), "")</f>
        <v>7.6519550745215401E-5</v>
      </c>
      <c r="P13" s="3">
        <f t="shared" si="3"/>
        <v>-388.49999999999818</v>
      </c>
      <c r="Q13" s="3" t="s">
        <v>9</v>
      </c>
      <c r="R13" s="3" t="s">
        <v>10</v>
      </c>
      <c r="S13" s="3" t="s">
        <v>7</v>
      </c>
      <c r="T13" s="3"/>
      <c r="U13" s="3"/>
      <c r="V13" s="3" t="s">
        <v>11</v>
      </c>
      <c r="W13" s="3"/>
      <c r="X13" s="3"/>
      <c r="Y13" s="3"/>
      <c r="Z13" s="3"/>
      <c r="AA13" s="3"/>
    </row>
    <row r="14" spans="1:27" ht="15.75" customHeight="1" x14ac:dyDescent="0.25">
      <c r="A14" s="3">
        <v>13</v>
      </c>
      <c r="B14" s="11">
        <v>46274</v>
      </c>
      <c r="C14" s="8">
        <v>0.97465277777777781</v>
      </c>
      <c r="D14" s="3" t="s">
        <v>7</v>
      </c>
      <c r="E14" s="3" t="s">
        <v>14</v>
      </c>
      <c r="F14" s="5">
        <v>29403</v>
      </c>
      <c r="G14" s="5">
        <v>29400.75</v>
      </c>
      <c r="H14" s="3">
        <v>1</v>
      </c>
      <c r="I14" s="5">
        <v>29409.5</v>
      </c>
      <c r="J14" s="5">
        <v>29399.75</v>
      </c>
      <c r="K14" s="6">
        <f t="shared" si="0"/>
        <v>0.5</v>
      </c>
      <c r="L14" s="6">
        <f t="shared" si="1"/>
        <v>0.34615384615384615</v>
      </c>
      <c r="M14" s="3" t="str">
        <f t="shared" si="2"/>
        <v>Win</v>
      </c>
      <c r="N14" s="13">
        <f>IF(AND(F14&lt;&gt;"",G14&lt;&gt;"",H14&lt;&gt;"",D14&lt;&gt;""), IF(E14="Long", (G14-F14)*H14*VLOOKUP(D14,Multipliers!A:B,2,FALSE), (F14-G14)*H14*VLOOKUP(D14,Multipliers!A:B,2,FALSE)), "")</f>
        <v>4.5</v>
      </c>
      <c r="O14" s="7">
        <f>IF(AND(N14&lt;&gt;"",F14&lt;&gt;"",H14&lt;&gt;"",D14&lt;&gt;""), N14/(F14*H14*VLOOKUP(D14,Multipliers!A:B,2,FALSE)), "")</f>
        <v>7.6522803795531067E-5</v>
      </c>
      <c r="P14" s="3">
        <f t="shared" si="3"/>
        <v>-383.99999999999818</v>
      </c>
      <c r="Q14" s="3" t="s">
        <v>9</v>
      </c>
      <c r="R14" s="3" t="s">
        <v>10</v>
      </c>
      <c r="S14" s="3" t="s">
        <v>7</v>
      </c>
      <c r="T14" s="3"/>
      <c r="U14" s="3"/>
      <c r="V14" s="3" t="s">
        <v>11</v>
      </c>
      <c r="W14" s="3"/>
      <c r="X14" s="3"/>
      <c r="Y14" s="3"/>
      <c r="Z14" s="3"/>
      <c r="AA14" s="3"/>
    </row>
    <row r="15" spans="1:27" ht="15.75" customHeight="1" x14ac:dyDescent="0.25">
      <c r="A15" s="3">
        <v>14</v>
      </c>
      <c r="B15" s="11">
        <v>46274</v>
      </c>
      <c r="C15" s="8">
        <v>0.97545138888888894</v>
      </c>
      <c r="D15" s="3" t="s">
        <v>7</v>
      </c>
      <c r="E15" s="3" t="s">
        <v>14</v>
      </c>
      <c r="F15" s="5">
        <v>29402.25</v>
      </c>
      <c r="G15" s="5">
        <v>29399.75</v>
      </c>
      <c r="H15" s="3">
        <v>2</v>
      </c>
      <c r="I15" s="5">
        <v>29409.5</v>
      </c>
      <c r="J15" s="5">
        <v>29399.75</v>
      </c>
      <c r="K15" s="6">
        <f t="shared" si="0"/>
        <v>0.34482758620689657</v>
      </c>
      <c r="L15" s="6">
        <f t="shared" si="1"/>
        <v>0.34482758620689657</v>
      </c>
      <c r="M15" s="3" t="str">
        <f t="shared" si="2"/>
        <v>Win</v>
      </c>
      <c r="N15" s="13">
        <f>IF(AND(F15&lt;&gt;"",G15&lt;&gt;"",H15&lt;&gt;"",D15&lt;&gt;""), IF(E15="Long", (G15-F15)*H15*VLOOKUP(D15,Multipliers!A:B,2,FALSE), (F15-G15)*H15*VLOOKUP(D15,Multipliers!A:B,2,FALSE)), "")</f>
        <v>10</v>
      </c>
      <c r="O15" s="7">
        <f>IF(AND(N15&lt;&gt;"",F15&lt;&gt;"",H15&lt;&gt;"",D15&lt;&gt;""), N15/(F15*H15*VLOOKUP(D15,Multipliers!A:B,2,FALSE)), "")</f>
        <v>8.5027506398319854E-5</v>
      </c>
      <c r="P15" s="3">
        <f t="shared" si="3"/>
        <v>-373.99999999999818</v>
      </c>
      <c r="Q15" s="3" t="s">
        <v>9</v>
      </c>
      <c r="R15" s="3" t="s">
        <v>10</v>
      </c>
      <c r="S15" s="3" t="s">
        <v>7</v>
      </c>
      <c r="T15" s="3"/>
      <c r="U15" s="3"/>
      <c r="V15" s="3" t="s">
        <v>11</v>
      </c>
      <c r="W15" s="3"/>
      <c r="X15" s="3"/>
      <c r="Y15" s="3"/>
      <c r="Z15" s="3"/>
      <c r="AA15" s="3"/>
    </row>
    <row r="16" spans="1:27" ht="15.75" customHeight="1" x14ac:dyDescent="0.25">
      <c r="A16" s="3">
        <v>15</v>
      </c>
      <c r="B16" s="11">
        <v>46274</v>
      </c>
      <c r="C16" s="8">
        <v>0.97589120370370375</v>
      </c>
      <c r="D16" s="3" t="s">
        <v>7</v>
      </c>
      <c r="E16" s="3" t="s">
        <v>14</v>
      </c>
      <c r="F16" s="5">
        <v>29403</v>
      </c>
      <c r="G16" s="5">
        <v>29400.5</v>
      </c>
      <c r="H16" s="3">
        <v>2</v>
      </c>
      <c r="I16" s="5">
        <v>29409.5</v>
      </c>
      <c r="J16" s="5">
        <v>29399.75</v>
      </c>
      <c r="K16" s="6">
        <f t="shared" si="0"/>
        <v>0.5</v>
      </c>
      <c r="L16" s="6">
        <f t="shared" si="1"/>
        <v>0.38461538461538464</v>
      </c>
      <c r="M16" s="3" t="str">
        <f t="shared" si="2"/>
        <v>Win</v>
      </c>
      <c r="N16" s="13">
        <f>IF(AND(F16&lt;&gt;"",G16&lt;&gt;"",H16&lt;&gt;"",D16&lt;&gt;""), IF(E16="Long", (G16-F16)*H16*VLOOKUP(D16,Multipliers!A:B,2,FALSE), (F16-G16)*H16*VLOOKUP(D16,Multipliers!A:B,2,FALSE)), "")</f>
        <v>10</v>
      </c>
      <c r="O16" s="7">
        <f>IF(AND(N16&lt;&gt;"",F16&lt;&gt;"",H16&lt;&gt;"",D16&lt;&gt;""), N16/(F16*H16*VLOOKUP(D16,Multipliers!A:B,2,FALSE)), "")</f>
        <v>8.5025337550590079E-5</v>
      </c>
      <c r="P16" s="3">
        <f t="shared" si="3"/>
        <v>-363.99999999999818</v>
      </c>
      <c r="Q16" s="3" t="s">
        <v>9</v>
      </c>
      <c r="R16" s="3" t="s">
        <v>10</v>
      </c>
      <c r="S16" s="3" t="s">
        <v>7</v>
      </c>
      <c r="T16" s="3"/>
      <c r="U16" s="3"/>
      <c r="V16" s="3" t="s">
        <v>11</v>
      </c>
      <c r="W16" s="3"/>
      <c r="X16" s="3"/>
      <c r="Y16" s="3"/>
      <c r="Z16" s="3"/>
      <c r="AA16" s="3"/>
    </row>
    <row r="17" spans="1:27" ht="15.75" customHeight="1" x14ac:dyDescent="0.25">
      <c r="A17" s="3">
        <v>16</v>
      </c>
      <c r="B17" s="11">
        <v>46274</v>
      </c>
      <c r="C17" s="8">
        <v>0.97939814814814818</v>
      </c>
      <c r="D17" s="3" t="s">
        <v>7</v>
      </c>
      <c r="E17" s="3" t="s">
        <v>14</v>
      </c>
      <c r="F17" s="5">
        <v>29402.25</v>
      </c>
      <c r="G17" s="5">
        <v>29406.75</v>
      </c>
      <c r="H17" s="3">
        <v>2</v>
      </c>
      <c r="I17" s="5">
        <v>29406.75</v>
      </c>
      <c r="J17" s="5">
        <v>29399.25</v>
      </c>
      <c r="K17" s="6">
        <f t="shared" si="0"/>
        <v>0.66666666666666663</v>
      </c>
      <c r="L17" s="6">
        <f t="shared" si="1"/>
        <v>-1</v>
      </c>
      <c r="M17" s="3" t="str">
        <f t="shared" si="2"/>
        <v>Loss</v>
      </c>
      <c r="N17" s="13">
        <f>IF(AND(F17&lt;&gt;"",G17&lt;&gt;"",H17&lt;&gt;"",D17&lt;&gt;""), IF(E17="Long", (G17-F17)*H17*VLOOKUP(D17,Multipliers!A:B,2,FALSE), (F17-G17)*H17*VLOOKUP(D17,Multipliers!A:B,2,FALSE)), "")</f>
        <v>-18</v>
      </c>
      <c r="O17" s="7">
        <f>IF(AND(N17&lt;&gt;"",F17&lt;&gt;"",H17&lt;&gt;"",D17&lt;&gt;""), N17/(F17*H17*VLOOKUP(D17,Multipliers!A:B,2,FALSE)), "")</f>
        <v>-1.5304951151697574E-4</v>
      </c>
      <c r="P17" s="3">
        <f t="shared" si="3"/>
        <v>-381.99999999999818</v>
      </c>
      <c r="Q17" s="3" t="s">
        <v>9</v>
      </c>
      <c r="R17" s="3" t="s">
        <v>10</v>
      </c>
      <c r="S17" s="3" t="s">
        <v>7</v>
      </c>
      <c r="T17" s="3"/>
      <c r="U17" s="3"/>
      <c r="V17" s="3" t="s">
        <v>11</v>
      </c>
      <c r="W17" s="3"/>
      <c r="X17" s="3"/>
      <c r="Y17" s="3"/>
      <c r="Z17" s="3"/>
      <c r="AA17" s="3"/>
    </row>
    <row r="18" spans="1:27" ht="15.75" customHeight="1" x14ac:dyDescent="0.25">
      <c r="A18" s="3">
        <v>17</v>
      </c>
      <c r="B18" s="11">
        <v>46274</v>
      </c>
      <c r="C18" s="8">
        <v>0.98018518518518516</v>
      </c>
      <c r="D18" s="3" t="s">
        <v>7</v>
      </c>
      <c r="E18" s="3" t="s">
        <v>8</v>
      </c>
      <c r="F18" s="5">
        <v>29410.25</v>
      </c>
      <c r="G18" s="5">
        <v>29412.75</v>
      </c>
      <c r="H18" s="3">
        <v>2</v>
      </c>
      <c r="I18" s="5">
        <v>29405.25</v>
      </c>
      <c r="J18" s="5">
        <v>29412.75</v>
      </c>
      <c r="K18" s="6">
        <f t="shared" si="0"/>
        <v>0.5</v>
      </c>
      <c r="L18" s="6">
        <f t="shared" si="1"/>
        <v>0.5</v>
      </c>
      <c r="M18" s="3" t="str">
        <f t="shared" si="2"/>
        <v>Win</v>
      </c>
      <c r="N18" s="13">
        <f>IF(AND(F18&lt;&gt;"",G18&lt;&gt;"",H18&lt;&gt;"",D18&lt;&gt;""), IF(E18="Long", (G18-F18)*H18*VLOOKUP(D18,Multipliers!A:B,2,FALSE), (F18-G18)*H18*VLOOKUP(D18,Multipliers!A:B,2,FALSE)), "")</f>
        <v>10</v>
      </c>
      <c r="O18" s="7">
        <f>IF(AND(N18&lt;&gt;"",F18&lt;&gt;"",H18&lt;&gt;"",D18&lt;&gt;""), N18/(F18*H18*VLOOKUP(D18,Multipliers!A:B,2,FALSE)), "")</f>
        <v>8.5004377725452859E-5</v>
      </c>
      <c r="P18" s="3">
        <f t="shared" si="3"/>
        <v>-371.99999999999818</v>
      </c>
      <c r="Q18" s="3" t="s">
        <v>9</v>
      </c>
      <c r="R18" s="3" t="s">
        <v>10</v>
      </c>
      <c r="S18" s="3" t="s">
        <v>7</v>
      </c>
      <c r="T18" s="3"/>
      <c r="U18" s="3"/>
      <c r="V18" s="3" t="s">
        <v>15</v>
      </c>
      <c r="W18" s="3"/>
      <c r="X18" s="3"/>
      <c r="Y18" s="3"/>
      <c r="Z18" s="3"/>
      <c r="AA18" s="3"/>
    </row>
    <row r="19" spans="1:27" ht="15.75" customHeight="1" x14ac:dyDescent="0.25">
      <c r="A19" s="3">
        <v>18</v>
      </c>
      <c r="B19" s="11">
        <v>46275</v>
      </c>
      <c r="C19" s="8">
        <v>0.36875000000000002</v>
      </c>
      <c r="D19" s="3" t="s">
        <v>12</v>
      </c>
      <c r="E19" s="3" t="s">
        <v>8</v>
      </c>
      <c r="F19" s="5">
        <v>4396.2</v>
      </c>
      <c r="G19" s="5">
        <v>4390.8999999999996</v>
      </c>
      <c r="H19" s="3">
        <v>1</v>
      </c>
      <c r="I19" s="5">
        <v>4390.5</v>
      </c>
      <c r="J19" s="5">
        <v>4398.8</v>
      </c>
      <c r="K19" s="6">
        <f t="shared" si="0"/>
        <v>0.45614035087727134</v>
      </c>
      <c r="L19" s="6">
        <f t="shared" si="1"/>
        <v>-0.92982456140357039</v>
      </c>
      <c r="M19" s="3" t="str">
        <f t="shared" si="2"/>
        <v>Loss</v>
      </c>
      <c r="N19" s="13">
        <f>IF(AND(F19&lt;&gt;"",G19&lt;&gt;"",H19&lt;&gt;"",D19&lt;&gt;""), IF(E19="Long", (G19-F19)*H19*VLOOKUP(D19,Multipliers!A:B,2,FALSE), (F19-G19)*H19*VLOOKUP(D19,Multipliers!A:B,2,FALSE)), "")</f>
        <v>-53.000000000001819</v>
      </c>
      <c r="O19" s="7">
        <f>IF(AND(N19&lt;&gt;"",F19&lt;&gt;"",H19&lt;&gt;"",D19&lt;&gt;""), N19/(F19*H19*VLOOKUP(D19,Multipliers!A:B,2,FALSE)), "")</f>
        <v>-1.2055866430099136E-3</v>
      </c>
      <c r="P19" s="3">
        <f t="shared" si="3"/>
        <v>-425</v>
      </c>
      <c r="Q19" s="3" t="s">
        <v>9</v>
      </c>
      <c r="R19" s="3" t="s">
        <v>10</v>
      </c>
      <c r="S19" s="3" t="s">
        <v>12</v>
      </c>
      <c r="T19" s="3"/>
      <c r="U19" s="3"/>
      <c r="V19" s="3" t="s">
        <v>11</v>
      </c>
      <c r="W19" s="3"/>
      <c r="X19" s="3"/>
      <c r="Y19" s="3"/>
      <c r="Z19" s="3"/>
      <c r="AA19" s="3"/>
    </row>
    <row r="20" spans="1:27" ht="15.75" customHeight="1" x14ac:dyDescent="0.25">
      <c r="A20" s="3">
        <v>19</v>
      </c>
      <c r="B20" s="11">
        <v>46275</v>
      </c>
      <c r="C20" s="8">
        <v>0.37172453703703712</v>
      </c>
      <c r="D20" s="3" t="s">
        <v>12</v>
      </c>
      <c r="E20" s="3" t="s">
        <v>14</v>
      </c>
      <c r="F20" s="5">
        <v>4383.3999999999996</v>
      </c>
      <c r="G20" s="5">
        <v>4381.2</v>
      </c>
      <c r="H20" s="3">
        <v>1</v>
      </c>
      <c r="I20" s="5">
        <v>4388.3999999999996</v>
      </c>
      <c r="J20" s="5">
        <v>4375.2</v>
      </c>
      <c r="K20" s="6">
        <f t="shared" si="0"/>
        <v>1.6399999999999637</v>
      </c>
      <c r="L20" s="6">
        <f t="shared" si="1"/>
        <v>0.43999999999996364</v>
      </c>
      <c r="M20" s="3" t="str">
        <f t="shared" si="2"/>
        <v>Win</v>
      </c>
      <c r="N20" s="13">
        <f>IF(AND(F20&lt;&gt;"",G20&lt;&gt;"",H20&lt;&gt;"",D20&lt;&gt;""), IF(E20="Long", (G20-F20)*H20*VLOOKUP(D20,Multipliers!A:B,2,FALSE), (F20-G20)*H20*VLOOKUP(D20,Multipliers!A:B,2,FALSE)), "")</f>
        <v>21.999999999998181</v>
      </c>
      <c r="O20" s="7">
        <f>IF(AND(N20&lt;&gt;"",F20&lt;&gt;"",H20&lt;&gt;"",D20&lt;&gt;""), N20/(F20*H20*VLOOKUP(D20,Multipliers!A:B,2,FALSE)), "")</f>
        <v>5.01893507323041E-4</v>
      </c>
      <c r="P20" s="3">
        <f t="shared" si="3"/>
        <v>-403.00000000000182</v>
      </c>
      <c r="Q20" s="3" t="s">
        <v>9</v>
      </c>
      <c r="R20" s="3" t="s">
        <v>10</v>
      </c>
      <c r="S20" s="3" t="s">
        <v>12</v>
      </c>
      <c r="T20" s="3"/>
      <c r="U20" s="3"/>
      <c r="V20" s="3" t="s">
        <v>13</v>
      </c>
      <c r="W20" s="3"/>
      <c r="X20" s="3"/>
      <c r="Y20" s="3"/>
      <c r="Z20" s="3"/>
      <c r="AA20" s="3"/>
    </row>
    <row r="21" spans="1:27" ht="15.75" customHeight="1" x14ac:dyDescent="0.25">
      <c r="A21" s="3">
        <v>20</v>
      </c>
      <c r="B21" s="11">
        <v>46275</v>
      </c>
      <c r="C21" s="8">
        <v>0.47012731481481479</v>
      </c>
      <c r="D21" s="3" t="s">
        <v>12</v>
      </c>
      <c r="E21" s="3" t="s">
        <v>8</v>
      </c>
      <c r="F21" s="5">
        <v>4404.2</v>
      </c>
      <c r="G21" s="5">
        <v>4406.2</v>
      </c>
      <c r="H21" s="3">
        <v>1</v>
      </c>
      <c r="I21" s="5"/>
      <c r="J21" s="5"/>
      <c r="K21" s="6" t="str">
        <f t="shared" si="0"/>
        <v/>
      </c>
      <c r="L21" s="6" t="str">
        <f t="shared" si="1"/>
        <v/>
      </c>
      <c r="M21" s="3" t="str">
        <f t="shared" si="2"/>
        <v>Win</v>
      </c>
      <c r="N21" s="13">
        <f>IF(AND(F21&lt;&gt;"",G21&lt;&gt;"",H21&lt;&gt;"",D21&lt;&gt;""), IF(E21="Long", (G21-F21)*H21*VLOOKUP(D21,Multipliers!A:B,2,FALSE), (F21-G21)*H21*VLOOKUP(D21,Multipliers!A:B,2,FALSE)), "")</f>
        <v>20</v>
      </c>
      <c r="O21" s="7">
        <f>IF(AND(N21&lt;&gt;"",F21&lt;&gt;"",H21&lt;&gt;"",D21&lt;&gt;""), N21/(F21*H21*VLOOKUP(D21,Multipliers!A:B,2,FALSE)), "")</f>
        <v>4.5411198401525815E-4</v>
      </c>
      <c r="P21" s="3">
        <f t="shared" si="3"/>
        <v>-383.00000000000182</v>
      </c>
      <c r="Q21" s="3" t="s">
        <v>9</v>
      </c>
      <c r="R21" s="3" t="s">
        <v>10</v>
      </c>
      <c r="S21" s="3" t="s">
        <v>12</v>
      </c>
      <c r="T21" s="3"/>
      <c r="U21" s="3"/>
      <c r="V21" s="3" t="s">
        <v>11</v>
      </c>
      <c r="W21" s="3"/>
      <c r="X21" s="3"/>
      <c r="Y21" s="3"/>
      <c r="Z21" s="3"/>
      <c r="AA21" s="3"/>
    </row>
    <row r="22" spans="1:27" ht="15.75" customHeight="1" x14ac:dyDescent="0.25">
      <c r="A22" s="3">
        <v>21</v>
      </c>
      <c r="B22" s="11">
        <v>46275</v>
      </c>
      <c r="C22" s="8">
        <v>0.62282407407407403</v>
      </c>
      <c r="D22" s="3" t="s">
        <v>12</v>
      </c>
      <c r="E22" s="3" t="s">
        <v>8</v>
      </c>
      <c r="F22" s="5">
        <v>4378.3999999999996</v>
      </c>
      <c r="G22" s="5">
        <v>4358.1000000000004</v>
      </c>
      <c r="H22" s="3">
        <v>2</v>
      </c>
      <c r="I22" s="5"/>
      <c r="J22" s="5"/>
      <c r="K22" s="6" t="str">
        <f t="shared" si="0"/>
        <v/>
      </c>
      <c r="L22" s="6" t="str">
        <f t="shared" si="1"/>
        <v/>
      </c>
      <c r="M22" s="3" t="str">
        <f t="shared" si="2"/>
        <v>Loss</v>
      </c>
      <c r="N22" s="13">
        <f>IF(AND(F22&lt;&gt;"",G22&lt;&gt;"",H22&lt;&gt;"",D22&lt;&gt;""), IF(E22="Long", (G22-F22)*H22*VLOOKUP(D22,Multipliers!A:B,2,FALSE), (F22-G22)*H22*VLOOKUP(D22,Multipliers!A:B,2,FALSE)), "")</f>
        <v>-405.99999999998545</v>
      </c>
      <c r="O22" s="7">
        <f>IF(AND(N22&lt;&gt;"",F22&lt;&gt;"",H22&lt;&gt;"",D22&lt;&gt;""), N22/(F22*H22*VLOOKUP(D22,Multipliers!A:B,2,FALSE)), "")</f>
        <v>-4.6363968572993037E-3</v>
      </c>
      <c r="P22" s="3">
        <f t="shared" si="3"/>
        <v>-788.99999999998727</v>
      </c>
      <c r="Q22" s="3" t="s">
        <v>9</v>
      </c>
      <c r="R22" s="3" t="s">
        <v>10</v>
      </c>
      <c r="S22" s="3" t="s">
        <v>12</v>
      </c>
      <c r="T22" s="3"/>
      <c r="U22" s="3"/>
      <c r="V22" s="3" t="s">
        <v>11</v>
      </c>
      <c r="W22" s="3"/>
      <c r="X22" s="3"/>
      <c r="Y22" s="3"/>
      <c r="Z22" s="3"/>
      <c r="AA22" s="3"/>
    </row>
    <row r="23" spans="1:27" ht="15.75" customHeight="1" x14ac:dyDescent="0.25">
      <c r="A23" s="3">
        <v>22</v>
      </c>
      <c r="B23" s="11">
        <v>46275</v>
      </c>
      <c r="C23" s="8">
        <v>0.87370370370370365</v>
      </c>
      <c r="D23" s="3" t="s">
        <v>12</v>
      </c>
      <c r="E23" s="3" t="s">
        <v>14</v>
      </c>
      <c r="F23" s="5">
        <v>4370.7</v>
      </c>
      <c r="G23" s="5">
        <v>4375.7</v>
      </c>
      <c r="H23" s="3">
        <v>2</v>
      </c>
      <c r="I23" s="5">
        <v>4375.7</v>
      </c>
      <c r="J23" s="5">
        <v>4365.7</v>
      </c>
      <c r="K23" s="6">
        <f t="shared" si="0"/>
        <v>1</v>
      </c>
      <c r="L23" s="6">
        <f t="shared" si="1"/>
        <v>-1</v>
      </c>
      <c r="M23" s="3" t="str">
        <f t="shared" si="2"/>
        <v>Loss</v>
      </c>
      <c r="N23" s="13">
        <f>IF(AND(F23&lt;&gt;"",G23&lt;&gt;"",H23&lt;&gt;"",D23&lt;&gt;""), IF(E23="Long", (G23-F23)*H23*VLOOKUP(D23,Multipliers!A:B,2,FALSE), (F23-G23)*H23*VLOOKUP(D23,Multipliers!A:B,2,FALSE)), "")</f>
        <v>-100</v>
      </c>
      <c r="O23" s="7">
        <f>IF(AND(N23&lt;&gt;"",F23&lt;&gt;"",H23&lt;&gt;"",D23&lt;&gt;""), N23/(F23*H23*VLOOKUP(D23,Multipliers!A:B,2,FALSE)), "")</f>
        <v>-1.1439815132587457E-3</v>
      </c>
      <c r="P23" s="3">
        <f t="shared" si="3"/>
        <v>-888.99999999998727</v>
      </c>
      <c r="Q23" s="3" t="s">
        <v>9</v>
      </c>
      <c r="R23" s="3" t="s">
        <v>10</v>
      </c>
      <c r="S23" s="3" t="s">
        <v>12</v>
      </c>
      <c r="T23" s="3"/>
      <c r="U23" s="3"/>
      <c r="V23" s="3" t="s">
        <v>11</v>
      </c>
      <c r="W23" s="3"/>
      <c r="X23" s="3"/>
      <c r="Y23" s="3"/>
      <c r="Z23" s="3"/>
      <c r="AA23" s="3"/>
    </row>
    <row r="24" spans="1:27" ht="15.75" customHeight="1" x14ac:dyDescent="0.25">
      <c r="A24" s="3">
        <v>23</v>
      </c>
      <c r="B24" s="11">
        <v>46275</v>
      </c>
      <c r="C24" s="8">
        <v>0.87656250000000002</v>
      </c>
      <c r="D24" s="3" t="s">
        <v>12</v>
      </c>
      <c r="E24" s="3" t="s">
        <v>8</v>
      </c>
      <c r="F24" s="3">
        <v>4376.5</v>
      </c>
      <c r="G24" s="3">
        <v>4375.7</v>
      </c>
      <c r="H24" s="3">
        <v>1</v>
      </c>
      <c r="I24" s="5"/>
      <c r="J24" s="5"/>
      <c r="K24" s="6" t="str">
        <f t="shared" si="0"/>
        <v/>
      </c>
      <c r="L24" s="6" t="str">
        <f t="shared" si="1"/>
        <v/>
      </c>
      <c r="M24" s="3" t="str">
        <f t="shared" si="2"/>
        <v>Loss</v>
      </c>
      <c r="N24" s="13">
        <f>IF(AND(F24&lt;&gt;"",G24&lt;&gt;"",H24&lt;&gt;"",D24&lt;&gt;""), IF(E24="Long", (G24-F24)*H24*VLOOKUP(D24,Multipliers!A:B,2,FALSE), (F24-G24)*H24*VLOOKUP(D24,Multipliers!A:B,2,FALSE)), "")</f>
        <v>-8.000000000001819</v>
      </c>
      <c r="O24" s="7">
        <f>IF(AND(N24&lt;&gt;"",F24&lt;&gt;"",H24&lt;&gt;"",D24&lt;&gt;""), N24/(F24*H24*VLOOKUP(D24,Multipliers!A:B,2,FALSE)), "")</f>
        <v>-1.8279447046730992E-4</v>
      </c>
      <c r="P24" s="3">
        <f t="shared" si="3"/>
        <v>-896.99999999998909</v>
      </c>
      <c r="Q24" s="3" t="s">
        <v>9</v>
      </c>
      <c r="R24" s="3" t="s">
        <v>10</v>
      </c>
      <c r="S24" s="3" t="s">
        <v>12</v>
      </c>
      <c r="T24" s="3"/>
      <c r="U24" s="3"/>
      <c r="V24" s="3" t="s">
        <v>11</v>
      </c>
      <c r="W24" s="3"/>
      <c r="X24" s="3"/>
      <c r="Y24" s="3"/>
      <c r="Z24" s="3"/>
      <c r="AA24" s="3"/>
    </row>
    <row r="25" spans="1:27" ht="15.75" customHeight="1" x14ac:dyDescent="0.25">
      <c r="A25" s="3">
        <v>24</v>
      </c>
      <c r="B25" s="11">
        <v>46275</v>
      </c>
      <c r="C25" s="8">
        <v>0.87787037037037041</v>
      </c>
      <c r="D25" s="3" t="s">
        <v>7</v>
      </c>
      <c r="E25" s="3" t="s">
        <v>8</v>
      </c>
      <c r="F25" s="3">
        <v>29165</v>
      </c>
      <c r="G25" s="3">
        <v>29155.67</v>
      </c>
      <c r="H25" s="3">
        <v>9</v>
      </c>
      <c r="I25" s="3">
        <v>29155.75</v>
      </c>
      <c r="J25" s="5">
        <v>29180.75</v>
      </c>
      <c r="K25" s="6">
        <f t="shared" si="0"/>
        <v>1.7027027027027026</v>
      </c>
      <c r="L25" s="6">
        <f t="shared" si="1"/>
        <v>-1.0086486486488375</v>
      </c>
      <c r="M25" s="3" t="str">
        <f t="shared" si="2"/>
        <v>Loss</v>
      </c>
      <c r="N25" s="13">
        <f>IF(AND(F25&lt;&gt;"",G25&lt;&gt;"",H25&lt;&gt;"",D25&lt;&gt;""), IF(E25="Long", (G25-F25)*H25*VLOOKUP(D25,Multipliers!A:B,2,FALSE), (F25-G25)*H25*VLOOKUP(D25,Multipliers!A:B,2,FALSE)), "")</f>
        <v>-167.94000000003143</v>
      </c>
      <c r="O25" s="7">
        <f>IF(AND(N25&lt;&gt;"",F25&lt;&gt;"",H25&lt;&gt;"",D25&lt;&gt;""), N25/(F25*H25*VLOOKUP(D25,Multipliers!A:B,2,FALSE)), "")</f>
        <v>-3.1990399451403212E-4</v>
      </c>
      <c r="P25" s="3">
        <f t="shared" si="3"/>
        <v>-1064.9400000000205</v>
      </c>
      <c r="Q25" s="3" t="s">
        <v>9</v>
      </c>
      <c r="R25" s="3" t="s">
        <v>10</v>
      </c>
      <c r="S25" s="3" t="s">
        <v>7</v>
      </c>
      <c r="T25" s="3"/>
      <c r="U25" s="3"/>
      <c r="V25" s="3" t="s">
        <v>16</v>
      </c>
      <c r="W25" s="3"/>
      <c r="X25" s="3"/>
      <c r="Y25" s="3"/>
      <c r="Z25" s="3"/>
      <c r="AA25" s="3"/>
    </row>
    <row r="26" spans="1:27" ht="15.75" customHeight="1" x14ac:dyDescent="0.25">
      <c r="A26" s="3">
        <v>25</v>
      </c>
      <c r="B26" s="11">
        <v>46288</v>
      </c>
      <c r="C26" s="8">
        <v>0.42429398148148151</v>
      </c>
      <c r="D26" s="3" t="s">
        <v>7</v>
      </c>
      <c r="E26" s="3" t="s">
        <v>14</v>
      </c>
      <c r="F26" s="3">
        <v>30742.125</v>
      </c>
      <c r="G26" s="3">
        <v>30708.375</v>
      </c>
      <c r="H26" s="3">
        <v>2</v>
      </c>
      <c r="I26" s="3">
        <v>30768.5</v>
      </c>
      <c r="J26" s="5">
        <v>30708.25</v>
      </c>
      <c r="K26" s="6">
        <f t="shared" si="0"/>
        <v>1.2843601895734598</v>
      </c>
      <c r="L26" s="6">
        <f t="shared" si="1"/>
        <v>1.2796208530805686</v>
      </c>
      <c r="M26" s="3" t="str">
        <f t="shared" si="2"/>
        <v>Win</v>
      </c>
      <c r="N26" s="13">
        <f>IF(AND(F26&lt;&gt;"",G26&lt;&gt;"",H26&lt;&gt;"",D26&lt;&gt;""), IF(E26="Long", (G26-F26)*H26*VLOOKUP(D26,Multipliers!A:B,2,FALSE), (F26-G26)*H26*VLOOKUP(D26,Multipliers!A:B,2,FALSE)), "")</f>
        <v>135</v>
      </c>
      <c r="O26" s="7">
        <f>IF(AND(N26&lt;&gt;"",F26&lt;&gt;"",H26&lt;&gt;"",D26&lt;&gt;""), N26/(F26*H26*VLOOKUP(D26,Multipliers!A:B,2,FALSE)), "")</f>
        <v>1.0978421303016626E-3</v>
      </c>
      <c r="P26" s="3">
        <f t="shared" si="3"/>
        <v>-929.94000000002052</v>
      </c>
      <c r="Q26" s="3" t="s">
        <v>9</v>
      </c>
      <c r="R26" s="3" t="s">
        <v>10</v>
      </c>
      <c r="S26" s="3" t="s">
        <v>7</v>
      </c>
      <c r="T26" s="3"/>
      <c r="U26" s="3"/>
      <c r="V26" s="3" t="s">
        <v>11</v>
      </c>
      <c r="W26" s="3"/>
      <c r="X26" s="3"/>
      <c r="Y26" s="3"/>
      <c r="Z26" s="3"/>
      <c r="AA26" s="3"/>
    </row>
    <row r="27" spans="1:27" ht="15.75" customHeight="1" x14ac:dyDescent="0.25">
      <c r="A27" s="3">
        <v>26</v>
      </c>
      <c r="B27" s="11">
        <v>46288</v>
      </c>
      <c r="C27" s="8">
        <v>0.43152777777777779</v>
      </c>
      <c r="D27" s="3" t="s">
        <v>12</v>
      </c>
      <c r="E27" s="3" t="s">
        <v>14</v>
      </c>
      <c r="F27" s="3">
        <v>4316.2</v>
      </c>
      <c r="G27" s="3">
        <v>4322.2</v>
      </c>
      <c r="H27" s="3">
        <v>3</v>
      </c>
      <c r="I27" s="3">
        <v>4322.2</v>
      </c>
      <c r="J27" s="5">
        <v>4304.2</v>
      </c>
      <c r="K27" s="6">
        <f t="shared" si="0"/>
        <v>2</v>
      </c>
      <c r="L27" s="6">
        <f t="shared" si="1"/>
        <v>-1</v>
      </c>
      <c r="M27" s="3" t="str">
        <f t="shared" si="2"/>
        <v>Loss</v>
      </c>
      <c r="N27" s="13">
        <f>IF(AND(F27&lt;&gt;"",G27&lt;&gt;"",H27&lt;&gt;"",D27&lt;&gt;""), IF(E27="Long", (G27-F27)*H27*VLOOKUP(D27,Multipliers!A:B,2,FALSE), (F27-G27)*H27*VLOOKUP(D27,Multipliers!A:B,2,FALSE)), "")</f>
        <v>-180</v>
      </c>
      <c r="O27" s="7">
        <f>IF(AND(N27&lt;&gt;"",F27&lt;&gt;"",H27&lt;&gt;"",D27&lt;&gt;""), N27/(F27*H27*VLOOKUP(D27,Multipliers!A:B,2,FALSE)), "")</f>
        <v>-1.3901116723043418E-3</v>
      </c>
      <c r="P27" s="3">
        <f t="shared" si="3"/>
        <v>-1109.9400000000205</v>
      </c>
      <c r="Q27" s="3" t="s">
        <v>9</v>
      </c>
      <c r="R27" s="3" t="s">
        <v>10</v>
      </c>
      <c r="S27" s="3" t="s">
        <v>12</v>
      </c>
      <c r="T27" s="3"/>
      <c r="U27" s="3"/>
      <c r="V27" s="3" t="s">
        <v>11</v>
      </c>
      <c r="W27" s="3"/>
      <c r="X27" s="3"/>
      <c r="Y27" s="3"/>
      <c r="Z27" s="3"/>
      <c r="AA27" s="3"/>
    </row>
    <row r="28" spans="1:27" ht="15.75" customHeight="1" x14ac:dyDescent="0.25">
      <c r="A28" s="3"/>
      <c r="B28" s="11"/>
      <c r="C28" s="8"/>
      <c r="D28" s="3"/>
      <c r="E28" s="3"/>
      <c r="F28" s="3"/>
      <c r="G28" s="3"/>
      <c r="H28" s="3"/>
      <c r="I28" s="3"/>
      <c r="J28" s="5"/>
      <c r="K28" s="6"/>
      <c r="L28" s="6"/>
      <c r="M28" s="3"/>
      <c r="N28" s="13"/>
      <c r="O28" s="7"/>
      <c r="P28" s="3"/>
      <c r="Q28" s="3"/>
      <c r="R28" s="3"/>
      <c r="S28" s="3"/>
      <c r="T28" s="3"/>
      <c r="U28" s="3"/>
      <c r="V28" s="3" t="s">
        <v>15</v>
      </c>
      <c r="W28" s="3"/>
      <c r="X28" s="3"/>
      <c r="Y28" s="3"/>
      <c r="Z28" s="3"/>
      <c r="AA28" s="3"/>
    </row>
    <row r="29" spans="1:27" ht="15.75" customHeight="1" x14ac:dyDescent="0.25">
      <c r="A29" s="3"/>
      <c r="B29" s="11"/>
      <c r="C29" s="8"/>
      <c r="D29" s="3"/>
      <c r="E29" s="3"/>
      <c r="F29" s="3"/>
      <c r="G29" s="3"/>
      <c r="H29" s="3"/>
      <c r="I29" s="3"/>
      <c r="J29" s="5"/>
      <c r="K29" s="6"/>
      <c r="L29" s="6"/>
      <c r="M29" s="3"/>
      <c r="N29" s="13"/>
      <c r="O29" s="7"/>
      <c r="P29" s="3"/>
      <c r="Q29" s="3"/>
      <c r="R29" s="3"/>
      <c r="S29" s="3"/>
      <c r="T29" s="3"/>
      <c r="U29" s="3"/>
      <c r="V29" s="3" t="s">
        <v>11</v>
      </c>
      <c r="W29" s="3"/>
      <c r="X29" s="3"/>
      <c r="Y29" s="3"/>
      <c r="Z29" s="3"/>
      <c r="AA29" s="3"/>
    </row>
    <row r="30" spans="1:27" ht="15.75" customHeight="1" x14ac:dyDescent="0.25">
      <c r="A30" s="3"/>
      <c r="B30" s="11"/>
      <c r="C30" s="8"/>
      <c r="D30" s="3"/>
      <c r="E30" s="3"/>
      <c r="F30" s="3"/>
      <c r="G30" s="3"/>
      <c r="H30" s="3"/>
      <c r="I30" s="3"/>
      <c r="J30" s="5"/>
      <c r="K30" s="6"/>
      <c r="L30" s="6"/>
      <c r="M30" s="3"/>
      <c r="N30" s="13"/>
      <c r="O30" s="7"/>
      <c r="P30" s="3"/>
      <c r="Q30" s="3"/>
      <c r="R30" s="3"/>
      <c r="S30" s="3"/>
      <c r="T30" s="3"/>
      <c r="U30" s="3"/>
      <c r="V30" s="3" t="s">
        <v>17</v>
      </c>
      <c r="W30" s="3"/>
      <c r="X30" s="3"/>
      <c r="Y30" s="3"/>
      <c r="Z30" s="3"/>
      <c r="AA30" s="3"/>
    </row>
    <row r="31" spans="1:27" ht="15.75" customHeight="1" x14ac:dyDescent="0.25">
      <c r="A31" s="3"/>
      <c r="B31" s="11"/>
      <c r="C31" s="8"/>
      <c r="D31" s="3"/>
      <c r="E31" s="3"/>
      <c r="F31" s="3"/>
      <c r="G31" s="3"/>
      <c r="H31" s="3"/>
      <c r="I31" s="3"/>
      <c r="J31" s="5"/>
      <c r="K31" s="6"/>
      <c r="L31" s="6"/>
      <c r="M31" s="3"/>
      <c r="N31" s="13"/>
      <c r="O31" s="7"/>
      <c r="P31" s="3"/>
      <c r="Q31" s="3"/>
      <c r="R31" s="3"/>
      <c r="S31" s="3"/>
      <c r="T31" s="3"/>
      <c r="U31" s="3"/>
      <c r="V31" s="3" t="s">
        <v>11</v>
      </c>
      <c r="W31" s="3"/>
      <c r="X31" s="3"/>
      <c r="Y31" s="3"/>
      <c r="Z31" s="3"/>
      <c r="AA31" s="3"/>
    </row>
    <row r="32" spans="1:27" ht="15.75" customHeight="1" x14ac:dyDescent="0.25">
      <c r="A32" s="3"/>
      <c r="B32" s="11"/>
      <c r="C32" s="8"/>
      <c r="D32" s="3"/>
      <c r="E32" s="3"/>
      <c r="F32" s="3"/>
      <c r="G32" s="3"/>
      <c r="H32" s="3"/>
      <c r="I32" s="3"/>
      <c r="J32" s="5"/>
      <c r="K32" s="6"/>
      <c r="L32" s="6"/>
      <c r="M32" s="3"/>
      <c r="N32" s="13"/>
      <c r="O32" s="7"/>
      <c r="P32" s="3"/>
      <c r="Q32" s="3"/>
      <c r="R32" s="3"/>
      <c r="S32" s="3"/>
      <c r="T32" s="3"/>
      <c r="U32" s="3"/>
      <c r="V32" s="3" t="s">
        <v>11</v>
      </c>
      <c r="W32" s="3"/>
      <c r="X32" s="3"/>
      <c r="Y32" s="3"/>
      <c r="Z32" s="3"/>
      <c r="AA32" s="3"/>
    </row>
    <row r="33" spans="1:27" ht="15.75" customHeight="1" x14ac:dyDescent="0.25">
      <c r="A33" s="3"/>
      <c r="B33" s="11"/>
      <c r="C33" s="8"/>
      <c r="D33" s="3"/>
      <c r="E33" s="3"/>
      <c r="F33" s="3"/>
      <c r="G33" s="3"/>
      <c r="H33" s="3"/>
      <c r="I33" s="3"/>
      <c r="J33" s="5"/>
      <c r="K33" s="6"/>
      <c r="L33" s="6"/>
      <c r="M33" s="3"/>
      <c r="N33" s="13"/>
      <c r="O33" s="7"/>
      <c r="P33" s="3"/>
      <c r="Q33" s="3"/>
      <c r="R33" s="3"/>
      <c r="S33" s="3"/>
      <c r="T33" s="3"/>
      <c r="U33" s="3"/>
      <c r="V33" s="3" t="s">
        <v>11</v>
      </c>
      <c r="W33" s="3"/>
      <c r="X33" s="3"/>
      <c r="Y33" s="3"/>
      <c r="Z33" s="3"/>
      <c r="AA33" s="3"/>
    </row>
    <row r="34" spans="1:27" ht="15.75" customHeight="1" x14ac:dyDescent="0.25">
      <c r="A34" s="3"/>
      <c r="B34" s="11"/>
      <c r="C34" s="8"/>
      <c r="D34" s="3"/>
      <c r="E34" s="3"/>
      <c r="F34" s="3"/>
      <c r="G34" s="3"/>
      <c r="H34" s="3"/>
      <c r="I34" s="3"/>
      <c r="J34" s="5"/>
      <c r="K34" s="6"/>
      <c r="L34" s="6"/>
      <c r="M34" s="3"/>
      <c r="N34" s="13"/>
      <c r="O34" s="7"/>
      <c r="P34" s="3"/>
      <c r="Q34" s="3"/>
      <c r="R34" s="3"/>
      <c r="S34" s="3"/>
      <c r="T34" s="3"/>
      <c r="U34" s="3"/>
      <c r="V34" s="3" t="s">
        <v>11</v>
      </c>
      <c r="W34" s="3"/>
      <c r="X34" s="3"/>
      <c r="Y34" s="3"/>
      <c r="Z34" s="3"/>
      <c r="AA34" s="3"/>
    </row>
    <row r="35" spans="1:27" ht="15.75" customHeight="1" x14ac:dyDescent="0.25">
      <c r="A35" s="3"/>
      <c r="B35" s="11"/>
      <c r="C35" s="8"/>
      <c r="D35" s="3"/>
      <c r="E35" s="3"/>
      <c r="F35" s="3"/>
      <c r="G35" s="3"/>
      <c r="H35" s="3"/>
      <c r="I35" s="3"/>
      <c r="J35" s="5"/>
      <c r="K35" s="6"/>
      <c r="L35" s="6"/>
      <c r="M35" s="3"/>
      <c r="N35" s="13"/>
      <c r="O35" s="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25">
      <c r="A36" s="3"/>
      <c r="B36" s="11"/>
      <c r="C36" s="8"/>
      <c r="D36" s="3"/>
      <c r="E36" s="3"/>
      <c r="F36" s="3"/>
      <c r="G36" s="3"/>
      <c r="H36" s="3"/>
      <c r="I36" s="3"/>
      <c r="J36" s="5"/>
      <c r="K36" s="6"/>
      <c r="L36" s="6"/>
      <c r="M36" s="3"/>
      <c r="N36" s="13"/>
      <c r="O36" s="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25">
      <c r="A37" s="3"/>
      <c r="B37" s="11"/>
      <c r="C37" s="8"/>
      <c r="D37" s="3"/>
      <c r="E37" s="3"/>
      <c r="F37" s="3"/>
      <c r="G37" s="3"/>
      <c r="H37" s="3"/>
      <c r="I37" s="3"/>
      <c r="J37" s="5"/>
      <c r="K37" s="6"/>
      <c r="L37" s="6"/>
      <c r="M37" s="3"/>
      <c r="N37" s="13"/>
      <c r="O37" s="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25">
      <c r="A38" s="3"/>
      <c r="B38" s="11"/>
      <c r="C38" s="8"/>
      <c r="D38" s="3"/>
      <c r="E38" s="3"/>
      <c r="F38" s="3"/>
      <c r="G38" s="3"/>
      <c r="H38" s="3"/>
      <c r="I38" s="3"/>
      <c r="J38" s="3"/>
      <c r="K38" s="6"/>
      <c r="L38" s="6"/>
      <c r="M38" s="3"/>
      <c r="N38" s="13"/>
      <c r="O38" s="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25">
      <c r="A39" s="3"/>
      <c r="B39" s="11"/>
      <c r="C39" s="8"/>
      <c r="D39" s="3"/>
      <c r="E39" s="3"/>
      <c r="F39" s="3"/>
      <c r="G39" s="3"/>
      <c r="H39" s="3"/>
      <c r="I39" s="3"/>
      <c r="J39" s="3"/>
      <c r="K39" s="6"/>
      <c r="L39" s="6"/>
      <c r="M39" s="3"/>
      <c r="N39" s="13"/>
      <c r="O39" s="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25">
      <c r="A40" s="3"/>
      <c r="B40" s="11"/>
      <c r="C40" s="8"/>
      <c r="D40" s="3"/>
      <c r="E40" s="3"/>
      <c r="F40" s="3"/>
      <c r="G40" s="3"/>
      <c r="H40" s="3"/>
      <c r="I40" s="3"/>
      <c r="J40" s="3"/>
      <c r="K40" s="6"/>
      <c r="L40" s="6"/>
      <c r="M40" s="3"/>
      <c r="N40" s="13"/>
      <c r="O40" s="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25">
      <c r="A41" s="3"/>
      <c r="B41" s="11"/>
      <c r="C41" s="8"/>
      <c r="D41" s="3"/>
      <c r="E41" s="3"/>
      <c r="F41" s="3"/>
      <c r="G41" s="3"/>
      <c r="H41" s="3"/>
      <c r="I41" s="3"/>
      <c r="J41" s="3"/>
      <c r="K41" s="6"/>
      <c r="L41" s="6"/>
      <c r="M41" s="3"/>
      <c r="N41" s="13"/>
      <c r="O41" s="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25">
      <c r="A42" s="3"/>
      <c r="B42" s="11"/>
      <c r="C42" s="8"/>
      <c r="D42" s="3"/>
      <c r="E42" s="3"/>
      <c r="F42" s="3"/>
      <c r="G42" s="3"/>
      <c r="H42" s="3"/>
      <c r="I42" s="3"/>
      <c r="J42" s="3"/>
      <c r="K42" s="6"/>
      <c r="L42" s="6"/>
      <c r="M42" s="3"/>
      <c r="N42" s="13"/>
      <c r="O42" s="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25">
      <c r="A43" s="3"/>
      <c r="B43" s="11"/>
      <c r="C43" s="8"/>
      <c r="D43" s="3"/>
      <c r="E43" s="3"/>
      <c r="F43" s="3"/>
      <c r="G43" s="3"/>
      <c r="H43" s="3"/>
      <c r="I43" s="3"/>
      <c r="J43" s="3"/>
      <c r="K43" s="6"/>
      <c r="L43" s="6"/>
      <c r="M43" s="3"/>
      <c r="N43" s="13"/>
      <c r="O43" s="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25">
      <c r="A44" s="3"/>
      <c r="B44" s="11"/>
      <c r="C44" s="8"/>
      <c r="D44" s="3"/>
      <c r="E44" s="3"/>
      <c r="F44" s="3"/>
      <c r="G44" s="3"/>
      <c r="H44" s="3"/>
      <c r="I44" s="3"/>
      <c r="J44" s="3"/>
      <c r="K44" s="6"/>
      <c r="L44" s="6"/>
      <c r="M44" s="3"/>
      <c r="N44" s="13"/>
      <c r="O44" s="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25">
      <c r="A45" s="3"/>
      <c r="B45" s="11"/>
      <c r="C45" s="8"/>
      <c r="D45" s="3"/>
      <c r="E45" s="3"/>
      <c r="F45" s="3"/>
      <c r="G45" s="3"/>
      <c r="H45" s="3"/>
      <c r="I45" s="3"/>
      <c r="J45" s="3"/>
      <c r="K45" s="6"/>
      <c r="L45" s="6"/>
      <c r="M45" s="3"/>
      <c r="N45" s="13"/>
      <c r="O45" s="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25">
      <c r="A46" s="3"/>
      <c r="B46" s="11"/>
      <c r="C46" s="8"/>
      <c r="D46" s="3"/>
      <c r="E46" s="3"/>
      <c r="F46" s="3"/>
      <c r="G46" s="3"/>
      <c r="H46" s="3"/>
      <c r="I46" s="3"/>
      <c r="J46" s="3"/>
      <c r="K46" s="6"/>
      <c r="L46" s="6"/>
      <c r="M46" s="3"/>
      <c r="N46" s="13"/>
      <c r="O46" s="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5">
      <c r="A47" s="3"/>
      <c r="B47" s="11"/>
      <c r="C47" s="8"/>
      <c r="D47" s="3"/>
      <c r="E47" s="3"/>
      <c r="F47" s="3"/>
      <c r="G47" s="3"/>
      <c r="H47" s="3"/>
      <c r="I47" s="3"/>
      <c r="J47" s="3"/>
      <c r="K47" s="6"/>
      <c r="L47" s="6"/>
      <c r="M47" s="3"/>
      <c r="N47" s="13"/>
      <c r="O47" s="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5">
      <c r="A48" s="3"/>
      <c r="B48" s="11"/>
      <c r="C48" s="8"/>
      <c r="D48" s="3"/>
      <c r="E48" s="3"/>
      <c r="F48" s="3"/>
      <c r="G48" s="3"/>
      <c r="H48" s="3"/>
      <c r="I48" s="3"/>
      <c r="J48" s="3"/>
      <c r="K48" s="6"/>
      <c r="L48" s="6"/>
      <c r="M48" s="3"/>
      <c r="N48" s="13"/>
      <c r="O48" s="7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5">
      <c r="A49" s="3"/>
      <c r="B49" s="11"/>
      <c r="C49" s="8"/>
      <c r="D49" s="3"/>
      <c r="E49" s="3"/>
      <c r="F49" s="3"/>
      <c r="G49" s="3"/>
      <c r="H49" s="3"/>
      <c r="I49" s="3"/>
      <c r="J49" s="3"/>
      <c r="K49" s="6"/>
      <c r="L49" s="6"/>
      <c r="M49" s="3"/>
      <c r="N49" s="13"/>
      <c r="O49" s="7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5">
      <c r="A50" s="3"/>
      <c r="B50" s="11"/>
      <c r="C50" s="8"/>
      <c r="D50" s="3"/>
      <c r="E50" s="3"/>
      <c r="F50" s="3"/>
      <c r="G50" s="3"/>
      <c r="H50" s="3"/>
      <c r="I50" s="3"/>
      <c r="J50" s="3"/>
      <c r="K50" s="6"/>
      <c r="L50" s="6"/>
      <c r="M50" s="3"/>
      <c r="N50" s="13"/>
      <c r="O50" s="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5">
      <c r="A51" s="3"/>
      <c r="B51" s="11"/>
      <c r="C51" s="8"/>
      <c r="D51" s="3"/>
      <c r="E51" s="3"/>
      <c r="F51" s="3"/>
      <c r="G51" s="3"/>
      <c r="H51" s="3"/>
      <c r="I51" s="3"/>
      <c r="J51" s="3"/>
      <c r="K51" s="6"/>
      <c r="L51" s="6"/>
      <c r="M51" s="3"/>
      <c r="N51" s="13"/>
      <c r="O51" s="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5">
      <c r="A52" s="3"/>
      <c r="B52" s="11"/>
      <c r="C52" s="8"/>
      <c r="D52" s="3"/>
      <c r="E52" s="3"/>
      <c r="F52" s="3"/>
      <c r="G52" s="3"/>
      <c r="H52" s="3"/>
      <c r="I52" s="3"/>
      <c r="J52" s="3"/>
      <c r="K52" s="6"/>
      <c r="L52" s="6"/>
      <c r="M52" s="3"/>
      <c r="N52" s="13"/>
      <c r="O52" s="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5">
      <c r="A53" s="3"/>
      <c r="B53" s="11"/>
      <c r="C53" s="8"/>
      <c r="D53" s="3"/>
      <c r="E53" s="3"/>
      <c r="F53" s="3"/>
      <c r="G53" s="3"/>
      <c r="H53" s="3"/>
      <c r="I53" s="3"/>
      <c r="J53" s="3"/>
      <c r="K53" s="6"/>
      <c r="L53" s="6"/>
      <c r="M53" s="3"/>
      <c r="N53" s="13"/>
      <c r="O53" s="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5">
      <c r="A54" s="3"/>
      <c r="B54" s="11"/>
      <c r="C54" s="8"/>
      <c r="D54" s="3"/>
      <c r="E54" s="3"/>
      <c r="F54" s="3"/>
      <c r="G54" s="3"/>
      <c r="H54" s="3"/>
      <c r="I54" s="3"/>
      <c r="J54" s="3"/>
      <c r="K54" s="6"/>
      <c r="L54" s="6"/>
      <c r="M54" s="3"/>
      <c r="N54" s="13"/>
      <c r="O54" s="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3"/>
      <c r="B55" s="11"/>
      <c r="C55" s="8"/>
      <c r="D55" s="3"/>
      <c r="E55" s="3"/>
      <c r="F55" s="3"/>
      <c r="G55" s="3"/>
      <c r="H55" s="3"/>
      <c r="I55" s="3"/>
      <c r="J55" s="3"/>
      <c r="K55" s="6"/>
      <c r="L55" s="6"/>
      <c r="M55" s="3"/>
      <c r="N55" s="13"/>
      <c r="O55" s="7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3"/>
      <c r="B56" s="11"/>
      <c r="C56" s="8"/>
      <c r="D56" s="3"/>
      <c r="E56" s="3"/>
      <c r="F56" s="3"/>
      <c r="G56" s="3"/>
      <c r="H56" s="3"/>
      <c r="I56" s="3"/>
      <c r="J56" s="3"/>
      <c r="K56" s="6"/>
      <c r="L56" s="6"/>
      <c r="M56" s="3"/>
      <c r="N56" s="13"/>
      <c r="O56" s="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3"/>
      <c r="B57" s="11"/>
      <c r="C57" s="8"/>
      <c r="D57" s="3"/>
      <c r="E57" s="3"/>
      <c r="F57" s="3"/>
      <c r="G57" s="3"/>
      <c r="H57" s="3"/>
      <c r="I57" s="3"/>
      <c r="J57" s="3"/>
      <c r="K57" s="6"/>
      <c r="L57" s="6"/>
      <c r="M57" s="3"/>
      <c r="N57" s="13"/>
      <c r="O57" s="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3"/>
      <c r="B58" s="11"/>
      <c r="C58" s="8"/>
      <c r="D58" s="3"/>
      <c r="E58" s="3"/>
      <c r="F58" s="3"/>
      <c r="G58" s="3"/>
      <c r="H58" s="3"/>
      <c r="I58" s="3"/>
      <c r="J58" s="3"/>
      <c r="K58" s="6"/>
      <c r="L58" s="6"/>
      <c r="M58" s="3"/>
      <c r="N58" s="13"/>
      <c r="O58" s="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3"/>
      <c r="B59" s="11"/>
      <c r="C59" s="8"/>
      <c r="D59" s="3"/>
      <c r="E59" s="3"/>
      <c r="F59" s="3"/>
      <c r="G59" s="3"/>
      <c r="H59" s="3"/>
      <c r="I59" s="3"/>
      <c r="J59" s="3"/>
      <c r="K59" s="6"/>
      <c r="L59" s="6"/>
      <c r="M59" s="3"/>
      <c r="N59" s="13"/>
      <c r="O59" s="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3"/>
      <c r="B60" s="11"/>
      <c r="C60" s="8"/>
      <c r="D60" s="3"/>
      <c r="E60" s="3"/>
      <c r="F60" s="3"/>
      <c r="G60" s="3"/>
      <c r="H60" s="3"/>
      <c r="I60" s="3"/>
      <c r="J60" s="3"/>
      <c r="K60" s="6"/>
      <c r="L60" s="6"/>
      <c r="M60" s="3"/>
      <c r="N60" s="13"/>
      <c r="O60" s="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3"/>
      <c r="B61" s="11"/>
      <c r="C61" s="8"/>
      <c r="D61" s="3"/>
      <c r="E61" s="3"/>
      <c r="F61" s="3"/>
      <c r="G61" s="3"/>
      <c r="H61" s="3"/>
      <c r="I61" s="3"/>
      <c r="J61" s="3"/>
      <c r="K61" s="6"/>
      <c r="L61" s="6"/>
      <c r="M61" s="3"/>
      <c r="N61" s="13"/>
      <c r="O61" s="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3"/>
      <c r="B62" s="11"/>
      <c r="C62" s="8"/>
      <c r="D62" s="3"/>
      <c r="E62" s="3"/>
      <c r="F62" s="3"/>
      <c r="G62" s="3"/>
      <c r="H62" s="3"/>
      <c r="I62" s="3"/>
      <c r="J62" s="3"/>
      <c r="K62" s="6"/>
      <c r="L62" s="6"/>
      <c r="M62" s="3"/>
      <c r="N62" s="13"/>
      <c r="O62" s="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3"/>
      <c r="B63" s="11"/>
      <c r="C63" s="8"/>
      <c r="D63" s="3"/>
      <c r="E63" s="3"/>
      <c r="F63" s="3"/>
      <c r="G63" s="3"/>
      <c r="H63" s="3"/>
      <c r="I63" s="3"/>
      <c r="J63" s="3"/>
      <c r="K63" s="6"/>
      <c r="L63" s="6"/>
      <c r="M63" s="3"/>
      <c r="N63" s="13"/>
      <c r="O63" s="7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3"/>
      <c r="B64" s="11"/>
      <c r="C64" s="8"/>
      <c r="D64" s="3"/>
      <c r="E64" s="3"/>
      <c r="F64" s="3"/>
      <c r="G64" s="3"/>
      <c r="H64" s="3"/>
      <c r="I64" s="3"/>
      <c r="J64" s="3"/>
      <c r="K64" s="6"/>
      <c r="L64" s="6"/>
      <c r="M64" s="3"/>
      <c r="N64" s="13"/>
      <c r="O64" s="7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3"/>
      <c r="B65" s="11"/>
      <c r="C65" s="8"/>
      <c r="D65" s="3"/>
      <c r="E65" s="3"/>
      <c r="F65" s="3"/>
      <c r="G65" s="3"/>
      <c r="H65" s="3"/>
      <c r="I65" s="3"/>
      <c r="J65" s="3"/>
      <c r="K65" s="6"/>
      <c r="L65" s="6"/>
      <c r="M65" s="3"/>
      <c r="N65" s="13"/>
      <c r="O65" s="7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3"/>
      <c r="B66" s="11"/>
      <c r="C66" s="8"/>
      <c r="D66" s="3"/>
      <c r="E66" s="3"/>
      <c r="F66" s="3"/>
      <c r="G66" s="3"/>
      <c r="H66" s="3"/>
      <c r="I66" s="3"/>
      <c r="J66" s="3"/>
      <c r="K66" s="6"/>
      <c r="L66" s="6"/>
      <c r="M66" s="3"/>
      <c r="N66" s="13"/>
      <c r="O66" s="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3"/>
      <c r="B67" s="11"/>
      <c r="C67" s="8"/>
      <c r="D67" s="3"/>
      <c r="E67" s="3"/>
      <c r="F67" s="3"/>
      <c r="G67" s="3"/>
      <c r="H67" s="3"/>
      <c r="I67" s="3"/>
      <c r="J67" s="3"/>
      <c r="K67" s="6"/>
      <c r="L67" s="6"/>
      <c r="M67" s="3"/>
      <c r="N67" s="13"/>
      <c r="O67" s="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3"/>
      <c r="B68" s="11"/>
      <c r="C68" s="8"/>
      <c r="D68" s="3"/>
      <c r="E68" s="3"/>
      <c r="F68" s="3"/>
      <c r="G68" s="3"/>
      <c r="H68" s="3"/>
      <c r="I68" s="3"/>
      <c r="J68" s="3"/>
      <c r="K68" s="6"/>
      <c r="L68" s="6"/>
      <c r="M68" s="3"/>
      <c r="N68" s="13"/>
      <c r="O68" s="7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3"/>
      <c r="B69" s="11"/>
      <c r="C69" s="8"/>
      <c r="D69" s="3"/>
      <c r="E69" s="3"/>
      <c r="F69" s="3"/>
      <c r="G69" s="3"/>
      <c r="H69" s="3"/>
      <c r="I69" s="3"/>
      <c r="J69" s="3"/>
      <c r="K69" s="6"/>
      <c r="L69" s="6"/>
      <c r="M69" s="3"/>
      <c r="N69" s="13"/>
      <c r="O69" s="7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3"/>
      <c r="B70" s="11"/>
      <c r="C70" s="8"/>
      <c r="D70" s="3"/>
      <c r="E70" s="3"/>
      <c r="F70" s="3"/>
      <c r="G70" s="3"/>
      <c r="H70" s="3"/>
      <c r="I70" s="3"/>
      <c r="J70" s="3"/>
      <c r="K70" s="6"/>
      <c r="L70" s="6"/>
      <c r="M70" s="3"/>
      <c r="N70" s="13"/>
      <c r="O70" s="7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3"/>
      <c r="B71" s="11"/>
      <c r="C71" s="8"/>
      <c r="D71" s="3"/>
      <c r="E71" s="3"/>
      <c r="F71" s="3"/>
      <c r="G71" s="3"/>
      <c r="H71" s="3"/>
      <c r="I71" s="3"/>
      <c r="J71" s="3"/>
      <c r="K71" s="6"/>
      <c r="L71" s="6"/>
      <c r="M71" s="3"/>
      <c r="N71" s="13"/>
      <c r="O71" s="7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3"/>
      <c r="B72" s="11"/>
      <c r="C72" s="8"/>
      <c r="D72" s="3"/>
      <c r="E72" s="3"/>
      <c r="F72" s="3"/>
      <c r="G72" s="3"/>
      <c r="H72" s="3"/>
      <c r="I72" s="3"/>
      <c r="J72" s="3"/>
      <c r="K72" s="6"/>
      <c r="L72" s="6"/>
      <c r="M72" s="3"/>
      <c r="N72" s="13"/>
      <c r="O72" s="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3"/>
      <c r="B73" s="11"/>
      <c r="C73" s="8"/>
      <c r="D73" s="3"/>
      <c r="E73" s="3"/>
      <c r="F73" s="3"/>
      <c r="G73" s="3"/>
      <c r="H73" s="3"/>
      <c r="I73" s="3"/>
      <c r="J73" s="3"/>
      <c r="K73" s="6"/>
      <c r="L73" s="6"/>
      <c r="M73" s="3"/>
      <c r="N73" s="13"/>
      <c r="O73" s="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3"/>
      <c r="B74" s="11"/>
      <c r="C74" s="8"/>
      <c r="D74" s="3"/>
      <c r="E74" s="3"/>
      <c r="F74" s="3"/>
      <c r="G74" s="3"/>
      <c r="H74" s="3"/>
      <c r="I74" s="3"/>
      <c r="J74" s="3"/>
      <c r="K74" s="6"/>
      <c r="L74" s="6"/>
      <c r="M74" s="3"/>
      <c r="N74" s="13"/>
      <c r="O74" s="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3"/>
      <c r="B75" s="11"/>
      <c r="C75" s="8"/>
      <c r="D75" s="3"/>
      <c r="E75" s="3"/>
      <c r="F75" s="3"/>
      <c r="G75" s="3"/>
      <c r="H75" s="3"/>
      <c r="I75" s="3"/>
      <c r="J75" s="3"/>
      <c r="K75" s="6"/>
      <c r="L75" s="6"/>
      <c r="M75" s="3"/>
      <c r="N75" s="13"/>
      <c r="O75" s="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3"/>
      <c r="B76" s="11"/>
      <c r="C76" s="8"/>
      <c r="D76" s="3"/>
      <c r="E76" s="3"/>
      <c r="F76" s="3"/>
      <c r="G76" s="3"/>
      <c r="H76" s="3"/>
      <c r="I76" s="3"/>
      <c r="J76" s="3"/>
      <c r="K76" s="6"/>
      <c r="L76" s="6"/>
      <c r="M76" s="3"/>
      <c r="N76" s="13"/>
      <c r="O76" s="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3"/>
      <c r="B77" s="11"/>
      <c r="C77" s="8"/>
      <c r="D77" s="3"/>
      <c r="E77" s="3"/>
      <c r="F77" s="3"/>
      <c r="G77" s="3"/>
      <c r="H77" s="3"/>
      <c r="I77" s="3"/>
      <c r="J77" s="3"/>
      <c r="K77" s="6"/>
      <c r="L77" s="6"/>
      <c r="M77" s="3"/>
      <c r="N77" s="13"/>
      <c r="O77" s="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3"/>
      <c r="B78" s="11"/>
      <c r="C78" s="8"/>
      <c r="D78" s="3"/>
      <c r="E78" s="3"/>
      <c r="F78" s="3"/>
      <c r="G78" s="3"/>
      <c r="H78" s="3"/>
      <c r="I78" s="3"/>
      <c r="J78" s="3"/>
      <c r="K78" s="6"/>
      <c r="L78" s="6"/>
      <c r="M78" s="3"/>
      <c r="N78" s="13"/>
      <c r="O78" s="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3"/>
      <c r="B79" s="11"/>
      <c r="C79" s="8"/>
      <c r="D79" s="3"/>
      <c r="E79" s="3"/>
      <c r="F79" s="3"/>
      <c r="G79" s="3"/>
      <c r="H79" s="3"/>
      <c r="I79" s="3"/>
      <c r="J79" s="3"/>
      <c r="K79" s="6"/>
      <c r="L79" s="6"/>
      <c r="M79" s="3"/>
      <c r="N79" s="13"/>
      <c r="O79" s="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3"/>
      <c r="B80" s="11"/>
      <c r="C80" s="8"/>
      <c r="D80" s="3"/>
      <c r="E80" s="3"/>
      <c r="F80" s="3"/>
      <c r="G80" s="3"/>
      <c r="H80" s="3"/>
      <c r="I80" s="3"/>
      <c r="J80" s="3"/>
      <c r="K80" s="6"/>
      <c r="L80" s="6"/>
      <c r="M80" s="3"/>
      <c r="N80" s="13"/>
      <c r="O80" s="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3"/>
      <c r="B81" s="11"/>
      <c r="C81" s="8"/>
      <c r="D81" s="3"/>
      <c r="E81" s="3"/>
      <c r="F81" s="3"/>
      <c r="G81" s="3"/>
      <c r="H81" s="3"/>
      <c r="I81" s="3"/>
      <c r="J81" s="3"/>
      <c r="K81" s="6"/>
      <c r="L81" s="6"/>
      <c r="M81" s="3"/>
      <c r="N81" s="13"/>
      <c r="O81" s="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3"/>
      <c r="B82" s="11"/>
      <c r="C82" s="8"/>
      <c r="D82" s="3"/>
      <c r="E82" s="3"/>
      <c r="F82" s="3"/>
      <c r="G82" s="3"/>
      <c r="H82" s="3"/>
      <c r="I82" s="3"/>
      <c r="J82" s="3"/>
      <c r="K82" s="6"/>
      <c r="L82" s="6"/>
      <c r="M82" s="3"/>
      <c r="N82" s="13"/>
      <c r="O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3"/>
      <c r="B83" s="11"/>
      <c r="C83" s="8"/>
      <c r="D83" s="3"/>
      <c r="E83" s="3"/>
      <c r="F83" s="3"/>
      <c r="G83" s="3"/>
      <c r="H83" s="3"/>
      <c r="I83" s="3"/>
      <c r="J83" s="3"/>
      <c r="K83" s="6"/>
      <c r="L83" s="6"/>
      <c r="M83" s="3"/>
      <c r="N83" s="13"/>
      <c r="O83" s="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3"/>
      <c r="B84" s="11"/>
      <c r="C84" s="8"/>
      <c r="D84" s="3"/>
      <c r="E84" s="3"/>
      <c r="F84" s="3"/>
      <c r="G84" s="3"/>
      <c r="H84" s="3"/>
      <c r="I84" s="3"/>
      <c r="J84" s="3"/>
      <c r="K84" s="6"/>
      <c r="L84" s="6"/>
      <c r="M84" s="3"/>
      <c r="N84" s="13"/>
      <c r="O84" s="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3"/>
      <c r="B85" s="11"/>
      <c r="C85" s="8"/>
      <c r="D85" s="3"/>
      <c r="E85" s="3"/>
      <c r="F85" s="3"/>
      <c r="G85" s="3"/>
      <c r="H85" s="3"/>
      <c r="I85" s="3"/>
      <c r="J85" s="3"/>
      <c r="K85" s="6"/>
      <c r="L85" s="6"/>
      <c r="M85" s="3"/>
      <c r="N85" s="13"/>
      <c r="O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3"/>
      <c r="B86" s="11"/>
      <c r="C86" s="8"/>
      <c r="D86" s="3"/>
      <c r="E86" s="3"/>
      <c r="F86" s="3"/>
      <c r="G86" s="3"/>
      <c r="H86" s="3"/>
      <c r="I86" s="3"/>
      <c r="J86" s="3"/>
      <c r="K86" s="6"/>
      <c r="L86" s="6"/>
      <c r="M86" s="3"/>
      <c r="N86" s="13"/>
      <c r="O86" s="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3"/>
      <c r="B87" s="11"/>
      <c r="C87" s="8"/>
      <c r="D87" s="3"/>
      <c r="E87" s="3"/>
      <c r="F87" s="3"/>
      <c r="G87" s="3"/>
      <c r="H87" s="3"/>
      <c r="I87" s="3"/>
      <c r="J87" s="3"/>
      <c r="K87" s="6"/>
      <c r="L87" s="6"/>
      <c r="M87" s="3"/>
      <c r="N87" s="13"/>
      <c r="O87" s="7"/>
      <c r="P87" s="3"/>
      <c r="Q87" s="3"/>
      <c r="R87" s="3"/>
      <c r="S87" s="9"/>
      <c r="T87" s="9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3"/>
      <c r="B88" s="11"/>
      <c r="C88" s="8"/>
      <c r="D88" s="3"/>
      <c r="E88" s="3"/>
      <c r="F88" s="3"/>
      <c r="G88" s="3"/>
      <c r="H88" s="3"/>
      <c r="I88" s="3"/>
      <c r="J88" s="3"/>
      <c r="K88" s="6"/>
      <c r="L88" s="6"/>
      <c r="M88" s="3"/>
      <c r="N88" s="13"/>
      <c r="O88" s="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3"/>
      <c r="B89" s="11"/>
      <c r="C89" s="8"/>
      <c r="D89" s="3"/>
      <c r="E89" s="3"/>
      <c r="F89" s="3"/>
      <c r="G89" s="3"/>
      <c r="H89" s="3"/>
      <c r="I89" s="3"/>
      <c r="J89" s="3"/>
      <c r="K89" s="6"/>
      <c r="L89" s="6"/>
      <c r="M89" s="3"/>
      <c r="N89" s="13"/>
      <c r="O89" s="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3"/>
      <c r="B90" s="11"/>
      <c r="C90" s="8"/>
      <c r="D90" s="3"/>
      <c r="E90" s="3"/>
      <c r="F90" s="3"/>
      <c r="G90" s="3"/>
      <c r="H90" s="3"/>
      <c r="I90" s="3"/>
      <c r="J90" s="3"/>
      <c r="K90" s="6"/>
      <c r="L90" s="6"/>
      <c r="M90" s="3"/>
      <c r="N90" s="13"/>
      <c r="O90" s="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3"/>
      <c r="B91" s="11"/>
      <c r="C91" s="8"/>
      <c r="D91" s="3"/>
      <c r="E91" s="3"/>
      <c r="F91" s="3"/>
      <c r="G91" s="3"/>
      <c r="H91" s="3"/>
      <c r="I91" s="3"/>
      <c r="J91" s="3"/>
      <c r="K91" s="6"/>
      <c r="L91" s="6"/>
      <c r="M91" s="3"/>
      <c r="N91" s="13"/>
      <c r="O91" s="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3"/>
      <c r="B92" s="11"/>
      <c r="C92" s="8"/>
      <c r="D92" s="3"/>
      <c r="E92" s="3"/>
      <c r="F92" s="3"/>
      <c r="G92" s="3"/>
      <c r="H92" s="3"/>
      <c r="I92" s="3"/>
      <c r="J92" s="3"/>
      <c r="K92" s="6"/>
      <c r="L92" s="6"/>
      <c r="M92" s="3"/>
      <c r="N92" s="13"/>
      <c r="O92" s="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3"/>
      <c r="B93" s="11"/>
      <c r="C93" s="8"/>
      <c r="D93" s="3"/>
      <c r="E93" s="3"/>
      <c r="F93" s="3"/>
      <c r="G93" s="3"/>
      <c r="H93" s="3"/>
      <c r="I93" s="3"/>
      <c r="J93" s="3"/>
      <c r="K93" s="6"/>
      <c r="L93" s="6"/>
      <c r="M93" s="3"/>
      <c r="N93" s="13"/>
      <c r="O93" s="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3"/>
      <c r="B94" s="11"/>
      <c r="C94" s="8"/>
      <c r="D94" s="3"/>
      <c r="E94" s="3"/>
      <c r="F94" s="3"/>
      <c r="G94" s="3"/>
      <c r="H94" s="3"/>
      <c r="I94" s="3"/>
      <c r="J94" s="3"/>
      <c r="K94" s="6"/>
      <c r="L94" s="6"/>
      <c r="M94" s="3"/>
      <c r="N94" s="13"/>
      <c r="O94" s="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3"/>
      <c r="B95" s="11"/>
      <c r="C95" s="8"/>
      <c r="D95" s="3"/>
      <c r="E95" s="3"/>
      <c r="F95" s="3"/>
      <c r="G95" s="3"/>
      <c r="H95" s="3"/>
      <c r="I95" s="3"/>
      <c r="J95" s="3"/>
      <c r="K95" s="6"/>
      <c r="L95" s="6"/>
      <c r="M95" s="3"/>
      <c r="N95" s="13"/>
      <c r="O95" s="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3"/>
      <c r="B96" s="11"/>
      <c r="C96" s="8"/>
      <c r="D96" s="3"/>
      <c r="E96" s="3"/>
      <c r="F96" s="3"/>
      <c r="G96" s="3"/>
      <c r="H96" s="3"/>
      <c r="I96" s="3"/>
      <c r="J96" s="3"/>
      <c r="K96" s="6"/>
      <c r="L96" s="6"/>
      <c r="M96" s="3"/>
      <c r="N96" s="13"/>
      <c r="O96" s="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3"/>
      <c r="B97" s="11"/>
      <c r="C97" s="8"/>
      <c r="D97" s="3"/>
      <c r="E97" s="3"/>
      <c r="F97" s="3"/>
      <c r="G97" s="3"/>
      <c r="H97" s="3"/>
      <c r="I97" s="3"/>
      <c r="J97" s="3"/>
      <c r="K97" s="6"/>
      <c r="L97" s="6"/>
      <c r="M97" s="3"/>
      <c r="N97" s="13"/>
      <c r="O97" s="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3"/>
      <c r="B98" s="11"/>
      <c r="C98" s="8"/>
      <c r="D98" s="3"/>
      <c r="E98" s="3"/>
      <c r="F98" s="3"/>
      <c r="G98" s="3"/>
      <c r="H98" s="3"/>
      <c r="I98" s="3"/>
      <c r="J98" s="3"/>
      <c r="K98" s="6"/>
      <c r="L98" s="6"/>
      <c r="M98" s="3"/>
      <c r="N98" s="13"/>
      <c r="O98" s="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3"/>
      <c r="B99" s="11"/>
      <c r="C99" s="8"/>
      <c r="D99" s="3"/>
      <c r="E99" s="3"/>
      <c r="F99" s="3"/>
      <c r="G99" s="3"/>
      <c r="H99" s="3"/>
      <c r="I99" s="3"/>
      <c r="J99" s="3"/>
      <c r="K99" s="6"/>
      <c r="L99" s="6"/>
      <c r="M99" s="3"/>
      <c r="N99" s="13"/>
      <c r="O99" s="7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3"/>
      <c r="B100" s="11"/>
      <c r="C100" s="8"/>
      <c r="D100" s="3"/>
      <c r="E100" s="3"/>
      <c r="F100" s="3"/>
      <c r="G100" s="3"/>
      <c r="H100" s="3"/>
      <c r="I100" s="3"/>
      <c r="J100" s="3"/>
      <c r="K100" s="6"/>
      <c r="L100" s="6"/>
      <c r="M100" s="3"/>
      <c r="N100" s="13"/>
      <c r="O100" s="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3"/>
      <c r="B101" s="11"/>
      <c r="C101" s="8"/>
      <c r="D101" s="3"/>
      <c r="E101" s="3"/>
      <c r="F101" s="3"/>
      <c r="G101" s="3"/>
      <c r="H101" s="3"/>
      <c r="I101" s="3"/>
      <c r="J101" s="3"/>
      <c r="K101" s="6"/>
      <c r="L101" s="6"/>
      <c r="M101" s="3"/>
      <c r="N101" s="13"/>
      <c r="O101" s="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3"/>
      <c r="B102" s="11"/>
      <c r="C102" s="8"/>
      <c r="D102" s="3"/>
      <c r="E102" s="3"/>
      <c r="F102" s="3"/>
      <c r="G102" s="3"/>
      <c r="H102" s="3"/>
      <c r="I102" s="3"/>
      <c r="J102" s="3"/>
      <c r="K102" s="6"/>
      <c r="L102" s="6"/>
      <c r="M102" s="3"/>
      <c r="N102" s="13"/>
      <c r="O102" s="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3"/>
      <c r="B103" s="11"/>
      <c r="C103" s="8"/>
      <c r="D103" s="3"/>
      <c r="E103" s="3"/>
      <c r="F103" s="3"/>
      <c r="G103" s="3"/>
      <c r="H103" s="3"/>
      <c r="I103" s="3"/>
      <c r="J103" s="3"/>
      <c r="K103" s="6"/>
      <c r="L103" s="6"/>
      <c r="M103" s="3"/>
      <c r="N103" s="13"/>
      <c r="O103" s="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3"/>
      <c r="B104" s="11"/>
      <c r="C104" s="8"/>
      <c r="D104" s="3"/>
      <c r="E104" s="3"/>
      <c r="F104" s="3"/>
      <c r="G104" s="3"/>
      <c r="H104" s="3"/>
      <c r="I104" s="3"/>
      <c r="J104" s="3"/>
      <c r="K104" s="6"/>
      <c r="L104" s="6"/>
      <c r="M104" s="3"/>
      <c r="N104" s="13"/>
      <c r="O104" s="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3"/>
      <c r="B105" s="11"/>
      <c r="C105" s="8"/>
      <c r="D105" s="3"/>
      <c r="E105" s="3"/>
      <c r="F105" s="3"/>
      <c r="G105" s="3"/>
      <c r="H105" s="3"/>
      <c r="I105" s="3"/>
      <c r="J105" s="3"/>
      <c r="K105" s="6"/>
      <c r="L105" s="6"/>
      <c r="M105" s="3"/>
      <c r="N105" s="13"/>
      <c r="O105" s="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3"/>
      <c r="B106" s="11"/>
      <c r="C106" s="8"/>
      <c r="D106" s="3"/>
      <c r="E106" s="3"/>
      <c r="F106" s="3"/>
      <c r="G106" s="3"/>
      <c r="H106" s="3"/>
      <c r="I106" s="3"/>
      <c r="J106" s="3"/>
      <c r="K106" s="6"/>
      <c r="L106" s="6"/>
      <c r="M106" s="3"/>
      <c r="N106" s="13"/>
      <c r="O106" s="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3"/>
      <c r="B107" s="11"/>
      <c r="C107" s="8"/>
      <c r="D107" s="3"/>
      <c r="E107" s="3"/>
      <c r="F107" s="3"/>
      <c r="G107" s="3"/>
      <c r="H107" s="3"/>
      <c r="I107" s="3"/>
      <c r="J107" s="3"/>
      <c r="K107" s="6"/>
      <c r="L107" s="6"/>
      <c r="M107" s="3"/>
      <c r="N107" s="13"/>
      <c r="O107" s="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3"/>
      <c r="B108" s="11"/>
      <c r="C108" s="8"/>
      <c r="D108" s="3"/>
      <c r="E108" s="3"/>
      <c r="F108" s="3"/>
      <c r="G108" s="3"/>
      <c r="H108" s="3"/>
      <c r="I108" s="3"/>
      <c r="J108" s="3"/>
      <c r="K108" s="6"/>
      <c r="L108" s="6"/>
      <c r="M108" s="3"/>
      <c r="N108" s="13"/>
      <c r="O108" s="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3"/>
      <c r="B109" s="11"/>
      <c r="C109" s="8"/>
      <c r="D109" s="3"/>
      <c r="E109" s="3"/>
      <c r="F109" s="3"/>
      <c r="G109" s="3"/>
      <c r="H109" s="3"/>
      <c r="I109" s="3"/>
      <c r="J109" s="3"/>
      <c r="K109" s="6"/>
      <c r="L109" s="6"/>
      <c r="M109" s="3"/>
      <c r="N109" s="13"/>
      <c r="O109" s="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3"/>
      <c r="B110" s="11"/>
      <c r="C110" s="8"/>
      <c r="D110" s="3"/>
      <c r="E110" s="3"/>
      <c r="F110" s="3"/>
      <c r="G110" s="3"/>
      <c r="H110" s="3"/>
      <c r="I110" s="3"/>
      <c r="J110" s="3"/>
      <c r="K110" s="6"/>
      <c r="L110" s="6"/>
      <c r="M110" s="3"/>
      <c r="N110" s="13"/>
      <c r="O110" s="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3"/>
      <c r="B111" s="11"/>
      <c r="C111" s="8"/>
      <c r="D111" s="3"/>
      <c r="E111" s="3"/>
      <c r="F111" s="3"/>
      <c r="G111" s="3"/>
      <c r="H111" s="3"/>
      <c r="I111" s="3"/>
      <c r="J111" s="3"/>
      <c r="K111" s="6"/>
      <c r="L111" s="6"/>
      <c r="M111" s="3"/>
      <c r="N111" s="13"/>
      <c r="O111" s="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3"/>
      <c r="B112" s="11"/>
      <c r="C112" s="8"/>
      <c r="D112" s="3"/>
      <c r="E112" s="3"/>
      <c r="F112" s="3"/>
      <c r="G112" s="3"/>
      <c r="H112" s="3"/>
      <c r="I112" s="3"/>
      <c r="J112" s="3"/>
      <c r="K112" s="6"/>
      <c r="L112" s="6"/>
      <c r="M112" s="3"/>
      <c r="N112" s="13"/>
      <c r="O112" s="7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3"/>
      <c r="B113" s="11"/>
      <c r="C113" s="8"/>
      <c r="D113" s="3"/>
      <c r="E113" s="3"/>
      <c r="F113" s="3"/>
      <c r="G113" s="3"/>
      <c r="H113" s="3"/>
      <c r="I113" s="3"/>
      <c r="J113" s="3"/>
      <c r="K113" s="6"/>
      <c r="L113" s="6"/>
      <c r="M113" s="3"/>
      <c r="N113" s="13"/>
      <c r="O113" s="7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3"/>
      <c r="B114" s="11"/>
      <c r="C114" s="8"/>
      <c r="D114" s="3"/>
      <c r="E114" s="3"/>
      <c r="F114" s="3"/>
      <c r="G114" s="3"/>
      <c r="H114" s="3"/>
      <c r="I114" s="3"/>
      <c r="J114" s="3"/>
      <c r="K114" s="6"/>
      <c r="L114" s="6"/>
      <c r="M114" s="3"/>
      <c r="N114" s="13"/>
      <c r="O114" s="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3"/>
      <c r="B115" s="11"/>
      <c r="C115" s="8"/>
      <c r="D115" s="3"/>
      <c r="E115" s="3"/>
      <c r="F115" s="3"/>
      <c r="G115" s="3"/>
      <c r="H115" s="3"/>
      <c r="I115" s="3"/>
      <c r="J115" s="3"/>
      <c r="K115" s="6"/>
      <c r="L115" s="6"/>
      <c r="M115" s="3"/>
      <c r="N115" s="13"/>
      <c r="O115" s="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3"/>
      <c r="B116" s="11"/>
      <c r="C116" s="8"/>
      <c r="D116" s="3"/>
      <c r="E116" s="3"/>
      <c r="F116" s="3"/>
      <c r="G116" s="3"/>
      <c r="H116" s="3"/>
      <c r="I116" s="3"/>
      <c r="J116" s="3"/>
      <c r="K116" s="6"/>
      <c r="L116" s="6"/>
      <c r="M116" s="3"/>
      <c r="N116" s="13"/>
      <c r="O116" s="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3"/>
      <c r="B117" s="11"/>
      <c r="C117" s="8"/>
      <c r="D117" s="3"/>
      <c r="E117" s="3"/>
      <c r="F117" s="3"/>
      <c r="G117" s="3"/>
      <c r="H117" s="3"/>
      <c r="I117" s="3"/>
      <c r="J117" s="3"/>
      <c r="K117" s="6"/>
      <c r="L117" s="6"/>
      <c r="M117" s="3"/>
      <c r="N117" s="13"/>
      <c r="O117" s="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3"/>
      <c r="B118" s="11"/>
      <c r="C118" s="8"/>
      <c r="D118" s="3"/>
      <c r="E118" s="3"/>
      <c r="F118" s="3"/>
      <c r="G118" s="3"/>
      <c r="H118" s="3"/>
      <c r="I118" s="3"/>
      <c r="J118" s="3"/>
      <c r="K118" s="6"/>
      <c r="L118" s="6"/>
      <c r="M118" s="3"/>
      <c r="N118" s="13"/>
      <c r="O118" s="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3"/>
      <c r="B119" s="11"/>
      <c r="C119" s="8"/>
      <c r="D119" s="3"/>
      <c r="E119" s="3"/>
      <c r="F119" s="3"/>
      <c r="G119" s="3"/>
      <c r="H119" s="3"/>
      <c r="I119" s="3"/>
      <c r="J119" s="3"/>
      <c r="K119" s="6"/>
      <c r="L119" s="6"/>
      <c r="M119" s="3"/>
      <c r="N119" s="13"/>
      <c r="O119" s="7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3"/>
      <c r="B120" s="11"/>
      <c r="C120" s="8"/>
      <c r="D120" s="3"/>
      <c r="E120" s="3"/>
      <c r="F120" s="3"/>
      <c r="G120" s="3"/>
      <c r="H120" s="3"/>
      <c r="I120" s="3"/>
      <c r="J120" s="3"/>
      <c r="K120" s="6"/>
      <c r="L120" s="6"/>
      <c r="M120" s="3"/>
      <c r="N120" s="13"/>
      <c r="O120" s="7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3"/>
      <c r="B121" s="11"/>
      <c r="C121" s="8"/>
      <c r="D121" s="3"/>
      <c r="E121" s="3"/>
      <c r="F121" s="3"/>
      <c r="G121" s="3"/>
      <c r="H121" s="3"/>
      <c r="I121" s="3"/>
      <c r="J121" s="3"/>
      <c r="K121" s="6"/>
      <c r="L121" s="6"/>
      <c r="M121" s="3"/>
      <c r="N121" s="13"/>
      <c r="O121" s="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3"/>
      <c r="B122" s="11"/>
      <c r="C122" s="8"/>
      <c r="D122" s="3"/>
      <c r="E122" s="3"/>
      <c r="F122" s="3"/>
      <c r="G122" s="3"/>
      <c r="H122" s="3"/>
      <c r="I122" s="3"/>
      <c r="J122" s="3"/>
      <c r="K122" s="6"/>
      <c r="L122" s="6"/>
      <c r="M122" s="3"/>
      <c r="N122" s="13"/>
      <c r="O122" s="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3"/>
      <c r="B123" s="11"/>
      <c r="C123" s="8"/>
      <c r="D123" s="3"/>
      <c r="E123" s="3"/>
      <c r="F123" s="3"/>
      <c r="G123" s="3"/>
      <c r="H123" s="3"/>
      <c r="I123" s="3"/>
      <c r="J123" s="3"/>
      <c r="K123" s="6"/>
      <c r="L123" s="6"/>
      <c r="M123" s="3"/>
      <c r="N123" s="13"/>
      <c r="O123" s="7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3"/>
      <c r="B124" s="11"/>
      <c r="C124" s="8"/>
      <c r="D124" s="3"/>
      <c r="E124" s="3"/>
      <c r="F124" s="3"/>
      <c r="G124" s="3"/>
      <c r="H124" s="3"/>
      <c r="I124" s="3"/>
      <c r="J124" s="3"/>
      <c r="K124" s="6"/>
      <c r="L124" s="6"/>
      <c r="M124" s="3"/>
      <c r="N124" s="13"/>
      <c r="O124" s="7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3"/>
      <c r="B125" s="11"/>
      <c r="C125" s="8"/>
      <c r="D125" s="3"/>
      <c r="E125" s="3"/>
      <c r="F125" s="3"/>
      <c r="G125" s="3"/>
      <c r="H125" s="3"/>
      <c r="I125" s="3"/>
      <c r="J125" s="3"/>
      <c r="K125" s="6"/>
      <c r="L125" s="6"/>
      <c r="M125" s="3"/>
      <c r="N125" s="13"/>
      <c r="O125" s="7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3"/>
      <c r="B126" s="11"/>
      <c r="C126" s="8"/>
      <c r="D126" s="3"/>
      <c r="E126" s="3"/>
      <c r="F126" s="3"/>
      <c r="G126" s="3"/>
      <c r="H126" s="3"/>
      <c r="I126" s="3"/>
      <c r="J126" s="3"/>
      <c r="K126" s="6"/>
      <c r="L126" s="6"/>
      <c r="M126" s="3"/>
      <c r="N126" s="13"/>
      <c r="O126" s="7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3"/>
      <c r="B127" s="11"/>
      <c r="C127" s="8"/>
      <c r="D127" s="3"/>
      <c r="E127" s="3"/>
      <c r="F127" s="3"/>
      <c r="G127" s="3"/>
      <c r="H127" s="3"/>
      <c r="I127" s="3"/>
      <c r="J127" s="3"/>
      <c r="K127" s="6"/>
      <c r="L127" s="6"/>
      <c r="M127" s="3"/>
      <c r="N127" s="1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3"/>
      <c r="B128" s="11"/>
      <c r="C128" s="8"/>
      <c r="D128" s="3"/>
      <c r="E128" s="3"/>
      <c r="F128" s="3"/>
      <c r="G128" s="3"/>
      <c r="H128" s="3"/>
      <c r="I128" s="3"/>
      <c r="J128" s="3"/>
      <c r="K128" s="6"/>
      <c r="L128" s="6"/>
      <c r="M128" s="3"/>
      <c r="N128" s="1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3"/>
      <c r="B129" s="11"/>
      <c r="C129" s="8"/>
      <c r="D129" s="3"/>
      <c r="E129" s="3"/>
      <c r="F129" s="3"/>
      <c r="G129" s="3"/>
      <c r="H129" s="3"/>
      <c r="I129" s="3"/>
      <c r="J129" s="3"/>
      <c r="K129" s="6"/>
      <c r="L129" s="6"/>
      <c r="M129" s="3"/>
      <c r="N129" s="1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3"/>
      <c r="B130" s="11"/>
      <c r="C130" s="8"/>
      <c r="D130" s="3"/>
      <c r="E130" s="3"/>
      <c r="F130" s="3"/>
      <c r="G130" s="3"/>
      <c r="H130" s="3"/>
      <c r="I130" s="3"/>
      <c r="J130" s="3"/>
      <c r="K130" s="6"/>
      <c r="L130" s="6"/>
      <c r="M130" s="3"/>
      <c r="N130" s="1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3"/>
      <c r="B131" s="11"/>
      <c r="C131" s="8"/>
      <c r="D131" s="3"/>
      <c r="E131" s="3"/>
      <c r="F131" s="3"/>
      <c r="G131" s="3"/>
      <c r="H131" s="3"/>
      <c r="I131" s="3"/>
      <c r="J131" s="3"/>
      <c r="K131" s="6"/>
      <c r="L131" s="6"/>
      <c r="M131" s="3"/>
      <c r="N131" s="1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3"/>
      <c r="B132" s="11"/>
      <c r="C132" s="8"/>
      <c r="D132" s="3"/>
      <c r="E132" s="3"/>
      <c r="F132" s="3"/>
      <c r="G132" s="3"/>
      <c r="H132" s="3"/>
      <c r="I132" s="3"/>
      <c r="J132" s="3"/>
      <c r="K132" s="6"/>
      <c r="L132" s="6"/>
      <c r="M132" s="3"/>
      <c r="N132" s="1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3"/>
      <c r="B133" s="11"/>
      <c r="C133" s="8"/>
      <c r="D133" s="3"/>
      <c r="E133" s="3"/>
      <c r="F133" s="3"/>
      <c r="G133" s="3"/>
      <c r="H133" s="3"/>
      <c r="I133" s="3"/>
      <c r="J133" s="3"/>
      <c r="K133" s="6"/>
      <c r="L133" s="6"/>
      <c r="M133" s="3"/>
      <c r="N133" s="1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3"/>
      <c r="B134" s="11"/>
      <c r="C134" s="8"/>
      <c r="D134" s="3"/>
      <c r="E134" s="3"/>
      <c r="F134" s="3"/>
      <c r="G134" s="3"/>
      <c r="H134" s="3"/>
      <c r="I134" s="3"/>
      <c r="J134" s="3"/>
      <c r="K134" s="6"/>
      <c r="L134" s="6"/>
      <c r="M134" s="3"/>
      <c r="N134" s="1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3"/>
      <c r="B135" s="11"/>
      <c r="C135" s="8"/>
      <c r="D135" s="3"/>
      <c r="E135" s="3"/>
      <c r="F135" s="3"/>
      <c r="G135" s="3"/>
      <c r="H135" s="3"/>
      <c r="I135" s="3"/>
      <c r="J135" s="3"/>
      <c r="K135" s="6"/>
      <c r="L135" s="6"/>
      <c r="M135" s="3"/>
      <c r="N135" s="1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3"/>
      <c r="B136" s="11"/>
      <c r="C136" s="8"/>
      <c r="D136" s="3"/>
      <c r="E136" s="3"/>
      <c r="F136" s="3"/>
      <c r="G136" s="3"/>
      <c r="H136" s="3"/>
      <c r="I136" s="3"/>
      <c r="J136" s="3"/>
      <c r="K136" s="6"/>
      <c r="L136" s="6"/>
      <c r="M136" s="3"/>
      <c r="N136" s="1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3"/>
      <c r="B137" s="11"/>
      <c r="C137" s="8"/>
      <c r="D137" s="3"/>
      <c r="E137" s="3"/>
      <c r="F137" s="3"/>
      <c r="G137" s="3"/>
      <c r="H137" s="3"/>
      <c r="I137" s="3"/>
      <c r="J137" s="3"/>
      <c r="K137" s="6"/>
      <c r="L137" s="6"/>
      <c r="M137" s="3"/>
      <c r="N137" s="1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3"/>
      <c r="B138" s="11"/>
      <c r="C138" s="8"/>
      <c r="D138" s="3"/>
      <c r="E138" s="3"/>
      <c r="F138" s="3"/>
      <c r="G138" s="3"/>
      <c r="H138" s="3"/>
      <c r="I138" s="3"/>
      <c r="J138" s="3"/>
      <c r="K138" s="6"/>
      <c r="L138" s="6"/>
      <c r="M138" s="3"/>
      <c r="N138" s="1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3"/>
      <c r="B139" s="11"/>
      <c r="C139" s="8"/>
      <c r="D139" s="3"/>
      <c r="E139" s="3"/>
      <c r="F139" s="3"/>
      <c r="G139" s="3"/>
      <c r="H139" s="3"/>
      <c r="I139" s="3"/>
      <c r="J139" s="3"/>
      <c r="K139" s="6"/>
      <c r="L139" s="6"/>
      <c r="M139" s="3"/>
      <c r="N139" s="1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3"/>
      <c r="B140" s="11"/>
      <c r="C140" s="8"/>
      <c r="D140" s="3"/>
      <c r="E140" s="3"/>
      <c r="F140" s="3"/>
      <c r="G140" s="3"/>
      <c r="H140" s="3"/>
      <c r="I140" s="3"/>
      <c r="J140" s="3"/>
      <c r="K140" s="6"/>
      <c r="L140" s="6"/>
      <c r="M140" s="3"/>
      <c r="N140" s="1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6"/>
      <c r="L141" s="6"/>
      <c r="M141" s="3"/>
      <c r="N141" s="1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6"/>
      <c r="L142" s="6"/>
      <c r="M142" s="3"/>
      <c r="N142" s="1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6"/>
      <c r="L143" s="6"/>
      <c r="M143" s="3"/>
      <c r="N143" s="1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6"/>
      <c r="L144" s="6"/>
      <c r="M144" s="3"/>
      <c r="N144" s="1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6"/>
      <c r="L145" s="6"/>
      <c r="M145" s="3"/>
      <c r="N145" s="1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6"/>
      <c r="L146" s="6"/>
      <c r="M146" s="3"/>
      <c r="N146" s="1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6"/>
      <c r="L147" s="6"/>
      <c r="M147" s="3"/>
      <c r="N147" s="1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6"/>
      <c r="L148" s="6"/>
      <c r="M148" s="3"/>
      <c r="N148" s="1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6"/>
      <c r="L149" s="6"/>
      <c r="M149" s="3"/>
      <c r="N149" s="1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6"/>
      <c r="L150" s="6"/>
      <c r="M150" s="3"/>
      <c r="N150" s="1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6"/>
      <c r="L151" s="6"/>
      <c r="M151" s="3"/>
      <c r="N151" s="1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6"/>
      <c r="L152" s="6"/>
      <c r="M152" s="3"/>
      <c r="N152" s="1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6"/>
      <c r="L153" s="6"/>
      <c r="M153" s="3"/>
      <c r="N153" s="1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6"/>
      <c r="L154" s="6"/>
      <c r="M154" s="3"/>
      <c r="N154" s="1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6"/>
      <c r="L155" s="6"/>
      <c r="M155" s="3"/>
      <c r="N155" s="1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6"/>
      <c r="L156" s="6"/>
      <c r="M156" s="3"/>
      <c r="N156" s="1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6"/>
      <c r="L157" s="6"/>
      <c r="M157" s="3"/>
      <c r="N157" s="1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6"/>
      <c r="L158" s="6"/>
      <c r="M158" s="3"/>
      <c r="N158" s="1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6"/>
      <c r="L159" s="6"/>
      <c r="M159" s="3"/>
      <c r="N159" s="1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6"/>
      <c r="L160" s="6"/>
      <c r="M160" s="3"/>
      <c r="N160" s="1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6"/>
      <c r="L161" s="6"/>
      <c r="M161" s="3"/>
      <c r="N161" s="1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6"/>
      <c r="L162" s="6"/>
      <c r="M162" s="3"/>
      <c r="N162" s="1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6"/>
      <c r="L163" s="6"/>
      <c r="M163" s="3"/>
      <c r="N163" s="1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6"/>
      <c r="L164" s="6"/>
      <c r="M164" s="3"/>
      <c r="N164" s="1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6"/>
      <c r="L165" s="6"/>
      <c r="M165" s="3"/>
      <c r="N165" s="1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6"/>
      <c r="L166" s="6"/>
      <c r="M166" s="3"/>
      <c r="N166" s="1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6"/>
      <c r="L167" s="6"/>
      <c r="M167" s="3"/>
      <c r="N167" s="1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6"/>
      <c r="L168" s="6"/>
      <c r="M168" s="3"/>
      <c r="N168" s="1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6"/>
      <c r="L169" s="6"/>
      <c r="M169" s="3"/>
      <c r="N169" s="1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6"/>
      <c r="L170" s="6"/>
      <c r="M170" s="3"/>
      <c r="N170" s="1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6"/>
      <c r="L171" s="6"/>
      <c r="M171" s="3"/>
      <c r="N171" s="1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6"/>
      <c r="L172" s="6"/>
      <c r="M172" s="3"/>
      <c r="N172" s="1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6"/>
      <c r="L173" s="6"/>
      <c r="M173" s="3"/>
      <c r="N173" s="1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6"/>
      <c r="L174" s="6"/>
      <c r="M174" s="3"/>
      <c r="N174" s="1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6"/>
      <c r="L175" s="6"/>
      <c r="M175" s="3"/>
      <c r="N175" s="1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6"/>
      <c r="L176" s="6"/>
      <c r="M176" s="3"/>
      <c r="N176" s="1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6"/>
      <c r="L177" s="6"/>
      <c r="M177" s="3"/>
      <c r="N177" s="1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6"/>
      <c r="L178" s="6"/>
      <c r="M178" s="3"/>
      <c r="N178" s="1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6"/>
      <c r="L179" s="6"/>
      <c r="M179" s="3"/>
      <c r="N179" s="1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6"/>
      <c r="L180" s="6"/>
      <c r="M180" s="3"/>
      <c r="N180" s="1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6"/>
      <c r="L181" s="6"/>
      <c r="M181" s="3"/>
      <c r="N181" s="1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6"/>
      <c r="L182" s="6"/>
      <c r="M182" s="3"/>
      <c r="N182" s="1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6"/>
      <c r="L183" s="6"/>
      <c r="M183" s="3"/>
      <c r="N183" s="1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6"/>
      <c r="L184" s="6"/>
      <c r="M184" s="3"/>
      <c r="N184" s="1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6"/>
      <c r="L185" s="6"/>
      <c r="M185" s="3"/>
      <c r="N185" s="1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6"/>
      <c r="L186" s="6"/>
      <c r="M186" s="3"/>
      <c r="N186" s="1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6"/>
      <c r="L187" s="6"/>
      <c r="M187" s="3"/>
      <c r="N187" s="1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6"/>
      <c r="L188" s="6"/>
      <c r="M188" s="3"/>
      <c r="N188" s="1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6"/>
      <c r="L189" s="6"/>
      <c r="M189" s="3"/>
      <c r="N189" s="1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6"/>
      <c r="L190" s="6"/>
      <c r="M190" s="3"/>
      <c r="N190" s="1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6"/>
      <c r="L191" s="6"/>
      <c r="M191" s="3"/>
      <c r="N191" s="1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6"/>
      <c r="L192" s="6"/>
      <c r="M192" s="3"/>
      <c r="N192" s="1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6"/>
      <c r="L193" s="6"/>
      <c r="M193" s="3"/>
      <c r="N193" s="1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6"/>
      <c r="L194" s="6"/>
      <c r="M194" s="3"/>
      <c r="N194" s="1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6"/>
      <c r="L195" s="6"/>
      <c r="M195" s="3"/>
      <c r="N195" s="1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6"/>
      <c r="L196" s="6"/>
      <c r="M196" s="3"/>
      <c r="N196" s="1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6"/>
      <c r="L197" s="6"/>
      <c r="M197" s="3"/>
      <c r="N197" s="1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6"/>
      <c r="L198" s="6"/>
      <c r="M198" s="3"/>
      <c r="N198" s="1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6"/>
      <c r="L199" s="6"/>
      <c r="M199" s="3"/>
      <c r="N199" s="1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6"/>
      <c r="L200" s="6"/>
      <c r="M200" s="3"/>
      <c r="N200" s="1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6"/>
      <c r="L201" s="6"/>
      <c r="M201" s="3"/>
      <c r="N201" s="1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6"/>
      <c r="L202" s="6"/>
      <c r="M202" s="3"/>
      <c r="N202" s="1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6"/>
      <c r="L203" s="6"/>
      <c r="M203" s="3"/>
      <c r="N203" s="1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6"/>
      <c r="L204" s="6"/>
      <c r="M204" s="3"/>
      <c r="N204" s="1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6"/>
      <c r="L205" s="6"/>
      <c r="M205" s="3"/>
      <c r="N205" s="1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6"/>
      <c r="L206" s="6"/>
      <c r="M206" s="3"/>
      <c r="N206" s="1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6"/>
      <c r="L207" s="6"/>
      <c r="M207" s="3"/>
      <c r="N207" s="1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6"/>
      <c r="L208" s="6"/>
      <c r="M208" s="3"/>
      <c r="N208" s="1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6"/>
      <c r="L209" s="6"/>
      <c r="M209" s="3"/>
      <c r="N209" s="1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6"/>
      <c r="L210" s="6"/>
      <c r="M210" s="3"/>
      <c r="N210" s="1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6"/>
      <c r="L211" s="6"/>
      <c r="M211" s="3"/>
      <c r="N211" s="1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6"/>
      <c r="L212" s="6"/>
      <c r="M212" s="3"/>
      <c r="N212" s="1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6"/>
      <c r="L213" s="6"/>
      <c r="M213" s="3"/>
      <c r="N213" s="1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6"/>
      <c r="L214" s="6"/>
      <c r="M214" s="3"/>
      <c r="N214" s="1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6"/>
      <c r="L215" s="6"/>
      <c r="M215" s="3"/>
      <c r="N215" s="1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6"/>
      <c r="L216" s="6"/>
      <c r="M216" s="3"/>
      <c r="N216" s="1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6"/>
      <c r="L217" s="6"/>
      <c r="M217" s="3"/>
      <c r="N217" s="1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6"/>
      <c r="L218" s="6"/>
      <c r="M218" s="3"/>
      <c r="N218" s="1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6"/>
      <c r="L219" s="6"/>
      <c r="M219" s="3"/>
      <c r="N219" s="1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6"/>
      <c r="L220" s="6"/>
      <c r="M220" s="3"/>
      <c r="N220" s="1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6"/>
      <c r="L221" s="6"/>
      <c r="M221" s="3"/>
      <c r="N221" s="1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6"/>
      <c r="L222" s="6"/>
      <c r="M222" s="3"/>
      <c r="N222" s="1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6"/>
      <c r="L223" s="6"/>
      <c r="M223" s="3"/>
      <c r="N223" s="1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6"/>
      <c r="L224" s="6"/>
      <c r="M224" s="3"/>
      <c r="N224" s="1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6"/>
      <c r="L225" s="6"/>
      <c r="M225" s="3"/>
      <c r="N225" s="1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6"/>
      <c r="L226" s="6"/>
      <c r="M226" s="3"/>
      <c r="N226" s="1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6"/>
      <c r="L227" s="6"/>
      <c r="M227" s="3"/>
      <c r="N227" s="1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6"/>
      <c r="L228" s="6"/>
      <c r="M228" s="3"/>
      <c r="N228" s="1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6"/>
      <c r="L229" s="6"/>
      <c r="M229" s="3"/>
      <c r="N229" s="1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6"/>
      <c r="L230" s="6"/>
      <c r="M230" s="3"/>
      <c r="N230" s="1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6"/>
      <c r="L231" s="6"/>
      <c r="M231" s="3"/>
      <c r="N231" s="1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6"/>
      <c r="L232" s="6"/>
      <c r="M232" s="3"/>
      <c r="N232" s="1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6"/>
      <c r="L233" s="6"/>
      <c r="M233" s="3"/>
      <c r="N233" s="1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6"/>
      <c r="L234" s="6"/>
      <c r="M234" s="3"/>
      <c r="N234" s="1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6"/>
      <c r="L235" s="6"/>
      <c r="M235" s="3"/>
      <c r="N235" s="1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6"/>
      <c r="L236" s="6"/>
      <c r="M236" s="3"/>
      <c r="N236" s="1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6"/>
      <c r="L237" s="6"/>
      <c r="M237" s="3"/>
      <c r="N237" s="1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6"/>
      <c r="L238" s="6"/>
      <c r="M238" s="3"/>
      <c r="N238" s="1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6"/>
      <c r="L239" s="6"/>
      <c r="M239" s="3"/>
      <c r="N239" s="1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6"/>
      <c r="L240" s="6"/>
      <c r="M240" s="3"/>
      <c r="N240" s="1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6"/>
      <c r="L241" s="6"/>
      <c r="M241" s="3"/>
      <c r="N241" s="1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6"/>
      <c r="L242" s="6"/>
      <c r="M242" s="3"/>
      <c r="N242" s="1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6"/>
      <c r="L243" s="6"/>
      <c r="M243" s="3"/>
      <c r="N243" s="1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6"/>
      <c r="L244" s="6"/>
      <c r="M244" s="3"/>
      <c r="N244" s="1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6"/>
      <c r="L245" s="6"/>
      <c r="M245" s="3"/>
      <c r="N245" s="1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6"/>
      <c r="L246" s="6"/>
      <c r="M246" s="3"/>
      <c r="N246" s="1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6"/>
      <c r="L247" s="6"/>
      <c r="M247" s="3"/>
      <c r="N247" s="1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6"/>
      <c r="L248" s="6"/>
      <c r="M248" s="3"/>
      <c r="N248" s="1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6"/>
      <c r="L249" s="6"/>
      <c r="M249" s="3"/>
      <c r="N249" s="1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6"/>
      <c r="L250" s="6"/>
      <c r="M250" s="3"/>
      <c r="N250" s="1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6"/>
      <c r="L251" s="6"/>
      <c r="M251" s="3"/>
      <c r="N251" s="1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6"/>
      <c r="L252" s="6"/>
      <c r="M252" s="3"/>
      <c r="N252" s="1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6"/>
      <c r="L253" s="6"/>
      <c r="M253" s="3"/>
      <c r="N253" s="1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6"/>
      <c r="L254" s="6"/>
      <c r="M254" s="3"/>
      <c r="N254" s="1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6"/>
      <c r="L255" s="6"/>
      <c r="M255" s="3"/>
      <c r="N255" s="1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6"/>
      <c r="L256" s="6"/>
      <c r="M256" s="3"/>
      <c r="N256" s="1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6"/>
      <c r="L257" s="6"/>
      <c r="M257" s="3"/>
      <c r="N257" s="1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6"/>
      <c r="L258" s="6"/>
      <c r="M258" s="3"/>
      <c r="N258" s="1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6"/>
      <c r="L259" s="6"/>
      <c r="M259" s="3"/>
      <c r="N259" s="1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6"/>
      <c r="L260" s="6"/>
      <c r="M260" s="3"/>
      <c r="N260" s="1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6"/>
      <c r="L261" s="6"/>
      <c r="M261" s="3"/>
      <c r="N261" s="1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6"/>
      <c r="L262" s="6"/>
      <c r="M262" s="3"/>
      <c r="N262" s="1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6"/>
      <c r="L263" s="6"/>
      <c r="M263" s="3"/>
      <c r="N263" s="1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6"/>
      <c r="L264" s="6"/>
      <c r="M264" s="3"/>
      <c r="N264" s="1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6"/>
      <c r="L265" s="6"/>
      <c r="M265" s="3"/>
      <c r="N265" s="1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6"/>
      <c r="L266" s="6"/>
      <c r="M266" s="3"/>
      <c r="N266" s="1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6"/>
      <c r="L267" s="6"/>
      <c r="M267" s="3"/>
      <c r="N267" s="1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6"/>
      <c r="L268" s="6"/>
      <c r="M268" s="3"/>
      <c r="N268" s="1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6"/>
      <c r="L269" s="6"/>
      <c r="M269" s="3"/>
      <c r="N269" s="1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6"/>
      <c r="L270" s="6"/>
      <c r="M270" s="3"/>
      <c r="N270" s="1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6"/>
      <c r="L271" s="6"/>
      <c r="M271" s="3"/>
      <c r="N271" s="1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6"/>
      <c r="L272" s="6"/>
      <c r="M272" s="3"/>
      <c r="N272" s="1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6"/>
      <c r="L273" s="6"/>
      <c r="M273" s="3"/>
      <c r="N273" s="1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6"/>
      <c r="L274" s="6"/>
      <c r="M274" s="3"/>
      <c r="N274" s="1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6"/>
      <c r="L275" s="6"/>
      <c r="M275" s="3"/>
      <c r="N275" s="1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6"/>
      <c r="L276" s="6"/>
      <c r="M276" s="3"/>
      <c r="N276" s="1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6"/>
      <c r="L277" s="6"/>
      <c r="M277" s="3"/>
      <c r="N277" s="1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6"/>
      <c r="L278" s="6"/>
      <c r="M278" s="3"/>
      <c r="N278" s="1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6"/>
      <c r="L279" s="6"/>
      <c r="M279" s="3"/>
      <c r="N279" s="1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6"/>
      <c r="L280" s="6"/>
      <c r="M280" s="3"/>
      <c r="N280" s="1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6"/>
      <c r="L281" s="6"/>
      <c r="M281" s="3"/>
      <c r="N281" s="1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6"/>
      <c r="L282" s="6"/>
      <c r="M282" s="3"/>
      <c r="N282" s="1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6"/>
      <c r="L283" s="6"/>
      <c r="M283" s="3"/>
      <c r="N283" s="1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6"/>
      <c r="L284" s="6"/>
      <c r="M284" s="3"/>
      <c r="N284" s="1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6"/>
      <c r="L285" s="6"/>
      <c r="M285" s="3"/>
      <c r="N285" s="1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6"/>
      <c r="L286" s="6"/>
      <c r="M286" s="3"/>
      <c r="N286" s="1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6"/>
      <c r="L287" s="6"/>
      <c r="M287" s="3"/>
      <c r="N287" s="1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6"/>
      <c r="L288" s="6"/>
      <c r="M288" s="3"/>
      <c r="N288" s="1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6"/>
      <c r="L289" s="6"/>
      <c r="M289" s="3"/>
      <c r="N289" s="1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6"/>
      <c r="L290" s="6"/>
      <c r="M290" s="3"/>
      <c r="N290" s="1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6"/>
      <c r="L291" s="6"/>
      <c r="M291" s="3"/>
      <c r="N291" s="1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6"/>
      <c r="L292" s="6"/>
      <c r="M292" s="3"/>
      <c r="N292" s="1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6"/>
      <c r="L293" s="6"/>
      <c r="M293" s="3"/>
      <c r="N293" s="1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6"/>
      <c r="L294" s="6"/>
      <c r="M294" s="3"/>
      <c r="N294" s="1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6"/>
      <c r="L295" s="6"/>
      <c r="M295" s="3"/>
      <c r="N295" s="1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6"/>
      <c r="L296" s="6"/>
      <c r="M296" s="3"/>
      <c r="N296" s="1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6"/>
      <c r="L297" s="6"/>
      <c r="M297" s="3"/>
      <c r="N297" s="1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6"/>
      <c r="L298" s="6"/>
      <c r="M298" s="3"/>
      <c r="N298" s="1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6"/>
      <c r="L299" s="6"/>
      <c r="M299" s="3"/>
      <c r="N299" s="1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6"/>
      <c r="L300" s="6"/>
      <c r="M300" s="3"/>
      <c r="N300" s="1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6"/>
      <c r="L301" s="6"/>
      <c r="M301" s="3"/>
      <c r="N301" s="1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6"/>
      <c r="L302" s="6"/>
      <c r="M302" s="3"/>
      <c r="N302" s="1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6"/>
      <c r="L303" s="6"/>
      <c r="M303" s="3"/>
      <c r="N303" s="1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6"/>
      <c r="L304" s="6"/>
      <c r="M304" s="3"/>
      <c r="N304" s="1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6"/>
      <c r="L305" s="6"/>
      <c r="M305" s="3"/>
      <c r="N305" s="1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6"/>
      <c r="L306" s="6"/>
      <c r="M306" s="3"/>
      <c r="N306" s="1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6"/>
      <c r="L307" s="6"/>
      <c r="M307" s="3"/>
      <c r="N307" s="1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6"/>
      <c r="L308" s="6"/>
      <c r="M308" s="3"/>
      <c r="N308" s="1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6"/>
      <c r="L309" s="6"/>
      <c r="M309" s="3"/>
      <c r="N309" s="1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6"/>
      <c r="L310" s="6"/>
      <c r="M310" s="3"/>
      <c r="N310" s="1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6"/>
      <c r="L311" s="6"/>
      <c r="M311" s="3"/>
      <c r="N311" s="1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6"/>
      <c r="L312" s="6"/>
      <c r="M312" s="3"/>
      <c r="N312" s="1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6"/>
      <c r="L313" s="6"/>
      <c r="M313" s="3"/>
      <c r="N313" s="1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6"/>
      <c r="L314" s="6"/>
      <c r="M314" s="3"/>
      <c r="N314" s="1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6"/>
      <c r="L315" s="6"/>
      <c r="M315" s="3"/>
      <c r="N315" s="1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6"/>
      <c r="L316" s="6"/>
      <c r="M316" s="3"/>
      <c r="N316" s="1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6"/>
      <c r="L317" s="6"/>
      <c r="M317" s="3"/>
      <c r="N317" s="1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6"/>
      <c r="L318" s="6"/>
      <c r="M318" s="3"/>
      <c r="N318" s="1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6"/>
      <c r="L319" s="6"/>
      <c r="M319" s="3"/>
      <c r="N319" s="1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6"/>
      <c r="L320" s="6"/>
      <c r="M320" s="3"/>
      <c r="N320" s="1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6"/>
      <c r="L321" s="6"/>
      <c r="M321" s="3"/>
      <c r="N321" s="1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6"/>
      <c r="L322" s="6"/>
      <c r="M322" s="3"/>
      <c r="N322" s="1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6"/>
      <c r="L323" s="6"/>
      <c r="M323" s="3"/>
      <c r="N323" s="1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6"/>
      <c r="L324" s="6"/>
      <c r="M324" s="3"/>
      <c r="N324" s="1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6"/>
      <c r="L325" s="6"/>
      <c r="M325" s="3"/>
      <c r="N325" s="1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6"/>
      <c r="L326" s="6"/>
      <c r="M326" s="3"/>
      <c r="N326" s="1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6"/>
      <c r="L327" s="6"/>
      <c r="M327" s="3"/>
      <c r="N327" s="1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6"/>
      <c r="L328" s="6"/>
      <c r="M328" s="3"/>
      <c r="N328" s="1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6"/>
      <c r="L329" s="6"/>
      <c r="M329" s="3"/>
      <c r="N329" s="1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6"/>
      <c r="L330" s="6"/>
      <c r="M330" s="3"/>
      <c r="N330" s="1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6"/>
      <c r="L331" s="6"/>
      <c r="M331" s="3"/>
      <c r="N331" s="1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6"/>
      <c r="L332" s="6"/>
      <c r="M332" s="3"/>
      <c r="N332" s="1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6"/>
      <c r="L333" s="6"/>
      <c r="M333" s="3"/>
      <c r="N333" s="1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6"/>
      <c r="L334" s="6"/>
      <c r="M334" s="3"/>
      <c r="N334" s="1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6"/>
      <c r="L335" s="6"/>
      <c r="M335" s="3"/>
      <c r="N335" s="1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6"/>
      <c r="L336" s="6"/>
      <c r="M336" s="3"/>
      <c r="N336" s="1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6"/>
      <c r="L337" s="6"/>
      <c r="M337" s="3"/>
      <c r="N337" s="1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6"/>
      <c r="L338" s="6"/>
      <c r="M338" s="3"/>
      <c r="N338" s="1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6"/>
      <c r="L339" s="6"/>
      <c r="M339" s="3"/>
      <c r="N339" s="1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6"/>
      <c r="L340" s="6"/>
      <c r="M340" s="3"/>
      <c r="N340" s="1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6"/>
      <c r="L341" s="6"/>
      <c r="M341" s="3"/>
      <c r="N341" s="1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6"/>
      <c r="L342" s="6"/>
      <c r="M342" s="3"/>
      <c r="N342" s="1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6"/>
      <c r="L343" s="6"/>
      <c r="M343" s="3"/>
      <c r="N343" s="1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6"/>
      <c r="L344" s="6"/>
      <c r="M344" s="3"/>
      <c r="N344" s="1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6"/>
      <c r="L345" s="6"/>
      <c r="M345" s="3"/>
      <c r="N345" s="1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6"/>
      <c r="L346" s="6"/>
      <c r="M346" s="3"/>
      <c r="N346" s="1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6"/>
      <c r="L347" s="6"/>
      <c r="M347" s="3"/>
      <c r="N347" s="1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6"/>
      <c r="L348" s="6"/>
      <c r="M348" s="3"/>
      <c r="N348" s="1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6"/>
      <c r="L349" s="6"/>
      <c r="M349" s="3"/>
      <c r="N349" s="1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6"/>
      <c r="L350" s="6"/>
      <c r="M350" s="3"/>
      <c r="N350" s="1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6"/>
      <c r="L351" s="6"/>
      <c r="M351" s="3"/>
      <c r="N351" s="1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6"/>
      <c r="L352" s="6"/>
      <c r="M352" s="3"/>
      <c r="N352" s="1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6"/>
      <c r="L353" s="6"/>
      <c r="M353" s="3"/>
      <c r="N353" s="1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6"/>
      <c r="L354" s="6"/>
      <c r="M354" s="3"/>
      <c r="N354" s="1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6"/>
      <c r="L355" s="6"/>
      <c r="M355" s="3"/>
      <c r="N355" s="1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6"/>
      <c r="L356" s="6"/>
      <c r="M356" s="3"/>
      <c r="N356" s="1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6"/>
      <c r="L357" s="6"/>
      <c r="M357" s="3"/>
      <c r="N357" s="1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6"/>
      <c r="L358" s="6"/>
      <c r="M358" s="3"/>
      <c r="N358" s="1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6"/>
      <c r="L359" s="6"/>
      <c r="M359" s="3"/>
      <c r="N359" s="1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6"/>
      <c r="L360" s="6"/>
      <c r="M360" s="3"/>
      <c r="N360" s="1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6"/>
      <c r="L361" s="6"/>
      <c r="M361" s="3"/>
      <c r="N361" s="1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6"/>
      <c r="L362" s="6"/>
      <c r="M362" s="3"/>
      <c r="N362" s="1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6"/>
      <c r="L363" s="6"/>
      <c r="M363" s="3"/>
      <c r="N363" s="1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6"/>
      <c r="L364" s="6"/>
      <c r="M364" s="3"/>
      <c r="N364" s="1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6"/>
      <c r="L365" s="6"/>
      <c r="M365" s="3"/>
      <c r="N365" s="1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6"/>
      <c r="L366" s="6"/>
      <c r="M366" s="3"/>
      <c r="N366" s="1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6"/>
      <c r="L367" s="6"/>
      <c r="M367" s="3"/>
      <c r="N367" s="1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6"/>
      <c r="L368" s="6"/>
      <c r="M368" s="3"/>
      <c r="N368" s="1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6"/>
      <c r="L369" s="6"/>
      <c r="M369" s="3"/>
      <c r="N369" s="1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6"/>
      <c r="L370" s="6"/>
      <c r="M370" s="3"/>
      <c r="N370" s="1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6"/>
      <c r="L371" s="6"/>
      <c r="M371" s="3"/>
      <c r="N371" s="1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6"/>
      <c r="L372" s="6"/>
      <c r="M372" s="3"/>
      <c r="N372" s="1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6"/>
      <c r="L373" s="6"/>
      <c r="M373" s="3"/>
      <c r="N373" s="1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6"/>
      <c r="L374" s="6"/>
      <c r="M374" s="3"/>
      <c r="N374" s="1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6"/>
      <c r="L375" s="6"/>
      <c r="M375" s="3"/>
      <c r="N375" s="1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6"/>
      <c r="L376" s="6"/>
      <c r="M376" s="3"/>
      <c r="N376" s="1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6"/>
      <c r="L377" s="6"/>
      <c r="M377" s="3"/>
      <c r="N377" s="1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6"/>
      <c r="L378" s="6"/>
      <c r="M378" s="3"/>
      <c r="N378" s="1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6"/>
      <c r="L379" s="6"/>
      <c r="M379" s="3"/>
      <c r="N379" s="1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6"/>
      <c r="L380" s="6"/>
      <c r="M380" s="3"/>
      <c r="N380" s="1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6"/>
      <c r="L381" s="6"/>
      <c r="M381" s="3"/>
      <c r="N381" s="1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6"/>
      <c r="L382" s="6"/>
      <c r="M382" s="3"/>
      <c r="N382" s="1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6"/>
      <c r="L383" s="6"/>
      <c r="M383" s="3"/>
      <c r="N383" s="1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6"/>
      <c r="L384" s="6"/>
      <c r="M384" s="3"/>
      <c r="N384" s="1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6"/>
      <c r="L385" s="6"/>
      <c r="M385" s="3"/>
      <c r="N385" s="1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6"/>
      <c r="L386" s="6"/>
      <c r="M386" s="3"/>
      <c r="N386" s="1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6"/>
      <c r="L387" s="6"/>
      <c r="M387" s="3"/>
      <c r="N387" s="1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6"/>
      <c r="L388" s="6"/>
      <c r="M388" s="3"/>
      <c r="N388" s="1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6"/>
      <c r="L389" s="6"/>
      <c r="M389" s="3"/>
      <c r="N389" s="1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6"/>
      <c r="L390" s="6"/>
      <c r="M390" s="3"/>
      <c r="N390" s="1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6"/>
      <c r="L391" s="6"/>
      <c r="M391" s="3"/>
      <c r="N391" s="1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6"/>
      <c r="L392" s="6"/>
      <c r="M392" s="3"/>
      <c r="N392" s="1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6"/>
      <c r="L393" s="6"/>
      <c r="M393" s="3"/>
      <c r="N393" s="1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6"/>
      <c r="L394" s="6"/>
      <c r="M394" s="3"/>
      <c r="N394" s="1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6"/>
      <c r="L395" s="6"/>
      <c r="M395" s="3"/>
      <c r="N395" s="1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6"/>
      <c r="L396" s="6"/>
      <c r="M396" s="3"/>
      <c r="N396" s="1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6"/>
      <c r="L397" s="6"/>
      <c r="M397" s="3"/>
      <c r="N397" s="1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6"/>
      <c r="L398" s="6"/>
      <c r="M398" s="3"/>
      <c r="N398" s="1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6"/>
      <c r="L399" s="6"/>
      <c r="M399" s="3"/>
      <c r="N399" s="1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6"/>
      <c r="L400" s="6"/>
      <c r="M400" s="3"/>
      <c r="N400" s="1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6"/>
      <c r="L401" s="6"/>
      <c r="M401" s="3"/>
      <c r="N401" s="1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6"/>
      <c r="L402" s="6"/>
      <c r="M402" s="3"/>
      <c r="N402" s="1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6"/>
      <c r="L403" s="6"/>
      <c r="M403" s="3"/>
      <c r="N403" s="1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6"/>
      <c r="L404" s="6"/>
      <c r="M404" s="3"/>
      <c r="N404" s="1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6"/>
      <c r="L405" s="6"/>
      <c r="M405" s="3"/>
      <c r="N405" s="1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6"/>
      <c r="L406" s="6"/>
      <c r="M406" s="3"/>
      <c r="N406" s="1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6"/>
      <c r="L407" s="6"/>
      <c r="M407" s="3"/>
      <c r="N407" s="1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6"/>
      <c r="L408" s="6"/>
      <c r="M408" s="3"/>
      <c r="N408" s="1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6"/>
      <c r="L409" s="6"/>
      <c r="M409" s="3"/>
      <c r="N409" s="1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6"/>
      <c r="L410" s="6"/>
      <c r="M410" s="3"/>
      <c r="N410" s="1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6"/>
      <c r="L411" s="6"/>
      <c r="M411" s="3"/>
      <c r="N411" s="1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6"/>
      <c r="L412" s="6"/>
      <c r="M412" s="3"/>
      <c r="N412" s="1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6"/>
      <c r="L413" s="6"/>
      <c r="M413" s="3"/>
      <c r="N413" s="1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6"/>
      <c r="L414" s="6"/>
      <c r="M414" s="3"/>
      <c r="N414" s="1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6"/>
      <c r="L415" s="6"/>
      <c r="M415" s="3"/>
      <c r="N415" s="1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6"/>
      <c r="L416" s="6"/>
      <c r="M416" s="3"/>
      <c r="N416" s="1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6"/>
      <c r="L417" s="6"/>
      <c r="M417" s="3"/>
      <c r="N417" s="1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6"/>
      <c r="L418" s="6"/>
      <c r="M418" s="3"/>
      <c r="N418" s="1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6"/>
      <c r="L419" s="6"/>
      <c r="M419" s="3"/>
      <c r="N419" s="1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6"/>
      <c r="L420" s="6"/>
      <c r="M420" s="3"/>
      <c r="N420" s="1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6"/>
      <c r="L421" s="6"/>
      <c r="M421" s="3"/>
      <c r="N421" s="1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6"/>
      <c r="L422" s="6"/>
      <c r="M422" s="3"/>
      <c r="N422" s="1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6"/>
      <c r="L423" s="6"/>
      <c r="M423" s="3"/>
      <c r="N423" s="1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6"/>
      <c r="L424" s="6"/>
      <c r="M424" s="3"/>
      <c r="N424" s="1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6"/>
      <c r="L425" s="6"/>
      <c r="M425" s="3"/>
      <c r="N425" s="1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6"/>
      <c r="L426" s="6"/>
      <c r="M426" s="3"/>
      <c r="N426" s="1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6"/>
      <c r="L427" s="6"/>
      <c r="M427" s="3"/>
      <c r="N427" s="1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6"/>
      <c r="L428" s="6"/>
      <c r="M428" s="3"/>
      <c r="N428" s="1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6"/>
      <c r="L429" s="6"/>
      <c r="M429" s="3"/>
      <c r="N429" s="1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6"/>
      <c r="L430" s="6"/>
      <c r="M430" s="3"/>
      <c r="N430" s="1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6"/>
      <c r="L431" s="6"/>
      <c r="M431" s="3"/>
      <c r="N431" s="1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6"/>
      <c r="L432" s="6"/>
      <c r="M432" s="3"/>
      <c r="N432" s="1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6"/>
      <c r="L433" s="6"/>
      <c r="M433" s="3"/>
      <c r="N433" s="1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6"/>
      <c r="L434" s="6"/>
      <c r="M434" s="3"/>
      <c r="N434" s="1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6"/>
      <c r="L435" s="6"/>
      <c r="M435" s="3"/>
      <c r="N435" s="1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6"/>
      <c r="L436" s="6"/>
      <c r="M436" s="3"/>
      <c r="N436" s="1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6"/>
      <c r="L437" s="6"/>
      <c r="M437" s="3"/>
      <c r="N437" s="1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6"/>
      <c r="L438" s="6"/>
      <c r="M438" s="3"/>
      <c r="N438" s="1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6"/>
      <c r="L439" s="6"/>
      <c r="M439" s="3"/>
      <c r="N439" s="1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6"/>
      <c r="L440" s="6"/>
      <c r="M440" s="3"/>
      <c r="N440" s="1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6"/>
      <c r="L441" s="6"/>
      <c r="M441" s="3"/>
      <c r="N441" s="1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6"/>
      <c r="L442" s="6"/>
      <c r="M442" s="3"/>
      <c r="N442" s="1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6"/>
      <c r="L443" s="6"/>
      <c r="M443" s="3"/>
      <c r="N443" s="1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6"/>
      <c r="L444" s="6"/>
      <c r="M444" s="3"/>
      <c r="N444" s="1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6"/>
      <c r="L445" s="6"/>
      <c r="M445" s="3"/>
      <c r="N445" s="1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6"/>
      <c r="L446" s="6"/>
      <c r="M446" s="3"/>
      <c r="N446" s="1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6"/>
      <c r="L447" s="6"/>
      <c r="M447" s="3"/>
      <c r="N447" s="1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6"/>
      <c r="L448" s="6"/>
      <c r="M448" s="3"/>
      <c r="N448" s="1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6"/>
      <c r="L449" s="6"/>
      <c r="M449" s="3"/>
      <c r="N449" s="1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6"/>
      <c r="L450" s="6"/>
      <c r="M450" s="3"/>
      <c r="N450" s="1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6"/>
      <c r="L451" s="6"/>
      <c r="M451" s="3"/>
      <c r="N451" s="1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6"/>
      <c r="L452" s="6"/>
      <c r="M452" s="3"/>
      <c r="N452" s="1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6"/>
      <c r="L453" s="6"/>
      <c r="M453" s="3"/>
      <c r="N453" s="1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6"/>
      <c r="L454" s="6"/>
      <c r="M454" s="3"/>
      <c r="N454" s="1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6"/>
      <c r="L455" s="6"/>
      <c r="M455" s="3"/>
      <c r="N455" s="1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6"/>
      <c r="L456" s="6"/>
      <c r="M456" s="3"/>
      <c r="N456" s="1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6"/>
      <c r="L457" s="6"/>
      <c r="M457" s="3"/>
      <c r="N457" s="1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6"/>
      <c r="L458" s="6"/>
      <c r="M458" s="3"/>
      <c r="N458" s="1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6"/>
      <c r="L459" s="6"/>
      <c r="M459" s="3"/>
      <c r="N459" s="1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6"/>
      <c r="L460" s="6"/>
      <c r="M460" s="3"/>
      <c r="N460" s="1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6"/>
      <c r="L461" s="6"/>
      <c r="M461" s="3"/>
      <c r="N461" s="1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6"/>
      <c r="L462" s="6"/>
      <c r="M462" s="3"/>
      <c r="N462" s="1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6"/>
      <c r="L463" s="6"/>
      <c r="M463" s="3"/>
      <c r="N463" s="1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6"/>
      <c r="L464" s="6"/>
      <c r="M464" s="3"/>
      <c r="N464" s="1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6"/>
      <c r="L465" s="6"/>
      <c r="M465" s="3"/>
      <c r="N465" s="1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6"/>
      <c r="L466" s="6"/>
      <c r="M466" s="3"/>
      <c r="N466" s="1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6"/>
      <c r="L467" s="6"/>
      <c r="M467" s="3"/>
      <c r="N467" s="1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6"/>
      <c r="L468" s="6"/>
      <c r="M468" s="3"/>
      <c r="N468" s="1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6"/>
      <c r="L469" s="6"/>
      <c r="M469" s="3"/>
      <c r="N469" s="1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6"/>
      <c r="L470" s="6"/>
      <c r="M470" s="3"/>
      <c r="N470" s="1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6"/>
      <c r="L471" s="6"/>
      <c r="M471" s="3"/>
      <c r="N471" s="1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6"/>
      <c r="L472" s="6"/>
      <c r="M472" s="3"/>
      <c r="N472" s="1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6"/>
      <c r="L473" s="6"/>
      <c r="M473" s="3"/>
      <c r="N473" s="1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6"/>
      <c r="L474" s="6"/>
      <c r="M474" s="3"/>
      <c r="N474" s="1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6"/>
      <c r="L475" s="6"/>
      <c r="M475" s="3"/>
      <c r="N475" s="1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6"/>
      <c r="L476" s="6"/>
      <c r="M476" s="3"/>
      <c r="N476" s="1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6"/>
      <c r="L477" s="6"/>
      <c r="M477" s="3"/>
      <c r="N477" s="1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6"/>
      <c r="L478" s="6"/>
      <c r="M478" s="3"/>
      <c r="N478" s="1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6"/>
      <c r="L479" s="6"/>
      <c r="M479" s="3"/>
      <c r="N479" s="1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6"/>
      <c r="L480" s="6"/>
      <c r="M480" s="3"/>
      <c r="N480" s="1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6"/>
      <c r="L481" s="6"/>
      <c r="M481" s="3"/>
      <c r="N481" s="1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6"/>
      <c r="L482" s="6"/>
      <c r="M482" s="3"/>
      <c r="N482" s="1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6"/>
      <c r="L483" s="6"/>
      <c r="M483" s="3"/>
      <c r="N483" s="1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6"/>
      <c r="L484" s="6"/>
      <c r="M484" s="3"/>
      <c r="N484" s="1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6"/>
      <c r="L485" s="6"/>
      <c r="M485" s="3"/>
      <c r="N485" s="1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6"/>
      <c r="L486" s="6"/>
      <c r="M486" s="3"/>
      <c r="N486" s="1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6"/>
      <c r="L487" s="6"/>
      <c r="M487" s="3"/>
      <c r="N487" s="1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6"/>
      <c r="L488" s="6"/>
      <c r="M488" s="3"/>
      <c r="N488" s="1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6"/>
      <c r="L489" s="6"/>
      <c r="M489" s="3"/>
      <c r="N489" s="1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6"/>
      <c r="L490" s="6"/>
      <c r="M490" s="3"/>
      <c r="N490" s="1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6"/>
      <c r="L491" s="6"/>
      <c r="M491" s="3"/>
      <c r="N491" s="1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6"/>
      <c r="L492" s="6"/>
      <c r="M492" s="3"/>
      <c r="N492" s="1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6"/>
      <c r="L493" s="6"/>
      <c r="M493" s="3"/>
      <c r="N493" s="1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6"/>
      <c r="L494" s="6"/>
      <c r="M494" s="3"/>
      <c r="N494" s="1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6"/>
      <c r="L495" s="6"/>
      <c r="M495" s="3"/>
      <c r="N495" s="1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6"/>
      <c r="L496" s="6"/>
      <c r="M496" s="3"/>
      <c r="N496" s="1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6"/>
      <c r="L497" s="6"/>
      <c r="M497" s="3"/>
      <c r="N497" s="1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6"/>
      <c r="L498" s="6"/>
      <c r="M498" s="3"/>
      <c r="N498" s="1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6"/>
      <c r="L499" s="6"/>
      <c r="M499" s="3"/>
      <c r="N499" s="1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6"/>
      <c r="L500" s="6"/>
      <c r="M500" s="3"/>
      <c r="N500" s="1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6"/>
      <c r="L501" s="6"/>
      <c r="M501" s="3"/>
      <c r="N501" s="1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6"/>
      <c r="L502" s="6"/>
      <c r="M502" s="3"/>
      <c r="N502" s="1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6"/>
      <c r="L503" s="6"/>
      <c r="M503" s="3"/>
      <c r="N503" s="1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6"/>
      <c r="L504" s="6"/>
      <c r="M504" s="3"/>
      <c r="N504" s="1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6"/>
      <c r="L505" s="6"/>
      <c r="M505" s="3"/>
      <c r="N505" s="1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6"/>
      <c r="L506" s="6"/>
      <c r="M506" s="3"/>
      <c r="N506" s="1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6"/>
      <c r="L507" s="6"/>
      <c r="M507" s="3"/>
      <c r="N507" s="1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6"/>
      <c r="L508" s="6"/>
      <c r="M508" s="3"/>
      <c r="N508" s="1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6"/>
      <c r="L509" s="6"/>
      <c r="M509" s="3"/>
      <c r="N509" s="1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6"/>
      <c r="L510" s="6"/>
      <c r="M510" s="3"/>
      <c r="N510" s="1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6"/>
      <c r="L511" s="6"/>
      <c r="M511" s="3"/>
      <c r="N511" s="1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6"/>
      <c r="L512" s="6"/>
      <c r="M512" s="3"/>
      <c r="N512" s="1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6"/>
      <c r="L513" s="6"/>
      <c r="M513" s="3"/>
      <c r="N513" s="1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6"/>
      <c r="L514" s="6"/>
      <c r="M514" s="3"/>
      <c r="N514" s="1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6"/>
      <c r="L515" s="6"/>
      <c r="M515" s="3"/>
      <c r="N515" s="1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6"/>
      <c r="L516" s="6"/>
      <c r="M516" s="3"/>
      <c r="N516" s="1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6"/>
      <c r="L517" s="6"/>
      <c r="M517" s="3"/>
      <c r="N517" s="1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6"/>
      <c r="L518" s="6"/>
      <c r="M518" s="3"/>
      <c r="N518" s="1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6"/>
      <c r="L519" s="6"/>
      <c r="M519" s="3"/>
      <c r="N519" s="1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6"/>
      <c r="L520" s="6"/>
      <c r="M520" s="3"/>
      <c r="N520" s="1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6"/>
      <c r="L521" s="6"/>
      <c r="M521" s="3"/>
      <c r="N521" s="1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6"/>
      <c r="L522" s="6"/>
      <c r="M522" s="3"/>
      <c r="N522" s="1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6"/>
      <c r="L523" s="6"/>
      <c r="M523" s="3"/>
      <c r="N523" s="1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6"/>
      <c r="L524" s="6"/>
      <c r="M524" s="3"/>
      <c r="N524" s="1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6"/>
      <c r="L525" s="6"/>
      <c r="M525" s="3"/>
      <c r="N525" s="1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6"/>
      <c r="L526" s="6"/>
      <c r="M526" s="3"/>
      <c r="N526" s="1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6"/>
      <c r="L527" s="6"/>
      <c r="M527" s="3"/>
      <c r="N527" s="1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6"/>
      <c r="L528" s="6"/>
      <c r="M528" s="3"/>
      <c r="N528" s="1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6"/>
      <c r="L529" s="6"/>
      <c r="M529" s="3"/>
      <c r="N529" s="1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6"/>
      <c r="L530" s="6"/>
      <c r="M530" s="3"/>
      <c r="N530" s="1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6"/>
      <c r="L531" s="6"/>
      <c r="M531" s="3"/>
      <c r="N531" s="1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6"/>
      <c r="L532" s="6"/>
      <c r="M532" s="3"/>
      <c r="N532" s="1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6"/>
      <c r="L533" s="6"/>
      <c r="M533" s="3"/>
      <c r="N533" s="1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6"/>
      <c r="L534" s="6"/>
      <c r="M534" s="3"/>
      <c r="N534" s="1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6"/>
      <c r="L535" s="6"/>
      <c r="M535" s="3"/>
      <c r="N535" s="1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6"/>
      <c r="L536" s="6"/>
      <c r="M536" s="3"/>
      <c r="N536" s="1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6"/>
      <c r="L537" s="6"/>
      <c r="M537" s="3"/>
      <c r="N537" s="1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6"/>
      <c r="L538" s="6"/>
      <c r="M538" s="3"/>
      <c r="N538" s="1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6"/>
      <c r="L539" s="6"/>
      <c r="M539" s="3"/>
      <c r="N539" s="1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6"/>
      <c r="L540" s="6"/>
      <c r="M540" s="3"/>
      <c r="N540" s="1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6"/>
      <c r="L541" s="6"/>
      <c r="M541" s="3"/>
      <c r="N541" s="1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6"/>
      <c r="L542" s="6"/>
      <c r="M542" s="3"/>
      <c r="N542" s="1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6"/>
      <c r="L543" s="6"/>
      <c r="M543" s="3"/>
      <c r="N543" s="1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6"/>
      <c r="L544" s="6"/>
      <c r="M544" s="3"/>
      <c r="N544" s="1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6"/>
      <c r="L545" s="6"/>
      <c r="M545" s="3"/>
      <c r="N545" s="1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6"/>
      <c r="L546" s="6"/>
      <c r="M546" s="3"/>
      <c r="N546" s="1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6"/>
      <c r="L547" s="6"/>
      <c r="M547" s="3"/>
      <c r="N547" s="1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6"/>
      <c r="L548" s="6"/>
      <c r="M548" s="3"/>
      <c r="N548" s="1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6"/>
      <c r="L549" s="6"/>
      <c r="M549" s="3"/>
      <c r="N549" s="1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6"/>
      <c r="L550" s="6"/>
      <c r="M550" s="3"/>
      <c r="N550" s="1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6"/>
      <c r="L551" s="6"/>
      <c r="M551" s="3"/>
      <c r="N551" s="1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6"/>
      <c r="L552" s="6"/>
      <c r="M552" s="3"/>
      <c r="N552" s="1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6"/>
      <c r="L553" s="6"/>
      <c r="M553" s="3"/>
      <c r="N553" s="1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6"/>
      <c r="L554" s="6"/>
      <c r="M554" s="3"/>
      <c r="N554" s="1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6"/>
      <c r="L555" s="6"/>
      <c r="M555" s="3"/>
      <c r="N555" s="1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6"/>
      <c r="L556" s="6"/>
      <c r="M556" s="3"/>
      <c r="N556" s="1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6"/>
      <c r="L557" s="6"/>
      <c r="M557" s="3"/>
      <c r="N557" s="1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6"/>
      <c r="L558" s="6"/>
      <c r="M558" s="3"/>
      <c r="N558" s="1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6"/>
      <c r="L559" s="6"/>
      <c r="M559" s="3"/>
      <c r="N559" s="1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6"/>
      <c r="L560" s="6"/>
      <c r="M560" s="3"/>
      <c r="N560" s="1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6"/>
      <c r="L561" s="6"/>
      <c r="M561" s="3"/>
      <c r="N561" s="1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6"/>
      <c r="L562" s="6"/>
      <c r="M562" s="3"/>
      <c r="N562" s="1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6"/>
      <c r="L563" s="6"/>
      <c r="M563" s="3"/>
      <c r="N563" s="1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6"/>
      <c r="L564" s="6"/>
      <c r="M564" s="3"/>
      <c r="N564" s="1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6"/>
      <c r="L565" s="6"/>
      <c r="M565" s="3"/>
      <c r="N565" s="1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6"/>
      <c r="L566" s="6"/>
      <c r="M566" s="3"/>
      <c r="N566" s="1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6"/>
      <c r="L567" s="6"/>
      <c r="M567" s="3"/>
      <c r="N567" s="1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6"/>
      <c r="L568" s="6"/>
      <c r="M568" s="3"/>
      <c r="N568" s="1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6"/>
      <c r="L569" s="6"/>
      <c r="M569" s="3"/>
      <c r="N569" s="1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6"/>
      <c r="L570" s="6"/>
      <c r="M570" s="3"/>
      <c r="N570" s="1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6"/>
      <c r="L571" s="6"/>
      <c r="M571" s="3"/>
      <c r="N571" s="1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6"/>
      <c r="L572" s="6"/>
      <c r="M572" s="3"/>
      <c r="N572" s="1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6"/>
      <c r="L573" s="6"/>
      <c r="M573" s="3"/>
      <c r="N573" s="1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6"/>
      <c r="L574" s="6"/>
      <c r="M574" s="3"/>
      <c r="N574" s="1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6"/>
      <c r="L575" s="6"/>
      <c r="M575" s="3"/>
      <c r="N575" s="1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6"/>
      <c r="L576" s="6"/>
      <c r="M576" s="3"/>
      <c r="N576" s="1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6"/>
      <c r="L577" s="6"/>
      <c r="M577" s="3"/>
      <c r="N577" s="1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6"/>
      <c r="L578" s="6"/>
      <c r="M578" s="3"/>
      <c r="N578" s="1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6"/>
      <c r="L579" s="6"/>
      <c r="M579" s="3"/>
      <c r="N579" s="1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6"/>
      <c r="L580" s="6"/>
      <c r="M580" s="3"/>
      <c r="N580" s="1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6"/>
      <c r="L581" s="6"/>
      <c r="M581" s="3"/>
      <c r="N581" s="1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6"/>
      <c r="L582" s="6"/>
      <c r="M582" s="3"/>
      <c r="N582" s="1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6"/>
      <c r="L583" s="6"/>
      <c r="M583" s="3"/>
      <c r="N583" s="1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6"/>
      <c r="L584" s="6"/>
      <c r="M584" s="3"/>
      <c r="N584" s="1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6"/>
      <c r="L585" s="6"/>
      <c r="M585" s="3"/>
      <c r="N585" s="1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6"/>
      <c r="L586" s="6"/>
      <c r="M586" s="3"/>
      <c r="N586" s="1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6"/>
      <c r="L587" s="6"/>
      <c r="M587" s="3"/>
      <c r="N587" s="1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6"/>
      <c r="L588" s="6"/>
      <c r="M588" s="3"/>
      <c r="N588" s="1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6"/>
      <c r="L589" s="6"/>
      <c r="M589" s="3"/>
      <c r="N589" s="1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6"/>
      <c r="L590" s="6"/>
      <c r="M590" s="3"/>
      <c r="N590" s="1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6"/>
      <c r="L591" s="6"/>
      <c r="M591" s="3"/>
      <c r="N591" s="1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6"/>
      <c r="L592" s="6"/>
      <c r="M592" s="3"/>
      <c r="N592" s="1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6"/>
      <c r="L593" s="6"/>
      <c r="M593" s="3"/>
      <c r="N593" s="1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6"/>
      <c r="L594" s="6"/>
      <c r="M594" s="3"/>
      <c r="N594" s="1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6"/>
      <c r="L595" s="6"/>
      <c r="M595" s="3"/>
      <c r="N595" s="1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6"/>
      <c r="L596" s="6"/>
      <c r="M596" s="3"/>
      <c r="N596" s="1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6"/>
      <c r="L597" s="6"/>
      <c r="M597" s="3"/>
      <c r="N597" s="1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6"/>
      <c r="L598" s="6"/>
      <c r="M598" s="3"/>
      <c r="N598" s="1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6"/>
      <c r="L599" s="6"/>
      <c r="M599" s="3"/>
      <c r="N599" s="1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6"/>
      <c r="L600" s="6"/>
      <c r="M600" s="3"/>
      <c r="N600" s="1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6"/>
      <c r="L601" s="6"/>
      <c r="M601" s="3"/>
      <c r="N601" s="1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6"/>
      <c r="L602" s="6"/>
      <c r="M602" s="3"/>
      <c r="N602" s="1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6"/>
      <c r="L603" s="6"/>
      <c r="M603" s="3"/>
      <c r="N603" s="1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6"/>
      <c r="L604" s="6"/>
      <c r="M604" s="3"/>
      <c r="N604" s="1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6"/>
      <c r="L605" s="6"/>
      <c r="M605" s="3"/>
      <c r="N605" s="1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6"/>
      <c r="L606" s="6"/>
      <c r="M606" s="3"/>
      <c r="N606" s="1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6"/>
      <c r="L607" s="6"/>
      <c r="M607" s="3"/>
      <c r="N607" s="1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6"/>
      <c r="L608" s="6"/>
      <c r="M608" s="3"/>
      <c r="N608" s="1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6"/>
      <c r="L609" s="6"/>
      <c r="M609" s="3"/>
      <c r="N609" s="1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6"/>
      <c r="L610" s="6"/>
      <c r="M610" s="3"/>
      <c r="N610" s="1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6"/>
      <c r="L611" s="6"/>
      <c r="M611" s="3"/>
      <c r="N611" s="1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6"/>
      <c r="L612" s="6"/>
      <c r="M612" s="3"/>
      <c r="N612" s="1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6"/>
      <c r="L613" s="6"/>
      <c r="M613" s="3"/>
      <c r="N613" s="1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6"/>
      <c r="L614" s="6"/>
      <c r="M614" s="3"/>
      <c r="N614" s="1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6"/>
      <c r="L615" s="6"/>
      <c r="M615" s="3"/>
      <c r="N615" s="1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6"/>
      <c r="L616" s="6"/>
      <c r="M616" s="3"/>
      <c r="N616" s="1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6"/>
      <c r="L617" s="6"/>
      <c r="M617" s="3"/>
      <c r="N617" s="1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6"/>
      <c r="L618" s="6"/>
      <c r="M618" s="3"/>
      <c r="N618" s="1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6"/>
      <c r="L619" s="6"/>
      <c r="M619" s="3"/>
      <c r="N619" s="1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6"/>
      <c r="L620" s="6"/>
      <c r="M620" s="3"/>
      <c r="N620" s="1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6"/>
      <c r="L621" s="6"/>
      <c r="M621" s="3"/>
      <c r="N621" s="1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6"/>
      <c r="L622" s="6"/>
      <c r="M622" s="3"/>
      <c r="N622" s="1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6"/>
      <c r="L623" s="6"/>
      <c r="M623" s="3"/>
      <c r="N623" s="1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6"/>
      <c r="L624" s="6"/>
      <c r="M624" s="3"/>
      <c r="N624" s="1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6"/>
      <c r="L625" s="6"/>
      <c r="M625" s="3"/>
      <c r="N625" s="1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6"/>
      <c r="L626" s="6"/>
      <c r="M626" s="3"/>
      <c r="N626" s="1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6"/>
      <c r="L627" s="6"/>
      <c r="M627" s="3"/>
      <c r="N627" s="1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6"/>
      <c r="L628" s="6"/>
      <c r="M628" s="3"/>
      <c r="N628" s="1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6"/>
      <c r="L629" s="6"/>
      <c r="M629" s="3"/>
      <c r="N629" s="1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6"/>
      <c r="L630" s="6"/>
      <c r="M630" s="3"/>
      <c r="N630" s="1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6"/>
      <c r="L631" s="6"/>
      <c r="M631" s="3"/>
      <c r="N631" s="1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6"/>
      <c r="L632" s="6"/>
      <c r="M632" s="3"/>
      <c r="N632" s="1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6"/>
      <c r="L633" s="6"/>
      <c r="M633" s="3"/>
      <c r="N633" s="1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6"/>
      <c r="L634" s="6"/>
      <c r="M634" s="3"/>
      <c r="N634" s="1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6"/>
      <c r="L635" s="6"/>
      <c r="M635" s="3"/>
      <c r="N635" s="1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6"/>
      <c r="L636" s="6"/>
      <c r="M636" s="3"/>
      <c r="N636" s="1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6"/>
      <c r="L637" s="6"/>
      <c r="M637" s="3"/>
      <c r="N637" s="1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6"/>
      <c r="L638" s="6"/>
      <c r="M638" s="3"/>
      <c r="N638" s="1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6"/>
      <c r="L639" s="6"/>
      <c r="M639" s="3"/>
      <c r="N639" s="1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6"/>
      <c r="L640" s="6"/>
      <c r="M640" s="3"/>
      <c r="N640" s="1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6"/>
      <c r="L641" s="6"/>
      <c r="M641" s="3"/>
      <c r="N641" s="1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6"/>
      <c r="L642" s="6"/>
      <c r="M642" s="3"/>
      <c r="N642" s="1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6"/>
      <c r="L643" s="6"/>
      <c r="M643" s="3"/>
      <c r="N643" s="1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6"/>
      <c r="L644" s="6"/>
      <c r="M644" s="3"/>
      <c r="N644" s="1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6"/>
      <c r="L645" s="6"/>
      <c r="M645" s="3"/>
      <c r="N645" s="1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6"/>
      <c r="L646" s="6"/>
      <c r="M646" s="3"/>
      <c r="N646" s="1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6"/>
      <c r="L647" s="6"/>
      <c r="M647" s="3"/>
      <c r="N647" s="1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6"/>
      <c r="L648" s="6"/>
      <c r="M648" s="3"/>
      <c r="N648" s="1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6"/>
      <c r="L649" s="6"/>
      <c r="M649" s="3"/>
      <c r="N649" s="1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6"/>
      <c r="L650" s="6"/>
      <c r="M650" s="3"/>
      <c r="N650" s="1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6"/>
      <c r="L651" s="6"/>
      <c r="M651" s="3"/>
      <c r="N651" s="1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6"/>
      <c r="L652" s="6"/>
      <c r="M652" s="3"/>
      <c r="N652" s="1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6"/>
      <c r="L653" s="6"/>
      <c r="M653" s="3"/>
      <c r="N653" s="1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6"/>
      <c r="L654" s="6"/>
      <c r="M654" s="3"/>
      <c r="N654" s="1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6"/>
      <c r="L655" s="6"/>
      <c r="M655" s="3"/>
      <c r="N655" s="1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6"/>
      <c r="L656" s="6"/>
      <c r="M656" s="3"/>
      <c r="N656" s="1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6"/>
      <c r="L657" s="6"/>
      <c r="M657" s="3"/>
      <c r="N657" s="1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6"/>
      <c r="L658" s="6"/>
      <c r="M658" s="3"/>
      <c r="N658" s="1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6"/>
      <c r="L659" s="6"/>
      <c r="M659" s="3"/>
      <c r="N659" s="1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6"/>
      <c r="L660" s="6"/>
      <c r="M660" s="3"/>
      <c r="N660" s="1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6"/>
      <c r="L661" s="6"/>
      <c r="M661" s="3"/>
      <c r="N661" s="1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6"/>
      <c r="L662" s="6"/>
      <c r="M662" s="3"/>
      <c r="N662" s="1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6"/>
      <c r="L663" s="6"/>
      <c r="M663" s="3"/>
      <c r="N663" s="1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6"/>
      <c r="L664" s="6"/>
      <c r="M664" s="3"/>
      <c r="N664" s="1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6"/>
      <c r="L665" s="6"/>
      <c r="M665" s="3"/>
      <c r="N665" s="1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6"/>
      <c r="L666" s="6"/>
      <c r="M666" s="3"/>
      <c r="N666" s="1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6"/>
      <c r="L667" s="6"/>
      <c r="M667" s="3"/>
      <c r="N667" s="1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6"/>
      <c r="L668" s="6"/>
      <c r="M668" s="3"/>
      <c r="N668" s="1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6"/>
      <c r="L669" s="6"/>
      <c r="M669" s="3"/>
      <c r="N669" s="1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6"/>
      <c r="L670" s="6"/>
      <c r="M670" s="3"/>
      <c r="N670" s="1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6"/>
      <c r="L671" s="6"/>
      <c r="M671" s="3"/>
      <c r="N671" s="1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6"/>
      <c r="L672" s="6"/>
      <c r="M672" s="3"/>
      <c r="N672" s="1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6"/>
      <c r="L673" s="6"/>
      <c r="M673" s="3"/>
      <c r="N673" s="1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6"/>
      <c r="L674" s="6"/>
      <c r="M674" s="3"/>
      <c r="N674" s="1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6"/>
      <c r="L675" s="6"/>
      <c r="M675" s="3"/>
      <c r="N675" s="1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6"/>
      <c r="L676" s="6"/>
      <c r="M676" s="3"/>
      <c r="N676" s="1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6"/>
      <c r="L677" s="6"/>
      <c r="M677" s="3"/>
      <c r="N677" s="1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6"/>
      <c r="L678" s="6"/>
      <c r="M678" s="3"/>
      <c r="N678" s="1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6"/>
      <c r="L679" s="6"/>
      <c r="M679" s="3"/>
      <c r="N679" s="1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6"/>
      <c r="L680" s="6"/>
      <c r="M680" s="3"/>
      <c r="N680" s="1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6"/>
      <c r="L681" s="6"/>
      <c r="M681" s="3"/>
      <c r="N681" s="1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6"/>
      <c r="L682" s="6"/>
      <c r="M682" s="3"/>
      <c r="N682" s="1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6"/>
      <c r="L683" s="6"/>
      <c r="M683" s="3"/>
      <c r="N683" s="1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6"/>
      <c r="L684" s="6"/>
      <c r="M684" s="3"/>
      <c r="N684" s="1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6"/>
      <c r="L685" s="6"/>
      <c r="M685" s="3"/>
      <c r="N685" s="1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6"/>
      <c r="L686" s="6"/>
      <c r="M686" s="3"/>
      <c r="N686" s="1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6"/>
      <c r="L687" s="6"/>
      <c r="M687" s="3"/>
      <c r="N687" s="1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6"/>
      <c r="L688" s="6"/>
      <c r="M688" s="3"/>
      <c r="N688" s="1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6"/>
      <c r="L689" s="6"/>
      <c r="M689" s="3"/>
      <c r="N689" s="1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6"/>
      <c r="L690" s="6"/>
      <c r="M690" s="3"/>
      <c r="N690" s="1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6"/>
      <c r="L691" s="6"/>
      <c r="M691" s="3"/>
      <c r="N691" s="1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6"/>
      <c r="L692" s="6"/>
      <c r="M692" s="3"/>
      <c r="N692" s="1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6"/>
      <c r="L693" s="6"/>
      <c r="M693" s="3"/>
      <c r="N693" s="1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6"/>
      <c r="L694" s="6"/>
      <c r="M694" s="3"/>
      <c r="N694" s="1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6"/>
      <c r="L695" s="6"/>
      <c r="M695" s="3"/>
      <c r="N695" s="1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6"/>
      <c r="L696" s="6"/>
      <c r="M696" s="3"/>
      <c r="N696" s="1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6"/>
      <c r="L697" s="6"/>
      <c r="M697" s="3"/>
      <c r="N697" s="1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6"/>
      <c r="L698" s="6"/>
      <c r="M698" s="3"/>
      <c r="N698" s="1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6"/>
      <c r="L699" s="6"/>
      <c r="M699" s="3"/>
      <c r="N699" s="1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6"/>
      <c r="L700" s="6"/>
      <c r="M700" s="3"/>
      <c r="N700" s="1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6"/>
      <c r="L701" s="6"/>
      <c r="M701" s="3"/>
      <c r="N701" s="1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6"/>
      <c r="L702" s="6"/>
      <c r="M702" s="3"/>
      <c r="N702" s="1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6"/>
      <c r="L703" s="6"/>
      <c r="M703" s="3"/>
      <c r="N703" s="1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6"/>
      <c r="L704" s="6"/>
      <c r="M704" s="3"/>
      <c r="N704" s="1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6"/>
      <c r="L705" s="6"/>
      <c r="M705" s="3"/>
      <c r="N705" s="1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6"/>
      <c r="L706" s="6"/>
      <c r="M706" s="3"/>
      <c r="N706" s="1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6"/>
      <c r="L707" s="6"/>
      <c r="M707" s="3"/>
      <c r="N707" s="1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6"/>
      <c r="L708" s="6"/>
      <c r="M708" s="3"/>
      <c r="N708" s="1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6"/>
      <c r="L709" s="6"/>
      <c r="M709" s="3"/>
      <c r="N709" s="1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6"/>
      <c r="L710" s="6"/>
      <c r="M710" s="3"/>
      <c r="N710" s="1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6"/>
      <c r="L711" s="6"/>
      <c r="M711" s="3"/>
      <c r="N711" s="1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6"/>
      <c r="L712" s="6"/>
      <c r="M712" s="3"/>
      <c r="N712" s="1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6"/>
      <c r="L713" s="6"/>
      <c r="M713" s="3"/>
      <c r="N713" s="1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6"/>
      <c r="L714" s="6"/>
      <c r="M714" s="3"/>
      <c r="N714" s="1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6"/>
      <c r="L715" s="6"/>
      <c r="M715" s="3"/>
      <c r="N715" s="1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6"/>
      <c r="L716" s="6"/>
      <c r="M716" s="3"/>
      <c r="N716" s="1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6"/>
      <c r="L717" s="6"/>
      <c r="M717" s="3"/>
      <c r="N717" s="1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6"/>
      <c r="L718" s="6"/>
      <c r="M718" s="3"/>
      <c r="N718" s="1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6"/>
      <c r="L719" s="6"/>
      <c r="M719" s="3"/>
      <c r="N719" s="1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6"/>
      <c r="L720" s="6"/>
      <c r="M720" s="3"/>
      <c r="N720" s="1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6"/>
      <c r="L721" s="6"/>
      <c r="M721" s="3"/>
      <c r="N721" s="1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6"/>
      <c r="L722" s="6"/>
      <c r="M722" s="3"/>
      <c r="N722" s="1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6"/>
      <c r="L723" s="6"/>
      <c r="M723" s="3"/>
      <c r="N723" s="1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6"/>
      <c r="L724" s="6"/>
      <c r="M724" s="3"/>
      <c r="N724" s="1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6"/>
      <c r="L725" s="6"/>
      <c r="M725" s="3"/>
      <c r="N725" s="1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6"/>
      <c r="L726" s="6"/>
      <c r="M726" s="3"/>
      <c r="N726" s="1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6"/>
      <c r="L727" s="6"/>
      <c r="M727" s="3"/>
      <c r="N727" s="1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6"/>
      <c r="L728" s="6"/>
      <c r="M728" s="3"/>
      <c r="N728" s="1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6"/>
      <c r="L729" s="6"/>
      <c r="M729" s="3"/>
      <c r="N729" s="1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6"/>
      <c r="L730" s="6"/>
      <c r="M730" s="3"/>
      <c r="N730" s="1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6"/>
      <c r="L731" s="6"/>
      <c r="M731" s="3"/>
      <c r="N731" s="1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6"/>
      <c r="L732" s="6"/>
      <c r="M732" s="3"/>
      <c r="N732" s="1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6"/>
      <c r="L733" s="6"/>
      <c r="M733" s="3"/>
      <c r="N733" s="1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6"/>
      <c r="L734" s="6"/>
      <c r="M734" s="3"/>
      <c r="N734" s="1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6"/>
      <c r="L735" s="6"/>
      <c r="M735" s="3"/>
      <c r="N735" s="1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6"/>
      <c r="L736" s="6"/>
      <c r="M736" s="3"/>
      <c r="N736" s="1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6"/>
      <c r="L737" s="6"/>
      <c r="M737" s="3"/>
      <c r="N737" s="1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6"/>
      <c r="L738" s="6"/>
      <c r="M738" s="3"/>
      <c r="N738" s="1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6"/>
      <c r="L739" s="6"/>
      <c r="M739" s="3"/>
      <c r="N739" s="1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6"/>
      <c r="L740" s="6"/>
      <c r="M740" s="3"/>
      <c r="N740" s="1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6"/>
      <c r="L741" s="6"/>
      <c r="M741" s="3"/>
      <c r="N741" s="1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6"/>
      <c r="L742" s="6"/>
      <c r="M742" s="3"/>
      <c r="N742" s="1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6"/>
      <c r="L743" s="6"/>
      <c r="M743" s="3"/>
      <c r="N743" s="1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6"/>
      <c r="L744" s="6"/>
      <c r="M744" s="3"/>
      <c r="N744" s="1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6"/>
      <c r="L745" s="6"/>
      <c r="M745" s="3"/>
      <c r="N745" s="1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6"/>
      <c r="L746" s="6"/>
      <c r="M746" s="3"/>
      <c r="N746" s="1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6"/>
      <c r="L747" s="6"/>
      <c r="M747" s="3"/>
      <c r="N747" s="1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6"/>
      <c r="L748" s="6"/>
      <c r="M748" s="3"/>
      <c r="N748" s="1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6"/>
      <c r="L749" s="6"/>
      <c r="M749" s="3"/>
      <c r="N749" s="1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6"/>
      <c r="L750" s="6"/>
      <c r="M750" s="3"/>
      <c r="N750" s="1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6"/>
      <c r="L751" s="6"/>
      <c r="M751" s="3"/>
      <c r="N751" s="1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6"/>
      <c r="L752" s="6"/>
      <c r="M752" s="3"/>
      <c r="N752" s="1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6"/>
      <c r="L753" s="6"/>
      <c r="M753" s="3"/>
      <c r="N753" s="1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6"/>
      <c r="L754" s="6"/>
      <c r="M754" s="3"/>
      <c r="N754" s="1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6"/>
      <c r="L755" s="6"/>
      <c r="M755" s="3"/>
      <c r="N755" s="1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6"/>
      <c r="L756" s="6"/>
      <c r="M756" s="3"/>
      <c r="N756" s="1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6"/>
      <c r="L757" s="6"/>
      <c r="M757" s="3"/>
      <c r="N757" s="1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6"/>
      <c r="L758" s="6"/>
      <c r="M758" s="3"/>
      <c r="N758" s="1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6"/>
      <c r="L759" s="6"/>
      <c r="M759" s="3"/>
      <c r="N759" s="1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6"/>
      <c r="L760" s="6"/>
      <c r="M760" s="3"/>
      <c r="N760" s="1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6"/>
      <c r="L761" s="6"/>
      <c r="M761" s="3"/>
      <c r="N761" s="1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6"/>
      <c r="L762" s="6"/>
      <c r="M762" s="3"/>
      <c r="N762" s="1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6"/>
      <c r="L763" s="6"/>
      <c r="M763" s="3"/>
      <c r="N763" s="1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6"/>
      <c r="L764" s="6"/>
      <c r="M764" s="3"/>
      <c r="N764" s="1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6"/>
      <c r="L765" s="6"/>
      <c r="M765" s="3"/>
      <c r="N765" s="1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6"/>
      <c r="L766" s="6"/>
      <c r="M766" s="3"/>
      <c r="N766" s="1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6"/>
      <c r="L767" s="6"/>
      <c r="M767" s="3"/>
      <c r="N767" s="1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6"/>
      <c r="L768" s="6"/>
      <c r="M768" s="3"/>
      <c r="N768" s="1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6"/>
      <c r="L769" s="6"/>
      <c r="M769" s="3"/>
      <c r="N769" s="1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6"/>
      <c r="L770" s="6"/>
      <c r="M770" s="3"/>
      <c r="N770" s="1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6"/>
      <c r="L771" s="6"/>
      <c r="M771" s="3"/>
      <c r="N771" s="1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6"/>
      <c r="L772" s="6"/>
      <c r="M772" s="3"/>
      <c r="N772" s="1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6"/>
      <c r="L773" s="6"/>
      <c r="M773" s="3"/>
      <c r="N773" s="1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6"/>
      <c r="L774" s="6"/>
      <c r="M774" s="3"/>
      <c r="N774" s="1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6"/>
      <c r="L775" s="6"/>
      <c r="M775" s="3"/>
      <c r="N775" s="1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6"/>
      <c r="L776" s="6"/>
      <c r="M776" s="3"/>
      <c r="N776" s="1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6"/>
      <c r="L777" s="6"/>
      <c r="M777" s="3"/>
      <c r="N777" s="1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6"/>
      <c r="L778" s="6"/>
      <c r="M778" s="3"/>
      <c r="N778" s="1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6"/>
      <c r="L779" s="6"/>
      <c r="M779" s="3"/>
      <c r="N779" s="1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6"/>
      <c r="L780" s="6"/>
      <c r="M780" s="3"/>
      <c r="N780" s="1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6"/>
      <c r="L781" s="6"/>
      <c r="M781" s="3"/>
      <c r="N781" s="1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6"/>
      <c r="L782" s="6"/>
      <c r="M782" s="3"/>
      <c r="N782" s="1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6"/>
      <c r="L783" s="6"/>
      <c r="M783" s="3"/>
      <c r="N783" s="1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6"/>
      <c r="L784" s="6"/>
      <c r="M784" s="3"/>
      <c r="N784" s="1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6"/>
      <c r="L785" s="6"/>
      <c r="M785" s="3"/>
      <c r="N785" s="1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6"/>
      <c r="L786" s="6"/>
      <c r="M786" s="3"/>
      <c r="N786" s="1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6"/>
      <c r="L787" s="6"/>
      <c r="M787" s="3"/>
      <c r="N787" s="1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6"/>
      <c r="L788" s="6"/>
      <c r="M788" s="3"/>
      <c r="N788" s="1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6"/>
      <c r="L789" s="6"/>
      <c r="M789" s="3"/>
      <c r="N789" s="1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6"/>
      <c r="L790" s="6"/>
      <c r="M790" s="3"/>
      <c r="N790" s="1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6"/>
      <c r="L791" s="6"/>
      <c r="M791" s="3"/>
      <c r="N791" s="1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6"/>
      <c r="L792" s="6"/>
      <c r="M792" s="3"/>
      <c r="N792" s="1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6"/>
      <c r="L793" s="6"/>
      <c r="M793" s="3"/>
      <c r="N793" s="1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6"/>
      <c r="L794" s="6"/>
      <c r="M794" s="3"/>
      <c r="N794" s="1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6"/>
      <c r="L795" s="6"/>
      <c r="M795" s="3"/>
      <c r="N795" s="1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6"/>
      <c r="L796" s="6"/>
      <c r="M796" s="3"/>
      <c r="N796" s="1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6"/>
      <c r="L797" s="6"/>
      <c r="M797" s="3"/>
      <c r="N797" s="1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6"/>
      <c r="L798" s="6"/>
      <c r="M798" s="3"/>
      <c r="N798" s="1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6"/>
      <c r="L799" s="6"/>
      <c r="M799" s="3"/>
      <c r="N799" s="1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6"/>
      <c r="L800" s="6"/>
      <c r="M800" s="3"/>
      <c r="N800" s="1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6"/>
      <c r="L801" s="6"/>
      <c r="M801" s="3"/>
      <c r="N801" s="1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6"/>
      <c r="L802" s="6"/>
      <c r="M802" s="3"/>
      <c r="N802" s="1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6"/>
      <c r="L803" s="6"/>
      <c r="M803" s="3"/>
      <c r="N803" s="1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6"/>
      <c r="L804" s="6"/>
      <c r="M804" s="3"/>
      <c r="N804" s="1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6"/>
      <c r="L805" s="6"/>
      <c r="M805" s="3"/>
      <c r="N805" s="1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6"/>
      <c r="L806" s="6"/>
      <c r="M806" s="3"/>
      <c r="N806" s="1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6"/>
      <c r="L807" s="6"/>
      <c r="M807" s="3"/>
      <c r="N807" s="1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6"/>
      <c r="L808" s="6"/>
      <c r="M808" s="3"/>
      <c r="N808" s="1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6"/>
      <c r="L809" s="6"/>
      <c r="M809" s="3"/>
      <c r="N809" s="1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6"/>
      <c r="L810" s="6"/>
      <c r="M810" s="3"/>
      <c r="N810" s="1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6"/>
      <c r="L811" s="6"/>
      <c r="M811" s="3"/>
      <c r="N811" s="1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6"/>
      <c r="L812" s="6"/>
      <c r="M812" s="3"/>
      <c r="N812" s="1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6"/>
      <c r="L813" s="6"/>
      <c r="M813" s="3"/>
      <c r="N813" s="1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6"/>
      <c r="L814" s="6"/>
      <c r="M814" s="3"/>
      <c r="N814" s="1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6"/>
      <c r="L815" s="6"/>
      <c r="M815" s="3"/>
      <c r="N815" s="1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6"/>
      <c r="L816" s="6"/>
      <c r="M816" s="3"/>
      <c r="N816" s="1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6"/>
      <c r="L817" s="6"/>
      <c r="M817" s="3"/>
      <c r="N817" s="1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6"/>
      <c r="L818" s="6"/>
      <c r="M818" s="3"/>
      <c r="N818" s="1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6"/>
      <c r="L819" s="6"/>
      <c r="M819" s="3"/>
      <c r="N819" s="1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6"/>
      <c r="L820" s="6"/>
      <c r="M820" s="3"/>
      <c r="N820" s="1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6"/>
      <c r="L821" s="6"/>
      <c r="M821" s="3"/>
      <c r="N821" s="1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6"/>
      <c r="L822" s="6"/>
      <c r="M822" s="3"/>
      <c r="N822" s="1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6"/>
      <c r="L823" s="6"/>
      <c r="M823" s="3"/>
      <c r="N823" s="1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6"/>
      <c r="L824" s="6"/>
      <c r="M824" s="3"/>
      <c r="N824" s="1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6"/>
      <c r="L825" s="6"/>
      <c r="M825" s="3"/>
      <c r="N825" s="1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6"/>
      <c r="L826" s="6"/>
      <c r="M826" s="3"/>
      <c r="N826" s="1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6"/>
      <c r="L827" s="6"/>
      <c r="M827" s="3"/>
      <c r="N827" s="1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6"/>
      <c r="L828" s="6"/>
      <c r="M828" s="3"/>
      <c r="N828" s="1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6"/>
      <c r="L829" s="6"/>
      <c r="M829" s="3"/>
      <c r="N829" s="1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6"/>
      <c r="L830" s="6"/>
      <c r="M830" s="3"/>
      <c r="N830" s="1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6"/>
      <c r="L831" s="6"/>
      <c r="M831" s="3"/>
      <c r="N831" s="1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6"/>
      <c r="L832" s="6"/>
      <c r="M832" s="3"/>
      <c r="N832" s="1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6"/>
      <c r="L833" s="6"/>
      <c r="M833" s="3"/>
      <c r="N833" s="1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6"/>
      <c r="L834" s="6"/>
      <c r="M834" s="3"/>
      <c r="N834" s="1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6"/>
      <c r="L835" s="6"/>
      <c r="M835" s="3"/>
      <c r="N835" s="1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6"/>
      <c r="L836" s="6"/>
      <c r="M836" s="3"/>
      <c r="N836" s="1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6"/>
      <c r="L837" s="6"/>
      <c r="M837" s="3"/>
      <c r="N837" s="1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6"/>
      <c r="L838" s="6"/>
      <c r="M838" s="3"/>
      <c r="N838" s="1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6"/>
      <c r="L839" s="6"/>
      <c r="M839" s="3"/>
      <c r="N839" s="1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6"/>
      <c r="L840" s="6"/>
      <c r="M840" s="3"/>
      <c r="N840" s="1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6"/>
      <c r="L841" s="6"/>
      <c r="M841" s="3"/>
      <c r="N841" s="1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6"/>
      <c r="L842" s="6"/>
      <c r="M842" s="3"/>
      <c r="N842" s="1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6"/>
      <c r="L843" s="6"/>
      <c r="M843" s="3"/>
      <c r="N843" s="1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6"/>
      <c r="L844" s="6"/>
      <c r="M844" s="3"/>
      <c r="N844" s="1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6"/>
      <c r="L845" s="6"/>
      <c r="M845" s="3"/>
      <c r="N845" s="1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6"/>
      <c r="L846" s="6"/>
      <c r="M846" s="3"/>
      <c r="N846" s="1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6"/>
      <c r="L847" s="6"/>
      <c r="M847" s="3"/>
      <c r="N847" s="1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6"/>
      <c r="L848" s="6"/>
      <c r="M848" s="3"/>
      <c r="N848" s="1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6"/>
      <c r="L849" s="6"/>
      <c r="M849" s="3"/>
      <c r="N849" s="1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6"/>
      <c r="L850" s="6"/>
      <c r="M850" s="3"/>
      <c r="N850" s="1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6"/>
      <c r="L851" s="6"/>
      <c r="M851" s="3"/>
      <c r="N851" s="1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6"/>
      <c r="L852" s="6"/>
      <c r="M852" s="3"/>
      <c r="N852" s="1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6"/>
      <c r="L853" s="6"/>
      <c r="M853" s="3"/>
      <c r="N853" s="1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6"/>
      <c r="L854" s="6"/>
      <c r="M854" s="3"/>
      <c r="N854" s="1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6"/>
      <c r="L855" s="6"/>
      <c r="M855" s="3"/>
      <c r="N855" s="1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6"/>
      <c r="L856" s="6"/>
      <c r="M856" s="3"/>
      <c r="N856" s="1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6"/>
      <c r="L857" s="6"/>
      <c r="M857" s="3"/>
      <c r="N857" s="1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6"/>
      <c r="L858" s="6"/>
      <c r="M858" s="3"/>
      <c r="N858" s="1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6"/>
      <c r="L859" s="6"/>
      <c r="M859" s="3"/>
      <c r="N859" s="1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6"/>
      <c r="L860" s="6"/>
      <c r="M860" s="3"/>
      <c r="N860" s="1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6"/>
      <c r="L861" s="6"/>
      <c r="M861" s="3"/>
      <c r="N861" s="1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6"/>
      <c r="L862" s="6"/>
      <c r="M862" s="3"/>
      <c r="N862" s="1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6"/>
      <c r="L863" s="6"/>
      <c r="M863" s="3"/>
      <c r="N863" s="1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6"/>
      <c r="L864" s="6"/>
      <c r="M864" s="3"/>
      <c r="N864" s="1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6"/>
      <c r="L865" s="6"/>
      <c r="M865" s="3"/>
      <c r="N865" s="1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6"/>
      <c r="L866" s="6"/>
      <c r="M866" s="3"/>
      <c r="N866" s="1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6"/>
      <c r="L867" s="6"/>
      <c r="M867" s="3"/>
      <c r="N867" s="1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6"/>
      <c r="L868" s="6"/>
      <c r="M868" s="3"/>
      <c r="N868" s="1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6"/>
      <c r="L869" s="6"/>
      <c r="M869" s="3"/>
      <c r="N869" s="1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6"/>
      <c r="L870" s="6"/>
      <c r="M870" s="3"/>
      <c r="N870" s="1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6"/>
      <c r="L871" s="6"/>
      <c r="M871" s="3"/>
      <c r="N871" s="1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6"/>
      <c r="L872" s="6"/>
      <c r="M872" s="3"/>
      <c r="N872" s="1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6"/>
      <c r="L873" s="6"/>
      <c r="M873" s="3"/>
      <c r="N873" s="1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6"/>
      <c r="L874" s="6"/>
      <c r="M874" s="3"/>
      <c r="N874" s="1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6"/>
      <c r="L875" s="6"/>
      <c r="M875" s="3"/>
      <c r="N875" s="1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6"/>
      <c r="L876" s="6"/>
      <c r="M876" s="3"/>
      <c r="N876" s="1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6"/>
      <c r="L877" s="6"/>
      <c r="M877" s="3"/>
      <c r="N877" s="1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6"/>
      <c r="L878" s="6"/>
      <c r="M878" s="3"/>
      <c r="N878" s="1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6"/>
      <c r="L879" s="6"/>
      <c r="M879" s="3"/>
      <c r="N879" s="1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6"/>
      <c r="L880" s="6"/>
      <c r="M880" s="3"/>
      <c r="N880" s="1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6"/>
      <c r="L881" s="6"/>
      <c r="M881" s="3"/>
      <c r="N881" s="1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6"/>
      <c r="L882" s="6"/>
      <c r="M882" s="3"/>
      <c r="N882" s="1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6"/>
      <c r="L883" s="6"/>
      <c r="M883" s="3"/>
      <c r="N883" s="1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6"/>
      <c r="L884" s="6"/>
      <c r="M884" s="3"/>
      <c r="N884" s="1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6"/>
      <c r="L885" s="6"/>
      <c r="M885" s="3"/>
      <c r="N885" s="1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6"/>
      <c r="L886" s="6"/>
      <c r="M886" s="3"/>
      <c r="N886" s="1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6"/>
      <c r="L887" s="6"/>
      <c r="M887" s="3"/>
      <c r="N887" s="1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6"/>
      <c r="L888" s="6"/>
      <c r="M888" s="3"/>
      <c r="N888" s="1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6"/>
      <c r="L889" s="6"/>
      <c r="M889" s="3"/>
      <c r="N889" s="1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6"/>
      <c r="L890" s="6"/>
      <c r="M890" s="3"/>
      <c r="N890" s="1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6"/>
      <c r="L891" s="6"/>
      <c r="M891" s="3"/>
      <c r="N891" s="1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6"/>
      <c r="L892" s="6"/>
      <c r="M892" s="3"/>
      <c r="N892" s="1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6"/>
      <c r="L893" s="6"/>
      <c r="M893" s="3"/>
      <c r="N893" s="1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6"/>
      <c r="L894" s="6"/>
      <c r="M894" s="3"/>
      <c r="N894" s="1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6"/>
      <c r="L895" s="6"/>
      <c r="M895" s="3"/>
      <c r="N895" s="1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6"/>
      <c r="L896" s="6"/>
      <c r="M896" s="3"/>
      <c r="N896" s="1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6"/>
      <c r="L897" s="6"/>
      <c r="M897" s="3"/>
      <c r="N897" s="1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6"/>
      <c r="L898" s="6"/>
      <c r="M898" s="3"/>
      <c r="N898" s="1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6"/>
      <c r="L899" s="6"/>
      <c r="M899" s="3"/>
      <c r="N899" s="1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6"/>
      <c r="L900" s="6"/>
      <c r="M900" s="3"/>
      <c r="N900" s="1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6"/>
      <c r="L901" s="6"/>
      <c r="M901" s="3"/>
      <c r="N901" s="1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6"/>
      <c r="L902" s="6"/>
      <c r="M902" s="3"/>
      <c r="N902" s="1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6"/>
      <c r="L903" s="6"/>
      <c r="M903" s="3"/>
      <c r="N903" s="1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6"/>
      <c r="L904" s="6"/>
      <c r="M904" s="3"/>
      <c r="N904" s="1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6"/>
      <c r="L905" s="6"/>
      <c r="M905" s="3"/>
      <c r="N905" s="1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6"/>
      <c r="L906" s="6"/>
      <c r="M906" s="3"/>
      <c r="N906" s="1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6"/>
      <c r="L907" s="6"/>
      <c r="M907" s="3"/>
      <c r="N907" s="1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6"/>
      <c r="L908" s="6"/>
      <c r="M908" s="3"/>
      <c r="N908" s="1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6"/>
      <c r="L909" s="6"/>
      <c r="M909" s="3"/>
      <c r="N909" s="1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6"/>
      <c r="L910" s="6"/>
      <c r="M910" s="3"/>
      <c r="N910" s="1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6"/>
      <c r="L911" s="6"/>
      <c r="M911" s="3"/>
      <c r="N911" s="1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6"/>
      <c r="L912" s="6"/>
      <c r="M912" s="3"/>
      <c r="N912" s="1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6"/>
      <c r="L913" s="6"/>
      <c r="M913" s="3"/>
      <c r="N913" s="1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6"/>
      <c r="L914" s="6"/>
      <c r="M914" s="3"/>
      <c r="N914" s="1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6"/>
      <c r="L915" s="6"/>
      <c r="M915" s="3"/>
      <c r="N915" s="1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6"/>
      <c r="L916" s="6"/>
      <c r="M916" s="3"/>
      <c r="N916" s="1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6"/>
      <c r="L917" s="6"/>
      <c r="M917" s="3"/>
      <c r="N917" s="1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6"/>
      <c r="L918" s="6"/>
      <c r="M918" s="3"/>
      <c r="N918" s="1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6"/>
      <c r="L919" s="6"/>
      <c r="M919" s="3"/>
      <c r="N919" s="1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6"/>
      <c r="L920" s="6"/>
      <c r="M920" s="3"/>
      <c r="N920" s="1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6"/>
      <c r="L921" s="6"/>
      <c r="M921" s="3"/>
      <c r="N921" s="1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6"/>
      <c r="L922" s="6"/>
      <c r="M922" s="3"/>
      <c r="N922" s="1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6"/>
      <c r="L923" s="6"/>
      <c r="M923" s="3"/>
      <c r="N923" s="1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6"/>
      <c r="L924" s="6"/>
      <c r="M924" s="3"/>
      <c r="N924" s="1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6"/>
      <c r="L925" s="6"/>
      <c r="M925" s="3"/>
      <c r="N925" s="1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6"/>
      <c r="L926" s="6"/>
      <c r="M926" s="3"/>
      <c r="N926" s="1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6"/>
      <c r="L927" s="6"/>
      <c r="M927" s="3"/>
      <c r="N927" s="1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6"/>
      <c r="L928" s="6"/>
      <c r="M928" s="3"/>
      <c r="N928" s="1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6"/>
      <c r="L929" s="6"/>
      <c r="M929" s="3"/>
      <c r="N929" s="1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6"/>
      <c r="L930" s="6"/>
      <c r="M930" s="3"/>
      <c r="N930" s="1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6"/>
      <c r="L931" s="6"/>
      <c r="M931" s="3"/>
      <c r="N931" s="1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6"/>
      <c r="L932" s="6"/>
      <c r="M932" s="3"/>
      <c r="N932" s="1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6"/>
      <c r="L933" s="6"/>
      <c r="M933" s="3"/>
      <c r="N933" s="1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6"/>
      <c r="L934" s="6"/>
      <c r="M934" s="3"/>
      <c r="N934" s="1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6"/>
      <c r="L935" s="6"/>
      <c r="M935" s="3"/>
      <c r="N935" s="1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6"/>
      <c r="L936" s="6"/>
      <c r="M936" s="3"/>
      <c r="N936" s="1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6"/>
      <c r="L937" s="6"/>
      <c r="M937" s="3"/>
      <c r="N937" s="1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6"/>
      <c r="L938" s="6"/>
      <c r="M938" s="3"/>
      <c r="N938" s="1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6"/>
      <c r="L939" s="6"/>
      <c r="M939" s="3"/>
      <c r="N939" s="1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6"/>
      <c r="L940" s="6"/>
      <c r="M940" s="3"/>
      <c r="N940" s="1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6"/>
      <c r="L941" s="6"/>
      <c r="M941" s="3"/>
      <c r="N941" s="1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6"/>
      <c r="L942" s="6"/>
      <c r="M942" s="3"/>
      <c r="N942" s="1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6"/>
      <c r="L943" s="6"/>
      <c r="M943" s="3"/>
      <c r="N943" s="1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6"/>
      <c r="L944" s="6"/>
      <c r="M944" s="3"/>
      <c r="N944" s="1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6"/>
      <c r="L945" s="6"/>
      <c r="M945" s="3"/>
      <c r="N945" s="1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6"/>
      <c r="L946" s="6"/>
      <c r="M946" s="3"/>
      <c r="N946" s="1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6"/>
      <c r="L947" s="6"/>
      <c r="M947" s="3"/>
      <c r="N947" s="1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6"/>
      <c r="L948" s="6"/>
      <c r="M948" s="3"/>
      <c r="N948" s="1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6"/>
      <c r="L949" s="6"/>
      <c r="M949" s="3"/>
      <c r="N949" s="1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6"/>
      <c r="L950" s="6"/>
      <c r="M950" s="3"/>
      <c r="N950" s="1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6"/>
      <c r="L951" s="6"/>
      <c r="M951" s="3"/>
      <c r="N951" s="1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6"/>
      <c r="L952" s="6"/>
      <c r="M952" s="3"/>
      <c r="N952" s="1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6"/>
      <c r="L953" s="6"/>
      <c r="M953" s="3"/>
      <c r="N953" s="1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6"/>
      <c r="L954" s="6"/>
      <c r="M954" s="3"/>
      <c r="N954" s="1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6"/>
      <c r="L955" s="6"/>
      <c r="M955" s="3"/>
      <c r="N955" s="1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6"/>
      <c r="L956" s="6"/>
      <c r="M956" s="3"/>
      <c r="N956" s="1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6"/>
      <c r="L957" s="6"/>
      <c r="M957" s="3"/>
      <c r="N957" s="1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6"/>
      <c r="L958" s="6"/>
      <c r="M958" s="3"/>
      <c r="N958" s="1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6"/>
      <c r="L959" s="6"/>
      <c r="M959" s="3"/>
      <c r="N959" s="1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6"/>
      <c r="L960" s="6"/>
      <c r="M960" s="3"/>
      <c r="N960" s="1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6"/>
      <c r="L961" s="6"/>
      <c r="M961" s="3"/>
      <c r="N961" s="1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6"/>
      <c r="L962" s="6"/>
      <c r="M962" s="3"/>
      <c r="N962" s="1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6"/>
      <c r="L963" s="6"/>
      <c r="M963" s="3"/>
      <c r="N963" s="1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6"/>
      <c r="L964" s="6"/>
      <c r="M964" s="3"/>
      <c r="N964" s="1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6"/>
      <c r="L965" s="6"/>
      <c r="M965" s="3"/>
      <c r="N965" s="1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6"/>
      <c r="L966" s="6"/>
      <c r="M966" s="3"/>
      <c r="N966" s="1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6"/>
      <c r="L967" s="6"/>
      <c r="M967" s="3"/>
      <c r="N967" s="1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6"/>
      <c r="L968" s="6"/>
      <c r="M968" s="3"/>
      <c r="N968" s="1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6"/>
      <c r="L969" s="6"/>
      <c r="M969" s="3"/>
      <c r="N969" s="1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6"/>
      <c r="L970" s="6"/>
      <c r="M970" s="3"/>
      <c r="N970" s="1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6"/>
      <c r="L971" s="6"/>
      <c r="M971" s="3"/>
      <c r="N971" s="1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6"/>
      <c r="L972" s="6"/>
      <c r="M972" s="3"/>
      <c r="N972" s="1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6"/>
      <c r="L973" s="6"/>
      <c r="M973" s="3"/>
      <c r="N973" s="1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6"/>
      <c r="L974" s="6"/>
      <c r="M974" s="3"/>
      <c r="N974" s="1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6"/>
      <c r="L975" s="6"/>
      <c r="M975" s="3"/>
      <c r="N975" s="1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6"/>
      <c r="L976" s="6"/>
      <c r="M976" s="3"/>
      <c r="N976" s="1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6"/>
      <c r="L977" s="6"/>
      <c r="M977" s="3"/>
      <c r="N977" s="1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6"/>
      <c r="L978" s="6"/>
      <c r="M978" s="3"/>
      <c r="N978" s="1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6"/>
      <c r="L979" s="6"/>
      <c r="M979" s="3"/>
      <c r="N979" s="1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6"/>
      <c r="L980" s="6"/>
      <c r="M980" s="3"/>
      <c r="N980" s="1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6"/>
      <c r="L981" s="6"/>
      <c r="M981" s="3"/>
      <c r="N981" s="1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6"/>
      <c r="L982" s="6"/>
      <c r="M982" s="3"/>
      <c r="N982" s="1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6"/>
      <c r="L983" s="6"/>
      <c r="M983" s="3"/>
      <c r="N983" s="1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6"/>
      <c r="L984" s="6"/>
      <c r="M984" s="3"/>
      <c r="N984" s="1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6"/>
      <c r="L985" s="6"/>
      <c r="M985" s="3"/>
      <c r="N985" s="1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6"/>
      <c r="L986" s="6"/>
      <c r="M986" s="3"/>
      <c r="N986" s="1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6"/>
      <c r="L987" s="6"/>
      <c r="M987" s="3"/>
      <c r="N987" s="1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6"/>
      <c r="L988" s="6"/>
      <c r="M988" s="3"/>
      <c r="N988" s="1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6"/>
      <c r="L989" s="6"/>
      <c r="M989" s="3"/>
      <c r="N989" s="1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6"/>
      <c r="L990" s="6"/>
      <c r="M990" s="3"/>
      <c r="N990" s="1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 x14ac:dyDescent="0.25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6"/>
      <c r="L991" s="6"/>
      <c r="M991" s="3"/>
      <c r="N991" s="1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 x14ac:dyDescent="0.2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6"/>
      <c r="L992" s="6"/>
      <c r="M992" s="3"/>
      <c r="N992" s="1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 x14ac:dyDescent="0.2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6"/>
      <c r="L993" s="6"/>
      <c r="M993" s="3"/>
      <c r="N993" s="1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 x14ac:dyDescent="0.2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6"/>
      <c r="L994" s="6"/>
      <c r="M994" s="3"/>
      <c r="N994" s="1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 x14ac:dyDescent="0.2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6"/>
      <c r="L995" s="6"/>
      <c r="M995" s="3"/>
      <c r="N995" s="1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 x14ac:dyDescent="0.2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6"/>
      <c r="L996" s="6"/>
      <c r="M996" s="3"/>
      <c r="N996" s="1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 x14ac:dyDescent="0.2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6"/>
      <c r="L997" s="6"/>
      <c r="M997" s="3"/>
      <c r="N997" s="1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 x14ac:dyDescent="0.2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6"/>
      <c r="L998" s="6"/>
      <c r="M998" s="3"/>
      <c r="N998" s="1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 x14ac:dyDescent="0.25"/>
    <row r="1000" spans="1:27" ht="15.75" customHeight="1" x14ac:dyDescent="0.25"/>
  </sheetData>
  <dataValidations count="4">
    <dataValidation type="date" allowBlank="1" sqref="B2:B1000" xr:uid="{00000000-0002-0000-0000-000000000000}">
      <formula1>1/1/2020</formula1>
      <formula2>12/31/2030</formula2>
    </dataValidation>
    <dataValidation type="list" allowBlank="1" sqref="M2:M1000" xr:uid="{00000000-0002-0000-0000-000001000000}">
      <formula1>"Win,Loss"</formula1>
    </dataValidation>
    <dataValidation type="list" allowBlank="1" sqref="D2:D1000" xr:uid="{00000000-0002-0000-0000-000002000000}">
      <formula1>"ES,MES,NQ,MNQ,YM,RTY,GC,MGC,CL,MCL,QM"</formula1>
    </dataValidation>
    <dataValidation type="list" allowBlank="1" sqref="E2:E1000" xr:uid="{00000000-0002-0000-0000-000003000000}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 s="2" t="s">
        <v>20</v>
      </c>
      <c r="B2" s="2">
        <v>50</v>
      </c>
    </row>
    <row r="3" spans="1:2" x14ac:dyDescent="0.25">
      <c r="A3" s="2" t="s">
        <v>21</v>
      </c>
      <c r="B3" s="2">
        <v>5</v>
      </c>
    </row>
    <row r="4" spans="1:2" x14ac:dyDescent="0.25">
      <c r="A4" s="2" t="s">
        <v>22</v>
      </c>
      <c r="B4" s="2">
        <v>20</v>
      </c>
    </row>
    <row r="5" spans="1:2" x14ac:dyDescent="0.25">
      <c r="A5" s="2" t="s">
        <v>7</v>
      </c>
      <c r="B5" s="2">
        <v>2</v>
      </c>
    </row>
    <row r="6" spans="1:2" x14ac:dyDescent="0.25">
      <c r="A6" s="2" t="s">
        <v>23</v>
      </c>
      <c r="B6" s="2">
        <v>5</v>
      </c>
    </row>
    <row r="7" spans="1:2" x14ac:dyDescent="0.25">
      <c r="A7" s="2" t="s">
        <v>24</v>
      </c>
      <c r="B7" s="2">
        <v>50</v>
      </c>
    </row>
    <row r="8" spans="1:2" x14ac:dyDescent="0.25">
      <c r="A8" s="2" t="s">
        <v>25</v>
      </c>
      <c r="B8" s="2">
        <v>100</v>
      </c>
    </row>
    <row r="9" spans="1:2" x14ac:dyDescent="0.25">
      <c r="A9" s="2" t="s">
        <v>12</v>
      </c>
      <c r="B9" s="2">
        <v>10</v>
      </c>
    </row>
    <row r="10" spans="1:2" x14ac:dyDescent="0.25">
      <c r="A10" s="2" t="s">
        <v>26</v>
      </c>
      <c r="B10" s="2">
        <v>1000</v>
      </c>
    </row>
    <row r="11" spans="1:2" x14ac:dyDescent="0.25">
      <c r="A11" s="2" t="s">
        <v>27</v>
      </c>
      <c r="B11" s="2">
        <v>100</v>
      </c>
    </row>
    <row r="12" spans="1:2" x14ac:dyDescent="0.25">
      <c r="A12" s="2" t="s">
        <v>28</v>
      </c>
      <c r="B12" s="2">
        <v>500</v>
      </c>
    </row>
    <row r="13" spans="1:2" x14ac:dyDescent="0.25">
      <c r="A13" t="s">
        <v>29</v>
      </c>
      <c r="B13">
        <v>0.5</v>
      </c>
    </row>
    <row r="14" spans="1:2" x14ac:dyDescent="0.25">
      <c r="A14" t="s">
        <v>30</v>
      </c>
      <c r="B14">
        <v>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16" customWidth="1"/>
    <col min="2" max="2" width="19" customWidth="1"/>
    <col min="3" max="3" width="22" customWidth="1"/>
    <col min="4" max="7" width="16" customWidth="1"/>
  </cols>
  <sheetData>
    <row r="1" spans="1:9" x14ac:dyDescent="0.25">
      <c r="A1" s="15" t="s">
        <v>2</v>
      </c>
      <c r="B1" s="15" t="s">
        <v>31</v>
      </c>
      <c r="C1" s="15" t="s">
        <v>32</v>
      </c>
      <c r="D1" s="15" t="s">
        <v>33</v>
      </c>
      <c r="E1" s="15" t="s">
        <v>5</v>
      </c>
      <c r="F1" s="15" t="s">
        <v>1</v>
      </c>
      <c r="G1" s="15" t="s">
        <v>6</v>
      </c>
      <c r="I1" s="16" t="s">
        <v>34</v>
      </c>
    </row>
    <row r="2" spans="1:9" x14ac:dyDescent="0.25">
      <c r="A2" t="s">
        <v>35</v>
      </c>
      <c r="B2" t="s">
        <v>36</v>
      </c>
      <c r="C2" t="s">
        <v>37</v>
      </c>
      <c r="D2" t="s">
        <v>9</v>
      </c>
      <c r="E2" t="s">
        <v>38</v>
      </c>
      <c r="F2" t="s">
        <v>39</v>
      </c>
      <c r="G2" t="s">
        <v>40</v>
      </c>
    </row>
    <row r="3" spans="1:9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</row>
    <row r="4" spans="1:9" x14ac:dyDescent="0.25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</row>
    <row r="5" spans="1:9" x14ac:dyDescent="0.25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</row>
    <row r="6" spans="1:9" x14ac:dyDescent="0.2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</row>
    <row r="7" spans="1:9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</row>
    <row r="8" spans="1:9" x14ac:dyDescent="0.25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</row>
    <row r="9" spans="1:9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</row>
    <row r="10" spans="1:9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11</v>
      </c>
      <c r="G10" t="s">
        <v>95</v>
      </c>
    </row>
    <row r="11" spans="1:9" x14ac:dyDescent="0.25">
      <c r="B11" t="s">
        <v>96</v>
      </c>
      <c r="C11" t="s">
        <v>97</v>
      </c>
      <c r="D11" t="s">
        <v>98</v>
      </c>
      <c r="F11" t="s">
        <v>99</v>
      </c>
      <c r="G11" t="s">
        <v>100</v>
      </c>
    </row>
    <row r="12" spans="1:9" x14ac:dyDescent="0.25">
      <c r="C12" t="s">
        <v>101</v>
      </c>
      <c r="D12" t="s">
        <v>102</v>
      </c>
      <c r="F12" t="s">
        <v>103</v>
      </c>
    </row>
    <row r="13" spans="1:9" x14ac:dyDescent="0.25">
      <c r="C13" t="s">
        <v>104</v>
      </c>
      <c r="D13" t="s">
        <v>105</v>
      </c>
      <c r="F13" t="s">
        <v>106</v>
      </c>
    </row>
    <row r="14" spans="1:9" x14ac:dyDescent="0.25">
      <c r="C14" t="s">
        <v>107</v>
      </c>
      <c r="D14" t="s">
        <v>108</v>
      </c>
    </row>
    <row r="15" spans="1:9" x14ac:dyDescent="0.25">
      <c r="D15" t="s">
        <v>109</v>
      </c>
    </row>
    <row r="16" spans="1:9" x14ac:dyDescent="0.25">
      <c r="D16" t="s">
        <v>110</v>
      </c>
    </row>
    <row r="17" spans="4:4" x14ac:dyDescent="0.25">
      <c r="D17" t="s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5" x14ac:dyDescent="0.25"/>
  <cols>
    <col min="1" max="1" width="10" customWidth="1"/>
    <col min="2" max="2" width="100" customWidth="1"/>
  </cols>
  <sheetData>
    <row r="1" spans="1:2" x14ac:dyDescent="0.25">
      <c r="A1" s="17" t="s">
        <v>112</v>
      </c>
      <c r="B1" s="17" t="s">
        <v>113</v>
      </c>
    </row>
    <row r="2" spans="1:2" x14ac:dyDescent="0.25">
      <c r="A2" t="s">
        <v>114</v>
      </c>
      <c r="B2" s="12" t="s">
        <v>115</v>
      </c>
    </row>
    <row r="3" spans="1:2" x14ac:dyDescent="0.25">
      <c r="A3" t="s">
        <v>114</v>
      </c>
      <c r="B3" s="12" t="s">
        <v>116</v>
      </c>
    </row>
    <row r="4" spans="1:2" x14ac:dyDescent="0.25">
      <c r="A4" t="s">
        <v>114</v>
      </c>
      <c r="B4" s="12" t="s">
        <v>117</v>
      </c>
    </row>
    <row r="5" spans="1:2" ht="45" customHeight="1" x14ac:dyDescent="0.25">
      <c r="A5" t="s">
        <v>114</v>
      </c>
      <c r="B5" s="12" t="s">
        <v>118</v>
      </c>
    </row>
    <row r="6" spans="1:2" x14ac:dyDescent="0.25">
      <c r="A6" t="s">
        <v>114</v>
      </c>
      <c r="B6" s="12" t="s">
        <v>119</v>
      </c>
    </row>
    <row r="7" spans="1:2" x14ac:dyDescent="0.25">
      <c r="A7" t="s">
        <v>114</v>
      </c>
      <c r="B7" s="12" t="s">
        <v>120</v>
      </c>
    </row>
    <row r="8" spans="1:2" x14ac:dyDescent="0.25">
      <c r="A8" t="s">
        <v>114</v>
      </c>
      <c r="B8" s="12" t="s">
        <v>121</v>
      </c>
    </row>
    <row r="9" spans="1:2" ht="45" customHeight="1" x14ac:dyDescent="0.25">
      <c r="A9" t="s">
        <v>122</v>
      </c>
      <c r="B9" s="12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4"/>
  <sheetViews>
    <sheetView workbookViewId="0"/>
  </sheetViews>
  <sheetFormatPr defaultRowHeight="15" x14ac:dyDescent="0.25"/>
  <cols>
    <col min="1" max="28" width="11" customWidth="1"/>
  </cols>
  <sheetData>
    <row r="1" spans="1:28" x14ac:dyDescent="0.25">
      <c r="A1" s="18" t="s">
        <v>124</v>
      </c>
      <c r="B1" s="18" t="s">
        <v>125</v>
      </c>
      <c r="C1" s="18" t="s">
        <v>18</v>
      </c>
      <c r="D1" s="18" t="s">
        <v>126</v>
      </c>
      <c r="E1" s="18" t="s">
        <v>127</v>
      </c>
      <c r="F1" s="18" t="s">
        <v>128</v>
      </c>
      <c r="G1" s="18" t="s">
        <v>129</v>
      </c>
      <c r="H1" s="18" t="s">
        <v>130</v>
      </c>
      <c r="I1" s="18" t="s">
        <v>131</v>
      </c>
      <c r="J1" s="18" t="s">
        <v>132</v>
      </c>
      <c r="K1" s="18" t="s">
        <v>133</v>
      </c>
      <c r="L1" s="18" t="s">
        <v>134</v>
      </c>
      <c r="M1" s="18" t="s">
        <v>135</v>
      </c>
      <c r="N1" s="18" t="s">
        <v>136</v>
      </c>
      <c r="O1" s="18" t="s">
        <v>137</v>
      </c>
      <c r="P1" s="18" t="s">
        <v>138</v>
      </c>
      <c r="Q1" s="18" t="s">
        <v>139</v>
      </c>
      <c r="R1" s="18" t="s">
        <v>140</v>
      </c>
      <c r="S1" s="18" t="s">
        <v>141</v>
      </c>
      <c r="T1" s="18" t="s">
        <v>142</v>
      </c>
      <c r="U1" s="18" t="s">
        <v>143</v>
      </c>
      <c r="V1" s="18" t="s">
        <v>98</v>
      </c>
      <c r="W1" s="18" t="s">
        <v>144</v>
      </c>
      <c r="X1" s="18" t="s">
        <v>145</v>
      </c>
      <c r="Y1" s="18" t="s">
        <v>146</v>
      </c>
      <c r="Z1" s="18" t="s">
        <v>147</v>
      </c>
      <c r="AA1" s="18" t="s">
        <v>148</v>
      </c>
      <c r="AB1" s="18" t="s">
        <v>149</v>
      </c>
    </row>
    <row r="2" spans="1:28" x14ac:dyDescent="0.25">
      <c r="A2" t="s">
        <v>150</v>
      </c>
      <c r="B2" t="s">
        <v>151</v>
      </c>
      <c r="C2" t="s">
        <v>7</v>
      </c>
      <c r="D2" t="s">
        <v>8</v>
      </c>
      <c r="E2">
        <v>30</v>
      </c>
      <c r="F2" t="s">
        <v>152</v>
      </c>
      <c r="G2" t="s">
        <v>153</v>
      </c>
      <c r="H2" t="s">
        <v>152</v>
      </c>
      <c r="I2" t="s">
        <v>153</v>
      </c>
      <c r="J2">
        <v>53.3</v>
      </c>
      <c r="K2" t="s">
        <v>154</v>
      </c>
      <c r="L2" t="s">
        <v>155</v>
      </c>
      <c r="M2">
        <v>26.7</v>
      </c>
      <c r="N2">
        <v>38.840000000000003</v>
      </c>
      <c r="O2">
        <v>29510.080000000002</v>
      </c>
      <c r="P2" t="s">
        <v>156</v>
      </c>
      <c r="Q2">
        <v>29481.87</v>
      </c>
      <c r="R2">
        <v>0.92</v>
      </c>
      <c r="S2">
        <v>26743</v>
      </c>
      <c r="T2">
        <v>28</v>
      </c>
      <c r="U2" t="s">
        <v>157</v>
      </c>
      <c r="V2" t="s">
        <v>158</v>
      </c>
      <c r="W2">
        <v>2</v>
      </c>
      <c r="X2" t="s">
        <v>159</v>
      </c>
      <c r="Y2" t="s">
        <v>160</v>
      </c>
      <c r="Z2">
        <v>0.72</v>
      </c>
      <c r="AA2" t="s">
        <v>159</v>
      </c>
      <c r="AB2" t="s">
        <v>161</v>
      </c>
    </row>
    <row r="3" spans="1:28" x14ac:dyDescent="0.25">
      <c r="A3" t="s">
        <v>150</v>
      </c>
      <c r="B3" t="s">
        <v>162</v>
      </c>
      <c r="C3" t="s">
        <v>7</v>
      </c>
      <c r="D3" t="s">
        <v>8</v>
      </c>
      <c r="E3">
        <v>-32</v>
      </c>
      <c r="F3" t="s">
        <v>153</v>
      </c>
      <c r="G3" t="s">
        <v>153</v>
      </c>
      <c r="H3" t="s">
        <v>153</v>
      </c>
      <c r="I3" t="s">
        <v>153</v>
      </c>
      <c r="J3">
        <v>43.8</v>
      </c>
      <c r="K3" t="s">
        <v>163</v>
      </c>
      <c r="L3" t="s">
        <v>155</v>
      </c>
      <c r="M3">
        <v>10.4</v>
      </c>
      <c r="N3">
        <v>20.2</v>
      </c>
      <c r="O3">
        <v>29473.62</v>
      </c>
      <c r="P3" t="s">
        <v>164</v>
      </c>
      <c r="Q3">
        <v>29484.720000000001</v>
      </c>
      <c r="R3">
        <v>0.99</v>
      </c>
      <c r="S3">
        <v>20968</v>
      </c>
      <c r="T3">
        <v>26</v>
      </c>
      <c r="U3" t="s">
        <v>157</v>
      </c>
      <c r="V3" t="s">
        <v>165</v>
      </c>
      <c r="W3">
        <v>1</v>
      </c>
      <c r="X3" t="s">
        <v>166</v>
      </c>
      <c r="Y3" t="s">
        <v>167</v>
      </c>
      <c r="Z3">
        <v>1.45</v>
      </c>
      <c r="AA3" t="s">
        <v>159</v>
      </c>
      <c r="AB3" t="s">
        <v>159</v>
      </c>
    </row>
    <row r="4" spans="1:28" x14ac:dyDescent="0.25">
      <c r="A4" t="s">
        <v>150</v>
      </c>
      <c r="B4" t="s">
        <v>168</v>
      </c>
      <c r="C4" t="s">
        <v>12</v>
      </c>
      <c r="D4" t="s">
        <v>8</v>
      </c>
      <c r="E4">
        <v>2</v>
      </c>
      <c r="F4" t="s">
        <v>153</v>
      </c>
      <c r="G4" t="s">
        <v>152</v>
      </c>
      <c r="H4" t="s">
        <v>153</v>
      </c>
      <c r="I4" t="s">
        <v>153</v>
      </c>
      <c r="J4">
        <v>32.5</v>
      </c>
      <c r="K4" t="s">
        <v>163</v>
      </c>
      <c r="L4" t="s">
        <v>155</v>
      </c>
      <c r="M4">
        <v>27.8</v>
      </c>
      <c r="N4">
        <v>4.28</v>
      </c>
      <c r="O4">
        <v>4452.8500000000004</v>
      </c>
      <c r="P4" t="s">
        <v>164</v>
      </c>
      <c r="Q4">
        <v>4457.3599999999997</v>
      </c>
      <c r="R4">
        <v>1.06</v>
      </c>
      <c r="S4">
        <v>-666</v>
      </c>
      <c r="T4">
        <v>46</v>
      </c>
      <c r="U4" t="s">
        <v>169</v>
      </c>
      <c r="V4" t="s">
        <v>165</v>
      </c>
      <c r="W4">
        <v>1</v>
      </c>
      <c r="X4" t="s">
        <v>159</v>
      </c>
      <c r="Y4" t="s">
        <v>170</v>
      </c>
      <c r="Z4">
        <v>0.7</v>
      </c>
      <c r="AA4" t="s">
        <v>159</v>
      </c>
      <c r="AB4" t="s">
        <v>159</v>
      </c>
    </row>
    <row r="5" spans="1:28" x14ac:dyDescent="0.25">
      <c r="A5" t="s">
        <v>150</v>
      </c>
      <c r="B5" t="s">
        <v>171</v>
      </c>
      <c r="C5" t="s">
        <v>7</v>
      </c>
      <c r="D5" t="s">
        <v>8</v>
      </c>
      <c r="E5">
        <v>17.5</v>
      </c>
      <c r="F5" t="s">
        <v>153</v>
      </c>
      <c r="G5" t="s">
        <v>153</v>
      </c>
      <c r="H5" t="s">
        <v>153</v>
      </c>
      <c r="I5" t="s">
        <v>153</v>
      </c>
      <c r="J5">
        <v>49.1</v>
      </c>
      <c r="K5" t="s">
        <v>163</v>
      </c>
      <c r="L5" t="s">
        <v>155</v>
      </c>
      <c r="M5">
        <v>10.6</v>
      </c>
      <c r="N5">
        <v>20.27</v>
      </c>
      <c r="O5">
        <v>29473.42</v>
      </c>
      <c r="P5" t="s">
        <v>164</v>
      </c>
      <c r="Q5">
        <v>29484.720000000001</v>
      </c>
      <c r="R5">
        <v>1</v>
      </c>
      <c r="S5">
        <v>22487</v>
      </c>
      <c r="T5">
        <v>23</v>
      </c>
      <c r="U5" t="s">
        <v>157</v>
      </c>
      <c r="V5" t="s">
        <v>165</v>
      </c>
      <c r="W5">
        <v>1</v>
      </c>
      <c r="X5" t="s">
        <v>166</v>
      </c>
      <c r="Y5" t="s">
        <v>172</v>
      </c>
      <c r="Z5">
        <v>1.08</v>
      </c>
      <c r="AA5" t="s">
        <v>159</v>
      </c>
      <c r="AB5" t="s">
        <v>159</v>
      </c>
    </row>
    <row r="6" spans="1:28" x14ac:dyDescent="0.25">
      <c r="A6" t="s">
        <v>150</v>
      </c>
      <c r="B6" t="s">
        <v>173</v>
      </c>
      <c r="C6" t="s">
        <v>7</v>
      </c>
      <c r="D6" t="s">
        <v>8</v>
      </c>
      <c r="E6">
        <v>-23.5</v>
      </c>
      <c r="F6" t="s">
        <v>153</v>
      </c>
      <c r="G6" t="s">
        <v>153</v>
      </c>
      <c r="H6" t="s">
        <v>153</v>
      </c>
      <c r="I6" t="s">
        <v>153</v>
      </c>
      <c r="J6">
        <v>48.2</v>
      </c>
      <c r="K6" t="s">
        <v>163</v>
      </c>
      <c r="L6" t="s">
        <v>155</v>
      </c>
      <c r="M6">
        <v>9.3000000000000007</v>
      </c>
      <c r="N6">
        <v>18.47</v>
      </c>
      <c r="O6">
        <v>29473.05</v>
      </c>
      <c r="P6" t="s">
        <v>164</v>
      </c>
      <c r="Q6">
        <v>29484.720000000001</v>
      </c>
      <c r="R6">
        <v>0.55000000000000004</v>
      </c>
      <c r="S6">
        <v>21303</v>
      </c>
      <c r="T6">
        <v>24</v>
      </c>
      <c r="U6" t="s">
        <v>157</v>
      </c>
      <c r="V6" t="s">
        <v>165</v>
      </c>
      <c r="W6">
        <v>1</v>
      </c>
      <c r="X6" t="s">
        <v>166</v>
      </c>
      <c r="Z6">
        <v>0.84</v>
      </c>
      <c r="AA6" t="s">
        <v>159</v>
      </c>
      <c r="AB6" t="s">
        <v>159</v>
      </c>
    </row>
    <row r="7" spans="1:28" x14ac:dyDescent="0.25">
      <c r="A7" t="s">
        <v>150</v>
      </c>
      <c r="B7" t="s">
        <v>174</v>
      </c>
      <c r="C7" t="s">
        <v>7</v>
      </c>
      <c r="D7" t="s">
        <v>14</v>
      </c>
      <c r="E7">
        <v>7</v>
      </c>
      <c r="F7" t="s">
        <v>153</v>
      </c>
      <c r="G7" t="s">
        <v>153</v>
      </c>
      <c r="H7" t="s">
        <v>153</v>
      </c>
      <c r="I7" t="s">
        <v>153</v>
      </c>
      <c r="J7">
        <v>46.9</v>
      </c>
      <c r="K7" t="s">
        <v>163</v>
      </c>
      <c r="L7" t="s">
        <v>175</v>
      </c>
      <c r="M7">
        <v>33.299999999999997</v>
      </c>
      <c r="N7">
        <v>19.989999999999998</v>
      </c>
      <c r="O7">
        <v>29466.81</v>
      </c>
      <c r="P7" t="s">
        <v>164</v>
      </c>
      <c r="Q7">
        <v>29443.46</v>
      </c>
      <c r="R7">
        <v>0.59</v>
      </c>
      <c r="S7">
        <v>34442</v>
      </c>
      <c r="T7">
        <v>18</v>
      </c>
      <c r="U7" t="s">
        <v>157</v>
      </c>
      <c r="V7" t="s">
        <v>165</v>
      </c>
      <c r="W7">
        <v>1</v>
      </c>
      <c r="X7" t="s">
        <v>159</v>
      </c>
      <c r="Y7" t="s">
        <v>170</v>
      </c>
      <c r="Z7">
        <v>0.45</v>
      </c>
      <c r="AA7" t="s">
        <v>161</v>
      </c>
      <c r="AB7" t="s">
        <v>161</v>
      </c>
    </row>
    <row r="8" spans="1:28" x14ac:dyDescent="0.25">
      <c r="A8" t="s">
        <v>150</v>
      </c>
      <c r="B8" t="s">
        <v>176</v>
      </c>
      <c r="C8" t="s">
        <v>12</v>
      </c>
      <c r="D8" t="s">
        <v>14</v>
      </c>
      <c r="E8">
        <v>-98</v>
      </c>
      <c r="F8" t="s">
        <v>177</v>
      </c>
      <c r="G8" t="s">
        <v>152</v>
      </c>
      <c r="H8" t="s">
        <v>152</v>
      </c>
      <c r="I8" t="s">
        <v>152</v>
      </c>
      <c r="J8">
        <v>61.7</v>
      </c>
      <c r="K8" t="s">
        <v>154</v>
      </c>
      <c r="L8" t="s">
        <v>175</v>
      </c>
      <c r="M8">
        <v>29</v>
      </c>
      <c r="N8">
        <v>5.4</v>
      </c>
      <c r="O8">
        <v>4451.74</v>
      </c>
      <c r="P8" t="s">
        <v>156</v>
      </c>
      <c r="Q8">
        <v>4457.3599999999997</v>
      </c>
      <c r="R8">
        <v>0.82</v>
      </c>
      <c r="S8">
        <v>627</v>
      </c>
      <c r="V8" t="s">
        <v>165</v>
      </c>
      <c r="W8">
        <v>1</v>
      </c>
      <c r="X8" t="s">
        <v>166</v>
      </c>
      <c r="Y8" t="s">
        <v>172</v>
      </c>
      <c r="Z8">
        <v>1.32</v>
      </c>
      <c r="AA8" t="s">
        <v>159</v>
      </c>
      <c r="AB8" t="s">
        <v>159</v>
      </c>
    </row>
    <row r="9" spans="1:28" x14ac:dyDescent="0.25">
      <c r="A9" t="s">
        <v>150</v>
      </c>
      <c r="B9" t="s">
        <v>178</v>
      </c>
      <c r="C9" t="s">
        <v>12</v>
      </c>
      <c r="D9" t="s">
        <v>8</v>
      </c>
      <c r="E9">
        <v>-40</v>
      </c>
      <c r="F9" t="s">
        <v>177</v>
      </c>
      <c r="G9" t="s">
        <v>152</v>
      </c>
      <c r="H9" t="s">
        <v>152</v>
      </c>
      <c r="I9" t="s">
        <v>152</v>
      </c>
      <c r="J9">
        <v>61.2</v>
      </c>
      <c r="K9" t="s">
        <v>154</v>
      </c>
      <c r="L9" t="s">
        <v>175</v>
      </c>
      <c r="M9">
        <v>29</v>
      </c>
      <c r="N9">
        <v>5.29</v>
      </c>
      <c r="O9">
        <v>4451.78</v>
      </c>
      <c r="P9" t="s">
        <v>156</v>
      </c>
      <c r="Q9">
        <v>4457.3599999999997</v>
      </c>
      <c r="R9">
        <v>0.61</v>
      </c>
      <c r="S9">
        <v>443</v>
      </c>
      <c r="T9">
        <v>3</v>
      </c>
      <c r="U9" t="s">
        <v>179</v>
      </c>
      <c r="V9" t="s">
        <v>180</v>
      </c>
      <c r="W9">
        <v>0</v>
      </c>
      <c r="X9" t="s">
        <v>159</v>
      </c>
      <c r="Y9" t="s">
        <v>167</v>
      </c>
      <c r="Z9">
        <v>0.79</v>
      </c>
      <c r="AA9" t="s">
        <v>161</v>
      </c>
      <c r="AB9" t="s">
        <v>159</v>
      </c>
    </row>
    <row r="10" spans="1:28" x14ac:dyDescent="0.25">
      <c r="A10" t="s">
        <v>150</v>
      </c>
      <c r="B10" t="s">
        <v>181</v>
      </c>
      <c r="C10" t="s">
        <v>12</v>
      </c>
      <c r="D10" t="s">
        <v>14</v>
      </c>
      <c r="E10">
        <v>-38</v>
      </c>
      <c r="F10" t="s">
        <v>177</v>
      </c>
      <c r="G10" t="s">
        <v>152</v>
      </c>
      <c r="H10" t="s">
        <v>152</v>
      </c>
      <c r="I10" t="s">
        <v>152</v>
      </c>
      <c r="J10">
        <v>60.4</v>
      </c>
      <c r="K10" t="s">
        <v>154</v>
      </c>
      <c r="L10" t="s">
        <v>175</v>
      </c>
      <c r="M10">
        <v>28.8</v>
      </c>
      <c r="N10">
        <v>5.1100000000000003</v>
      </c>
      <c r="O10">
        <v>4451.79</v>
      </c>
      <c r="P10" t="s">
        <v>156</v>
      </c>
      <c r="Q10">
        <v>4457.3599999999997</v>
      </c>
      <c r="R10">
        <v>0.39</v>
      </c>
      <c r="S10">
        <v>408</v>
      </c>
      <c r="T10">
        <v>14</v>
      </c>
      <c r="U10" t="s">
        <v>179</v>
      </c>
      <c r="V10" t="s">
        <v>180</v>
      </c>
      <c r="W10">
        <v>0</v>
      </c>
      <c r="X10" t="s">
        <v>166</v>
      </c>
      <c r="Z10">
        <v>0.34</v>
      </c>
      <c r="AA10" t="s">
        <v>159</v>
      </c>
      <c r="AB10" t="s">
        <v>159</v>
      </c>
    </row>
    <row r="11" spans="1:28" x14ac:dyDescent="0.25">
      <c r="A11" t="s">
        <v>150</v>
      </c>
      <c r="B11" t="s">
        <v>182</v>
      </c>
      <c r="C11" t="s">
        <v>12</v>
      </c>
      <c r="D11" t="s">
        <v>14</v>
      </c>
      <c r="E11">
        <v>-40</v>
      </c>
      <c r="F11" t="s">
        <v>177</v>
      </c>
      <c r="G11" t="s">
        <v>152</v>
      </c>
      <c r="H11" t="s">
        <v>152</v>
      </c>
      <c r="I11" t="s">
        <v>152</v>
      </c>
      <c r="J11">
        <v>64.099999999999994</v>
      </c>
      <c r="K11" t="s">
        <v>154</v>
      </c>
      <c r="L11" t="s">
        <v>175</v>
      </c>
      <c r="M11">
        <v>29</v>
      </c>
      <c r="N11">
        <v>5.07</v>
      </c>
      <c r="O11">
        <v>4451.8100000000004</v>
      </c>
      <c r="P11" t="s">
        <v>156</v>
      </c>
      <c r="Q11">
        <v>4457.3599999999997</v>
      </c>
      <c r="R11">
        <v>0.55000000000000004</v>
      </c>
      <c r="S11">
        <v>586</v>
      </c>
      <c r="T11">
        <v>52</v>
      </c>
      <c r="U11" t="s">
        <v>169</v>
      </c>
      <c r="V11" t="s">
        <v>165</v>
      </c>
      <c r="W11">
        <v>1</v>
      </c>
      <c r="X11" t="s">
        <v>166</v>
      </c>
      <c r="Y11" t="s">
        <v>170</v>
      </c>
      <c r="Z11">
        <v>0.47</v>
      </c>
      <c r="AA11" t="s">
        <v>159</v>
      </c>
      <c r="AB11" t="s">
        <v>159</v>
      </c>
    </row>
    <row r="12" spans="1:28" x14ac:dyDescent="0.25">
      <c r="A12" t="s">
        <v>150</v>
      </c>
      <c r="B12" t="s">
        <v>183</v>
      </c>
      <c r="C12" t="s">
        <v>12</v>
      </c>
      <c r="D12" t="s">
        <v>8</v>
      </c>
      <c r="E12">
        <v>-178</v>
      </c>
      <c r="F12" t="s">
        <v>177</v>
      </c>
      <c r="G12" t="s">
        <v>152</v>
      </c>
      <c r="H12" t="s">
        <v>152</v>
      </c>
      <c r="I12" t="s">
        <v>152</v>
      </c>
      <c r="J12">
        <v>64.099999999999994</v>
      </c>
      <c r="K12" t="s">
        <v>154</v>
      </c>
      <c r="L12" t="s">
        <v>175</v>
      </c>
      <c r="M12">
        <v>29</v>
      </c>
      <c r="N12">
        <v>5.07</v>
      </c>
      <c r="O12">
        <v>4451.8100000000004</v>
      </c>
      <c r="P12" t="s">
        <v>156</v>
      </c>
      <c r="Q12">
        <v>4457.3599999999997</v>
      </c>
      <c r="R12">
        <v>0.55000000000000004</v>
      </c>
      <c r="S12">
        <v>586</v>
      </c>
      <c r="T12">
        <v>1</v>
      </c>
      <c r="U12" t="s">
        <v>179</v>
      </c>
      <c r="V12" t="s">
        <v>180</v>
      </c>
      <c r="W12">
        <v>0</v>
      </c>
      <c r="X12" t="s">
        <v>159</v>
      </c>
      <c r="Y12" t="s">
        <v>170</v>
      </c>
      <c r="Z12">
        <v>0.47</v>
      </c>
      <c r="AA12" t="s">
        <v>161</v>
      </c>
      <c r="AB12" t="s">
        <v>159</v>
      </c>
    </row>
    <row r="13" spans="1:28" x14ac:dyDescent="0.25">
      <c r="A13" t="s">
        <v>150</v>
      </c>
      <c r="B13" t="s">
        <v>184</v>
      </c>
      <c r="C13" t="s">
        <v>7</v>
      </c>
      <c r="D13" t="s">
        <v>14</v>
      </c>
      <c r="E13">
        <v>4.5</v>
      </c>
      <c r="F13" t="s">
        <v>153</v>
      </c>
      <c r="G13" t="s">
        <v>153</v>
      </c>
      <c r="H13" t="s">
        <v>153</v>
      </c>
      <c r="I13" t="s">
        <v>153</v>
      </c>
      <c r="J13">
        <v>45.6</v>
      </c>
      <c r="K13" t="s">
        <v>154</v>
      </c>
      <c r="L13" t="s">
        <v>175</v>
      </c>
      <c r="M13">
        <v>20.8</v>
      </c>
      <c r="N13">
        <v>17.78</v>
      </c>
      <c r="O13">
        <v>29466.22</v>
      </c>
      <c r="P13" t="s">
        <v>164</v>
      </c>
      <c r="Q13">
        <v>29443.46</v>
      </c>
      <c r="R13">
        <v>2.0099999999999998</v>
      </c>
      <c r="S13">
        <v>34593</v>
      </c>
      <c r="T13">
        <v>35</v>
      </c>
      <c r="U13" t="s">
        <v>157</v>
      </c>
      <c r="V13" t="s">
        <v>158</v>
      </c>
      <c r="W13">
        <v>2</v>
      </c>
      <c r="X13" t="s">
        <v>166</v>
      </c>
      <c r="Y13" t="s">
        <v>160</v>
      </c>
      <c r="Z13">
        <v>1.48</v>
      </c>
      <c r="AA13" t="s">
        <v>161</v>
      </c>
      <c r="AB13" t="s">
        <v>161</v>
      </c>
    </row>
    <row r="14" spans="1:28" x14ac:dyDescent="0.25">
      <c r="A14" t="s">
        <v>150</v>
      </c>
      <c r="B14" t="s">
        <v>185</v>
      </c>
      <c r="C14" t="s">
        <v>7</v>
      </c>
      <c r="D14" t="s">
        <v>14</v>
      </c>
      <c r="E14">
        <v>4.5</v>
      </c>
      <c r="F14" t="s">
        <v>153</v>
      </c>
      <c r="G14" t="s">
        <v>153</v>
      </c>
      <c r="H14" t="s">
        <v>153</v>
      </c>
      <c r="I14" t="s">
        <v>153</v>
      </c>
      <c r="J14">
        <v>45.6</v>
      </c>
      <c r="K14" t="s">
        <v>154</v>
      </c>
      <c r="L14" t="s">
        <v>175</v>
      </c>
      <c r="M14">
        <v>20.8</v>
      </c>
      <c r="N14">
        <v>17.78</v>
      </c>
      <c r="O14">
        <v>29466.22</v>
      </c>
      <c r="P14" t="s">
        <v>164</v>
      </c>
      <c r="Q14">
        <v>29443.46</v>
      </c>
      <c r="R14">
        <v>2.0099999999999998</v>
      </c>
      <c r="S14">
        <v>34593</v>
      </c>
      <c r="T14">
        <v>34</v>
      </c>
      <c r="U14" t="s">
        <v>157</v>
      </c>
      <c r="V14" t="s">
        <v>158</v>
      </c>
      <c r="W14">
        <v>2</v>
      </c>
      <c r="X14" t="s">
        <v>166</v>
      </c>
      <c r="Y14" t="s">
        <v>160</v>
      </c>
      <c r="Z14">
        <v>1.48</v>
      </c>
      <c r="AA14" t="s">
        <v>161</v>
      </c>
      <c r="AB14" t="s">
        <v>161</v>
      </c>
    </row>
    <row r="15" spans="1:28" x14ac:dyDescent="0.25">
      <c r="A15" t="s">
        <v>150</v>
      </c>
      <c r="B15" t="s">
        <v>186</v>
      </c>
      <c r="C15" t="s">
        <v>7</v>
      </c>
      <c r="D15" t="s">
        <v>14</v>
      </c>
      <c r="E15">
        <v>10</v>
      </c>
      <c r="F15" t="s">
        <v>153</v>
      </c>
      <c r="G15" t="s">
        <v>153</v>
      </c>
      <c r="H15" t="s">
        <v>153</v>
      </c>
      <c r="I15" t="s">
        <v>153</v>
      </c>
      <c r="J15">
        <v>45.6</v>
      </c>
      <c r="K15" t="s">
        <v>154</v>
      </c>
      <c r="L15" t="s">
        <v>175</v>
      </c>
      <c r="M15">
        <v>20.8</v>
      </c>
      <c r="N15">
        <v>17.78</v>
      </c>
      <c r="O15">
        <v>29466.22</v>
      </c>
      <c r="P15" t="s">
        <v>164</v>
      </c>
      <c r="Q15">
        <v>29443.46</v>
      </c>
      <c r="R15">
        <v>2.0099999999999998</v>
      </c>
      <c r="S15">
        <v>34593</v>
      </c>
      <c r="T15">
        <v>33</v>
      </c>
      <c r="U15" t="s">
        <v>157</v>
      </c>
      <c r="V15" t="s">
        <v>158</v>
      </c>
      <c r="W15">
        <v>2</v>
      </c>
      <c r="X15" t="s">
        <v>166</v>
      </c>
      <c r="Y15" t="s">
        <v>160</v>
      </c>
      <c r="Z15">
        <v>1.48</v>
      </c>
      <c r="AA15" t="s">
        <v>161</v>
      </c>
      <c r="AB15" t="s">
        <v>161</v>
      </c>
    </row>
    <row r="16" spans="1:28" x14ac:dyDescent="0.25">
      <c r="A16" t="s">
        <v>150</v>
      </c>
      <c r="B16" t="s">
        <v>187</v>
      </c>
      <c r="C16" t="s">
        <v>7</v>
      </c>
      <c r="D16" t="s">
        <v>14</v>
      </c>
      <c r="E16">
        <v>10</v>
      </c>
      <c r="F16" t="s">
        <v>153</v>
      </c>
      <c r="G16" t="s">
        <v>153</v>
      </c>
      <c r="H16" t="s">
        <v>153</v>
      </c>
      <c r="I16" t="s">
        <v>153</v>
      </c>
      <c r="J16">
        <v>47.4</v>
      </c>
      <c r="K16" t="s">
        <v>154</v>
      </c>
      <c r="L16" t="s">
        <v>175</v>
      </c>
      <c r="M16">
        <v>20.3</v>
      </c>
      <c r="N16">
        <v>17.89</v>
      </c>
      <c r="O16">
        <v>29466.13</v>
      </c>
      <c r="P16" t="s">
        <v>164</v>
      </c>
      <c r="Q16">
        <v>29443.46</v>
      </c>
      <c r="R16">
        <v>1.36</v>
      </c>
      <c r="S16">
        <v>34999</v>
      </c>
      <c r="T16">
        <v>34</v>
      </c>
      <c r="U16" t="s">
        <v>157</v>
      </c>
      <c r="V16" t="s">
        <v>158</v>
      </c>
      <c r="W16">
        <v>2</v>
      </c>
      <c r="X16" t="s">
        <v>166</v>
      </c>
      <c r="Y16" t="s">
        <v>188</v>
      </c>
      <c r="Z16">
        <v>1.05</v>
      </c>
      <c r="AA16" t="s">
        <v>161</v>
      </c>
      <c r="AB16" t="s">
        <v>161</v>
      </c>
    </row>
    <row r="17" spans="1:28" x14ac:dyDescent="0.25">
      <c r="A17" t="s">
        <v>150</v>
      </c>
      <c r="B17" t="s">
        <v>189</v>
      </c>
      <c r="C17" t="s">
        <v>7</v>
      </c>
      <c r="D17" t="s">
        <v>14</v>
      </c>
      <c r="E17">
        <v>-18</v>
      </c>
      <c r="F17" t="s">
        <v>153</v>
      </c>
      <c r="G17" t="s">
        <v>153</v>
      </c>
      <c r="H17" t="s">
        <v>153</v>
      </c>
      <c r="I17" t="s">
        <v>153</v>
      </c>
      <c r="J17">
        <v>48.2</v>
      </c>
      <c r="K17" t="s">
        <v>154</v>
      </c>
      <c r="L17" t="s">
        <v>175</v>
      </c>
      <c r="M17">
        <v>19.3</v>
      </c>
      <c r="N17">
        <v>17.47</v>
      </c>
      <c r="O17">
        <v>29466.07</v>
      </c>
      <c r="P17" t="s">
        <v>164</v>
      </c>
      <c r="Q17">
        <v>29443.46</v>
      </c>
      <c r="R17">
        <v>0.96</v>
      </c>
      <c r="S17">
        <v>34999</v>
      </c>
      <c r="T17">
        <v>33</v>
      </c>
      <c r="U17" t="s">
        <v>157</v>
      </c>
      <c r="V17" t="s">
        <v>165</v>
      </c>
      <c r="W17">
        <v>1</v>
      </c>
      <c r="X17" t="s">
        <v>166</v>
      </c>
      <c r="Z17">
        <v>0.82</v>
      </c>
      <c r="AA17" t="s">
        <v>161</v>
      </c>
      <c r="AB17" t="s">
        <v>161</v>
      </c>
    </row>
    <row r="18" spans="1:28" x14ac:dyDescent="0.25">
      <c r="A18" t="s">
        <v>150</v>
      </c>
      <c r="B18" t="s">
        <v>190</v>
      </c>
      <c r="C18" t="s">
        <v>7</v>
      </c>
      <c r="D18" t="s">
        <v>8</v>
      </c>
      <c r="E18">
        <v>10</v>
      </c>
      <c r="F18" t="s">
        <v>153</v>
      </c>
      <c r="G18" t="s">
        <v>153</v>
      </c>
      <c r="H18" t="s">
        <v>153</v>
      </c>
      <c r="I18" t="s">
        <v>153</v>
      </c>
      <c r="J18">
        <v>48.2</v>
      </c>
      <c r="K18" t="s">
        <v>154</v>
      </c>
      <c r="L18" t="s">
        <v>175</v>
      </c>
      <c r="M18">
        <v>19.3</v>
      </c>
      <c r="N18">
        <v>17.47</v>
      </c>
      <c r="O18">
        <v>29466.07</v>
      </c>
      <c r="P18" t="s">
        <v>164</v>
      </c>
      <c r="Q18">
        <v>29443.46</v>
      </c>
      <c r="R18">
        <v>0.96</v>
      </c>
      <c r="S18">
        <v>34999</v>
      </c>
      <c r="T18">
        <v>37</v>
      </c>
      <c r="U18" t="s">
        <v>157</v>
      </c>
      <c r="V18" t="s">
        <v>165</v>
      </c>
      <c r="W18">
        <v>1</v>
      </c>
      <c r="X18" t="s">
        <v>191</v>
      </c>
      <c r="Z18">
        <v>0.82</v>
      </c>
      <c r="AA18" t="s">
        <v>159</v>
      </c>
      <c r="AB18" t="s">
        <v>159</v>
      </c>
    </row>
    <row r="19" spans="1:28" x14ac:dyDescent="0.25">
      <c r="A19" t="s">
        <v>192</v>
      </c>
      <c r="B19" t="s">
        <v>193</v>
      </c>
      <c r="C19" t="s">
        <v>12</v>
      </c>
      <c r="D19" t="s">
        <v>8</v>
      </c>
      <c r="E19">
        <v>-53</v>
      </c>
      <c r="F19" t="s">
        <v>153</v>
      </c>
      <c r="G19" t="s">
        <v>153</v>
      </c>
      <c r="H19" t="s">
        <v>153</v>
      </c>
      <c r="I19" t="s">
        <v>153</v>
      </c>
      <c r="J19">
        <v>33.6</v>
      </c>
      <c r="K19" t="s">
        <v>163</v>
      </c>
      <c r="L19" t="s">
        <v>155</v>
      </c>
      <c r="M19">
        <v>49.1</v>
      </c>
      <c r="N19">
        <v>10.31</v>
      </c>
      <c r="O19">
        <v>4440.78</v>
      </c>
      <c r="P19" t="s">
        <v>164</v>
      </c>
      <c r="Q19">
        <v>4458.43</v>
      </c>
      <c r="R19">
        <v>3.62</v>
      </c>
      <c r="S19">
        <v>-9758</v>
      </c>
      <c r="T19">
        <v>2</v>
      </c>
      <c r="U19" t="s">
        <v>179</v>
      </c>
      <c r="V19" t="s">
        <v>180</v>
      </c>
      <c r="W19">
        <v>0</v>
      </c>
      <c r="X19" t="s">
        <v>166</v>
      </c>
      <c r="Y19" t="s">
        <v>167</v>
      </c>
      <c r="Z19">
        <v>1.51</v>
      </c>
      <c r="AA19" t="s">
        <v>159</v>
      </c>
      <c r="AB19" t="s">
        <v>159</v>
      </c>
    </row>
    <row r="20" spans="1:28" x14ac:dyDescent="0.25">
      <c r="A20" t="s">
        <v>192</v>
      </c>
      <c r="B20" t="s">
        <v>194</v>
      </c>
      <c r="C20" t="s">
        <v>12</v>
      </c>
      <c r="D20" t="s">
        <v>14</v>
      </c>
      <c r="E20">
        <v>22</v>
      </c>
      <c r="F20" t="s">
        <v>153</v>
      </c>
      <c r="G20" t="s">
        <v>153</v>
      </c>
      <c r="H20" t="s">
        <v>153</v>
      </c>
      <c r="I20" t="s">
        <v>153</v>
      </c>
      <c r="J20">
        <v>32.200000000000003</v>
      </c>
      <c r="K20" t="s">
        <v>163</v>
      </c>
      <c r="L20" t="s">
        <v>155</v>
      </c>
      <c r="M20">
        <v>49.5</v>
      </c>
      <c r="N20">
        <v>10.14</v>
      </c>
      <c r="O20">
        <v>4440.13</v>
      </c>
      <c r="P20" t="s">
        <v>164</v>
      </c>
      <c r="Q20">
        <v>4458.43</v>
      </c>
      <c r="R20">
        <v>2.46</v>
      </c>
      <c r="S20">
        <v>-9835</v>
      </c>
      <c r="T20">
        <v>20</v>
      </c>
      <c r="U20" t="s">
        <v>157</v>
      </c>
      <c r="V20" t="s">
        <v>165</v>
      </c>
      <c r="W20">
        <v>1</v>
      </c>
      <c r="X20" t="s">
        <v>195</v>
      </c>
      <c r="Z20">
        <v>1.21</v>
      </c>
      <c r="AA20" t="s">
        <v>161</v>
      </c>
      <c r="AB20" t="s">
        <v>161</v>
      </c>
    </row>
    <row r="21" spans="1:28" x14ac:dyDescent="0.25">
      <c r="A21" t="s">
        <v>192</v>
      </c>
      <c r="B21" t="s">
        <v>196</v>
      </c>
      <c r="C21" t="s">
        <v>12</v>
      </c>
      <c r="D21" t="s">
        <v>8</v>
      </c>
      <c r="E21">
        <v>20</v>
      </c>
      <c r="F21" t="s">
        <v>153</v>
      </c>
      <c r="G21" t="s">
        <v>153</v>
      </c>
      <c r="H21" t="s">
        <v>153</v>
      </c>
      <c r="I21" t="s">
        <v>152</v>
      </c>
      <c r="J21">
        <v>51.7</v>
      </c>
      <c r="K21" t="s">
        <v>163</v>
      </c>
      <c r="L21" t="s">
        <v>175</v>
      </c>
      <c r="M21">
        <v>12.2</v>
      </c>
      <c r="N21">
        <v>8.67</v>
      </c>
      <c r="O21">
        <v>4406.78</v>
      </c>
      <c r="P21" t="s">
        <v>164</v>
      </c>
      <c r="Q21">
        <v>4411.91</v>
      </c>
      <c r="R21">
        <v>0.94</v>
      </c>
      <c r="S21">
        <v>-899</v>
      </c>
      <c r="T21">
        <v>28</v>
      </c>
      <c r="U21" t="s">
        <v>157</v>
      </c>
      <c r="V21" t="s">
        <v>158</v>
      </c>
      <c r="W21">
        <v>2</v>
      </c>
      <c r="X21" t="s">
        <v>166</v>
      </c>
      <c r="Y21" t="s">
        <v>170</v>
      </c>
      <c r="Z21">
        <v>0.57999999999999996</v>
      </c>
      <c r="AA21" t="s">
        <v>159</v>
      </c>
      <c r="AB21" t="s">
        <v>159</v>
      </c>
    </row>
    <row r="22" spans="1:28" x14ac:dyDescent="0.25">
      <c r="A22" t="s">
        <v>192</v>
      </c>
      <c r="B22" t="s">
        <v>197</v>
      </c>
      <c r="C22" t="s">
        <v>12</v>
      </c>
      <c r="D22" t="s">
        <v>8</v>
      </c>
      <c r="E22">
        <v>-406</v>
      </c>
      <c r="F22" t="s">
        <v>153</v>
      </c>
      <c r="G22" t="s">
        <v>153</v>
      </c>
      <c r="H22" t="s">
        <v>153</v>
      </c>
      <c r="I22" t="s">
        <v>153</v>
      </c>
      <c r="J22">
        <v>27.4</v>
      </c>
      <c r="K22" t="s">
        <v>163</v>
      </c>
      <c r="L22" t="s">
        <v>155</v>
      </c>
      <c r="M22">
        <v>35.9</v>
      </c>
      <c r="N22">
        <v>5.81</v>
      </c>
      <c r="O22">
        <v>4401.6499999999996</v>
      </c>
      <c r="P22" t="s">
        <v>164</v>
      </c>
      <c r="Q22">
        <v>4412.53</v>
      </c>
      <c r="R22">
        <v>1.66</v>
      </c>
      <c r="S22">
        <v>-5812</v>
      </c>
      <c r="T22">
        <v>0</v>
      </c>
      <c r="U22" t="s">
        <v>179</v>
      </c>
      <c r="V22" t="s">
        <v>180</v>
      </c>
      <c r="W22">
        <v>0</v>
      </c>
      <c r="X22" t="s">
        <v>166</v>
      </c>
      <c r="Y22" t="s">
        <v>172</v>
      </c>
      <c r="Z22">
        <v>1.08</v>
      </c>
      <c r="AA22" t="s">
        <v>159</v>
      </c>
      <c r="AB22" t="s">
        <v>159</v>
      </c>
    </row>
    <row r="23" spans="1:28" x14ac:dyDescent="0.25">
      <c r="A23" t="s">
        <v>192</v>
      </c>
      <c r="B23" t="s">
        <v>198</v>
      </c>
      <c r="C23" t="s">
        <v>12</v>
      </c>
      <c r="D23" t="s">
        <v>14</v>
      </c>
      <c r="E23">
        <v>-100</v>
      </c>
      <c r="F23" t="s">
        <v>153</v>
      </c>
      <c r="G23" t="s">
        <v>153</v>
      </c>
      <c r="H23" t="s">
        <v>153</v>
      </c>
      <c r="I23" t="s">
        <v>152</v>
      </c>
      <c r="J23">
        <v>68.7</v>
      </c>
      <c r="K23" t="s">
        <v>154</v>
      </c>
      <c r="L23" t="s">
        <v>175</v>
      </c>
      <c r="M23">
        <v>27.7</v>
      </c>
      <c r="N23">
        <v>4.5199999999999996</v>
      </c>
      <c r="O23">
        <v>4392.92</v>
      </c>
      <c r="P23" t="s">
        <v>164</v>
      </c>
      <c r="Q23">
        <v>4409.78</v>
      </c>
      <c r="R23">
        <v>0.57999999999999996</v>
      </c>
      <c r="S23">
        <v>-6260</v>
      </c>
      <c r="T23">
        <v>15</v>
      </c>
      <c r="U23" t="s">
        <v>179</v>
      </c>
      <c r="V23" t="s">
        <v>165</v>
      </c>
      <c r="W23">
        <v>1</v>
      </c>
      <c r="X23" t="s">
        <v>166</v>
      </c>
      <c r="Z23">
        <v>1.1399999999999999</v>
      </c>
      <c r="AA23" t="s">
        <v>159</v>
      </c>
      <c r="AB23" t="s">
        <v>161</v>
      </c>
    </row>
    <row r="24" spans="1:28" x14ac:dyDescent="0.25">
      <c r="A24" t="s">
        <v>192</v>
      </c>
      <c r="B24" t="s">
        <v>199</v>
      </c>
      <c r="C24" t="s">
        <v>12</v>
      </c>
      <c r="D24" t="s">
        <v>8</v>
      </c>
      <c r="E24">
        <v>-8</v>
      </c>
      <c r="F24" t="s">
        <v>153</v>
      </c>
      <c r="G24" t="s">
        <v>153</v>
      </c>
      <c r="H24" t="s">
        <v>153</v>
      </c>
      <c r="I24" t="s">
        <v>152</v>
      </c>
      <c r="J24">
        <v>76.2</v>
      </c>
      <c r="K24" t="s">
        <v>154</v>
      </c>
      <c r="L24" t="s">
        <v>175</v>
      </c>
      <c r="M24">
        <v>29.2</v>
      </c>
      <c r="N24">
        <v>5.09</v>
      </c>
      <c r="O24">
        <v>4392.71</v>
      </c>
      <c r="P24" t="s">
        <v>164</v>
      </c>
      <c r="Q24">
        <v>4409.78</v>
      </c>
      <c r="R24">
        <v>1</v>
      </c>
      <c r="S24">
        <v>-5323</v>
      </c>
      <c r="T24">
        <v>14</v>
      </c>
      <c r="U24" t="s">
        <v>179</v>
      </c>
      <c r="V24" t="s">
        <v>180</v>
      </c>
      <c r="W24">
        <v>0</v>
      </c>
      <c r="X24" t="s">
        <v>159</v>
      </c>
      <c r="Y24" t="s">
        <v>170</v>
      </c>
      <c r="Z24">
        <v>4.6399999999999997</v>
      </c>
      <c r="AA24" t="s">
        <v>159</v>
      </c>
      <c r="AB24" t="s">
        <v>159</v>
      </c>
    </row>
    <row r="25" spans="1:28" x14ac:dyDescent="0.25">
      <c r="A25" t="s">
        <v>192</v>
      </c>
      <c r="B25" t="s">
        <v>200</v>
      </c>
      <c r="C25" t="s">
        <v>7</v>
      </c>
      <c r="D25" t="s">
        <v>8</v>
      </c>
      <c r="E25">
        <v>-167.94</v>
      </c>
      <c r="F25" t="s">
        <v>153</v>
      </c>
      <c r="G25" t="s">
        <v>153</v>
      </c>
      <c r="H25" t="s">
        <v>152</v>
      </c>
      <c r="I25" t="s">
        <v>152</v>
      </c>
      <c r="J25">
        <v>63.2</v>
      </c>
      <c r="K25" t="s">
        <v>154</v>
      </c>
      <c r="L25" t="s">
        <v>175</v>
      </c>
      <c r="M25">
        <v>37.6</v>
      </c>
      <c r="N25">
        <v>20.36</v>
      </c>
      <c r="O25">
        <v>29175.9</v>
      </c>
      <c r="P25" t="s">
        <v>164</v>
      </c>
      <c r="Q25">
        <v>29136.34</v>
      </c>
      <c r="R25">
        <v>0.95</v>
      </c>
      <c r="S25">
        <v>-4933</v>
      </c>
      <c r="T25">
        <v>6</v>
      </c>
      <c r="U25" t="s">
        <v>179</v>
      </c>
      <c r="V25" t="s">
        <v>165</v>
      </c>
      <c r="W25">
        <v>1</v>
      </c>
      <c r="X25" t="s">
        <v>159</v>
      </c>
      <c r="Z25">
        <v>1.26</v>
      </c>
      <c r="AA25" t="s">
        <v>159</v>
      </c>
      <c r="AB25" t="s">
        <v>159</v>
      </c>
    </row>
    <row r="26" spans="1:28" x14ac:dyDescent="0.25">
      <c r="A26" t="s">
        <v>201</v>
      </c>
      <c r="B26" t="s">
        <v>202</v>
      </c>
      <c r="C26" t="s">
        <v>7</v>
      </c>
      <c r="D26" t="s">
        <v>14</v>
      </c>
      <c r="E26">
        <v>135</v>
      </c>
      <c r="F26" t="s">
        <v>152</v>
      </c>
      <c r="G26" t="s">
        <v>153</v>
      </c>
      <c r="H26" t="s">
        <v>153</v>
      </c>
      <c r="I26" t="s">
        <v>153</v>
      </c>
      <c r="J26">
        <v>16</v>
      </c>
      <c r="K26" t="s">
        <v>163</v>
      </c>
      <c r="L26" t="s">
        <v>155</v>
      </c>
      <c r="M26">
        <v>30</v>
      </c>
      <c r="N26">
        <v>36.67</v>
      </c>
      <c r="O26">
        <v>30866.76</v>
      </c>
      <c r="P26" t="s">
        <v>164</v>
      </c>
      <c r="Q26">
        <v>30846.91</v>
      </c>
      <c r="R26">
        <v>1.97</v>
      </c>
      <c r="S26">
        <v>-60525</v>
      </c>
      <c r="T26">
        <v>11</v>
      </c>
      <c r="U26" t="s">
        <v>179</v>
      </c>
      <c r="V26" t="s">
        <v>180</v>
      </c>
      <c r="W26">
        <v>0</v>
      </c>
      <c r="X26" t="s">
        <v>166</v>
      </c>
      <c r="Y26" t="s">
        <v>167</v>
      </c>
      <c r="Z26">
        <v>3.03</v>
      </c>
      <c r="AA26" t="s">
        <v>161</v>
      </c>
      <c r="AB26" t="s">
        <v>159</v>
      </c>
    </row>
    <row r="27" spans="1:28" x14ac:dyDescent="0.25">
      <c r="A27" t="s">
        <v>201</v>
      </c>
      <c r="B27" t="s">
        <v>203</v>
      </c>
      <c r="C27" t="s">
        <v>12</v>
      </c>
      <c r="D27" t="s">
        <v>14</v>
      </c>
      <c r="E27">
        <v>-180</v>
      </c>
      <c r="F27" t="s">
        <v>153</v>
      </c>
      <c r="G27" t="s">
        <v>153</v>
      </c>
      <c r="H27" t="s">
        <v>153</v>
      </c>
      <c r="I27" t="s">
        <v>153</v>
      </c>
      <c r="J27">
        <v>38.9</v>
      </c>
      <c r="K27" t="s">
        <v>163</v>
      </c>
      <c r="L27" t="s">
        <v>155</v>
      </c>
      <c r="M27">
        <v>26.8</v>
      </c>
      <c r="N27">
        <v>7.46</v>
      </c>
      <c r="O27">
        <v>4326.26</v>
      </c>
      <c r="P27" t="s">
        <v>164</v>
      </c>
      <c r="Q27">
        <v>4323.8999999999996</v>
      </c>
      <c r="R27">
        <v>0.91</v>
      </c>
      <c r="S27">
        <v>-4405</v>
      </c>
      <c r="T27">
        <v>4</v>
      </c>
      <c r="U27" t="s">
        <v>179</v>
      </c>
      <c r="V27" t="s">
        <v>165</v>
      </c>
      <c r="W27">
        <v>1</v>
      </c>
      <c r="X27" t="s">
        <v>191</v>
      </c>
      <c r="Y27" t="s">
        <v>170</v>
      </c>
      <c r="Z27">
        <v>0.8</v>
      </c>
      <c r="AA27" t="s">
        <v>161</v>
      </c>
      <c r="AB27" t="s">
        <v>161</v>
      </c>
    </row>
    <row r="28" spans="1:28" x14ac:dyDescent="0.25">
      <c r="A28" t="s">
        <v>201</v>
      </c>
      <c r="B28" t="s">
        <v>204</v>
      </c>
      <c r="C28" t="s">
        <v>12</v>
      </c>
      <c r="D28" t="s">
        <v>8</v>
      </c>
      <c r="E28">
        <v>87</v>
      </c>
      <c r="F28" t="s">
        <v>153</v>
      </c>
      <c r="G28" t="s">
        <v>153</v>
      </c>
      <c r="H28" t="s">
        <v>153</v>
      </c>
      <c r="I28" t="s">
        <v>153</v>
      </c>
      <c r="J28">
        <v>45</v>
      </c>
      <c r="K28" t="s">
        <v>163</v>
      </c>
      <c r="L28" t="s">
        <v>155</v>
      </c>
      <c r="M28">
        <v>26.5</v>
      </c>
      <c r="N28">
        <v>7.69</v>
      </c>
      <c r="O28">
        <v>4325.41</v>
      </c>
      <c r="P28" t="s">
        <v>164</v>
      </c>
      <c r="Q28">
        <v>4323.53</v>
      </c>
      <c r="R28">
        <v>1.55</v>
      </c>
      <c r="S28">
        <v>-3343</v>
      </c>
      <c r="T28">
        <v>33</v>
      </c>
      <c r="U28" t="s">
        <v>157</v>
      </c>
      <c r="V28" t="s">
        <v>165</v>
      </c>
      <c r="W28">
        <v>1</v>
      </c>
      <c r="X28" t="s">
        <v>166</v>
      </c>
      <c r="Y28" t="s">
        <v>172</v>
      </c>
      <c r="Z28">
        <v>1.21</v>
      </c>
      <c r="AA28" t="s">
        <v>159</v>
      </c>
      <c r="AB28" t="s">
        <v>159</v>
      </c>
    </row>
    <row r="29" spans="1:28" x14ac:dyDescent="0.25">
      <c r="A29" t="s">
        <v>201</v>
      </c>
      <c r="B29" t="s">
        <v>205</v>
      </c>
      <c r="C29" t="s">
        <v>7</v>
      </c>
      <c r="D29" t="s">
        <v>14</v>
      </c>
      <c r="E29">
        <v>18</v>
      </c>
      <c r="F29" t="s">
        <v>152</v>
      </c>
      <c r="G29" t="s">
        <v>153</v>
      </c>
      <c r="H29" t="s">
        <v>153</v>
      </c>
      <c r="I29" t="s">
        <v>153</v>
      </c>
      <c r="J29">
        <v>25.2</v>
      </c>
      <c r="K29" t="s">
        <v>163</v>
      </c>
      <c r="L29" t="s">
        <v>155</v>
      </c>
      <c r="M29">
        <v>40.5</v>
      </c>
      <c r="N29">
        <v>43.64</v>
      </c>
      <c r="O29">
        <v>30802.54</v>
      </c>
      <c r="P29" t="s">
        <v>164</v>
      </c>
      <c r="Q29">
        <v>30971.35</v>
      </c>
      <c r="R29">
        <v>1.49</v>
      </c>
      <c r="S29">
        <v>-65104</v>
      </c>
      <c r="T29">
        <v>15</v>
      </c>
      <c r="U29" t="s">
        <v>157</v>
      </c>
      <c r="V29" t="s">
        <v>180</v>
      </c>
      <c r="W29">
        <v>0</v>
      </c>
      <c r="X29" t="s">
        <v>166</v>
      </c>
      <c r="Y29" t="s">
        <v>167</v>
      </c>
      <c r="Z29">
        <v>1.1499999999999999</v>
      </c>
      <c r="AA29" t="s">
        <v>161</v>
      </c>
      <c r="AB29" t="s">
        <v>159</v>
      </c>
    </row>
    <row r="30" spans="1:28" x14ac:dyDescent="0.25">
      <c r="A30" t="s">
        <v>201</v>
      </c>
      <c r="B30" t="s">
        <v>206</v>
      </c>
      <c r="C30" t="s">
        <v>7</v>
      </c>
      <c r="D30" t="s">
        <v>14</v>
      </c>
      <c r="E30">
        <v>131</v>
      </c>
      <c r="F30" t="s">
        <v>177</v>
      </c>
      <c r="G30" t="s">
        <v>153</v>
      </c>
      <c r="H30" t="s">
        <v>153</v>
      </c>
      <c r="I30" t="s">
        <v>152</v>
      </c>
      <c r="J30">
        <v>47.2</v>
      </c>
      <c r="K30" t="s">
        <v>163</v>
      </c>
      <c r="L30" t="s">
        <v>175</v>
      </c>
      <c r="M30">
        <v>30.8</v>
      </c>
      <c r="N30">
        <v>43.88</v>
      </c>
      <c r="O30">
        <v>30796.14</v>
      </c>
      <c r="P30" t="s">
        <v>164</v>
      </c>
      <c r="Q30">
        <v>30804.73</v>
      </c>
      <c r="R30">
        <v>0.78</v>
      </c>
      <c r="S30">
        <v>-43802</v>
      </c>
      <c r="T30">
        <v>35</v>
      </c>
      <c r="U30" t="s">
        <v>157</v>
      </c>
      <c r="V30" t="s">
        <v>165</v>
      </c>
      <c r="W30">
        <v>1</v>
      </c>
      <c r="X30" t="s">
        <v>166</v>
      </c>
      <c r="Z30">
        <v>0.37</v>
      </c>
      <c r="AA30" t="s">
        <v>159</v>
      </c>
      <c r="AB30" t="s">
        <v>159</v>
      </c>
    </row>
    <row r="31" spans="1:28" x14ac:dyDescent="0.25">
      <c r="A31" t="s">
        <v>201</v>
      </c>
      <c r="B31" t="s">
        <v>207</v>
      </c>
      <c r="C31" t="s">
        <v>7</v>
      </c>
      <c r="D31" t="s">
        <v>14</v>
      </c>
      <c r="E31">
        <v>51.5</v>
      </c>
      <c r="F31" t="s">
        <v>177</v>
      </c>
      <c r="G31" t="s">
        <v>153</v>
      </c>
      <c r="H31" t="s">
        <v>153</v>
      </c>
      <c r="I31" t="s">
        <v>152</v>
      </c>
      <c r="J31">
        <v>43.2</v>
      </c>
      <c r="K31" t="s">
        <v>163</v>
      </c>
      <c r="L31" t="s">
        <v>175</v>
      </c>
      <c r="M31">
        <v>25.5</v>
      </c>
      <c r="N31">
        <v>42.73</v>
      </c>
      <c r="O31">
        <v>30795.72</v>
      </c>
      <c r="P31" t="s">
        <v>164</v>
      </c>
      <c r="Q31">
        <v>30804.73</v>
      </c>
      <c r="R31">
        <v>1.28</v>
      </c>
      <c r="S31">
        <v>-45830</v>
      </c>
      <c r="T31">
        <v>34</v>
      </c>
      <c r="U31" t="s">
        <v>157</v>
      </c>
      <c r="V31" t="s">
        <v>165</v>
      </c>
      <c r="W31">
        <v>1</v>
      </c>
      <c r="X31" t="s">
        <v>159</v>
      </c>
      <c r="Y31" t="s">
        <v>167</v>
      </c>
      <c r="Z31">
        <v>0.55000000000000004</v>
      </c>
      <c r="AA31" t="s">
        <v>159</v>
      </c>
      <c r="AB31" t="s">
        <v>159</v>
      </c>
    </row>
    <row r="32" spans="1:28" x14ac:dyDescent="0.25">
      <c r="A32" t="s">
        <v>201</v>
      </c>
      <c r="B32" t="s">
        <v>208</v>
      </c>
      <c r="C32" t="s">
        <v>12</v>
      </c>
      <c r="D32" t="s">
        <v>14</v>
      </c>
      <c r="E32">
        <v>11</v>
      </c>
      <c r="F32" t="s">
        <v>153</v>
      </c>
      <c r="G32" t="s">
        <v>153</v>
      </c>
      <c r="H32" t="s">
        <v>153</v>
      </c>
      <c r="I32" t="s">
        <v>153</v>
      </c>
      <c r="J32">
        <v>47.8</v>
      </c>
      <c r="K32" t="s">
        <v>163</v>
      </c>
      <c r="L32" t="s">
        <v>175</v>
      </c>
      <c r="M32">
        <v>19.2</v>
      </c>
      <c r="N32">
        <v>5.45</v>
      </c>
      <c r="O32">
        <v>4323.91</v>
      </c>
      <c r="P32" t="s">
        <v>164</v>
      </c>
      <c r="Q32">
        <v>4323.72</v>
      </c>
      <c r="R32">
        <v>1.45</v>
      </c>
      <c r="S32">
        <v>-1829</v>
      </c>
      <c r="T32">
        <v>17</v>
      </c>
      <c r="U32" t="s">
        <v>157</v>
      </c>
      <c r="V32" t="s">
        <v>165</v>
      </c>
      <c r="W32">
        <v>1</v>
      </c>
      <c r="X32" t="s">
        <v>209</v>
      </c>
      <c r="Y32" t="s">
        <v>170</v>
      </c>
      <c r="Z32">
        <v>1.21</v>
      </c>
      <c r="AA32" t="s">
        <v>161</v>
      </c>
      <c r="AB32" t="s">
        <v>161</v>
      </c>
    </row>
    <row r="33" spans="1:28" x14ac:dyDescent="0.25">
      <c r="A33" t="s">
        <v>201</v>
      </c>
      <c r="B33" t="s">
        <v>210</v>
      </c>
      <c r="C33" t="s">
        <v>7</v>
      </c>
      <c r="D33" t="s">
        <v>14</v>
      </c>
      <c r="E33">
        <v>22</v>
      </c>
      <c r="F33" t="s">
        <v>177</v>
      </c>
      <c r="G33" t="s">
        <v>153</v>
      </c>
      <c r="H33" t="s">
        <v>153</v>
      </c>
      <c r="I33" t="s">
        <v>153</v>
      </c>
      <c r="J33">
        <v>35.1</v>
      </c>
      <c r="K33" t="s">
        <v>163</v>
      </c>
      <c r="L33" t="s">
        <v>155</v>
      </c>
      <c r="M33">
        <v>32.9</v>
      </c>
      <c r="N33">
        <v>32.08</v>
      </c>
      <c r="O33">
        <v>30775.83</v>
      </c>
      <c r="P33" t="s">
        <v>164</v>
      </c>
      <c r="Q33">
        <v>30739.94</v>
      </c>
      <c r="R33">
        <v>1.44</v>
      </c>
      <c r="S33">
        <v>-58182</v>
      </c>
      <c r="T33">
        <v>13</v>
      </c>
      <c r="U33" t="s">
        <v>179</v>
      </c>
      <c r="V33" t="s">
        <v>180</v>
      </c>
      <c r="W33">
        <v>0</v>
      </c>
      <c r="X33" t="s">
        <v>166</v>
      </c>
      <c r="Y33" t="s">
        <v>188</v>
      </c>
      <c r="Z33">
        <v>0.96</v>
      </c>
      <c r="AA33" t="s">
        <v>161</v>
      </c>
      <c r="AB33" t="s">
        <v>159</v>
      </c>
    </row>
    <row r="34" spans="1:28" x14ac:dyDescent="0.25">
      <c r="A34" t="s">
        <v>201</v>
      </c>
      <c r="B34" t="s">
        <v>211</v>
      </c>
      <c r="C34" t="s">
        <v>7</v>
      </c>
      <c r="D34" t="s">
        <v>14</v>
      </c>
      <c r="E34">
        <v>9.5</v>
      </c>
      <c r="F34" t="s">
        <v>177</v>
      </c>
      <c r="G34" t="s">
        <v>153</v>
      </c>
      <c r="H34" t="s">
        <v>153</v>
      </c>
      <c r="I34" t="s">
        <v>153</v>
      </c>
      <c r="J34">
        <v>55.1</v>
      </c>
      <c r="K34" t="s">
        <v>163</v>
      </c>
      <c r="L34" t="s">
        <v>175</v>
      </c>
      <c r="M34">
        <v>25.8</v>
      </c>
      <c r="N34">
        <v>35.07</v>
      </c>
      <c r="O34">
        <v>30770.1</v>
      </c>
      <c r="P34" t="s">
        <v>164</v>
      </c>
      <c r="Q34">
        <v>30739.94</v>
      </c>
      <c r="R34">
        <v>2.99</v>
      </c>
      <c r="S34">
        <v>-50596</v>
      </c>
      <c r="T34">
        <v>27</v>
      </c>
      <c r="U34" t="s">
        <v>157</v>
      </c>
      <c r="V34" t="s">
        <v>180</v>
      </c>
      <c r="W34">
        <v>0</v>
      </c>
      <c r="X34" t="s">
        <v>166</v>
      </c>
      <c r="Y34" t="s">
        <v>170</v>
      </c>
      <c r="Z34">
        <v>1.96</v>
      </c>
      <c r="AA34" t="s">
        <v>161</v>
      </c>
      <c r="AB34" t="s">
        <v>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9" customWidth="1"/>
    <col min="4" max="4" width="8" customWidth="1"/>
    <col min="5" max="5" width="34" customWidth="1"/>
    <col min="6" max="8" width="10" customWidth="1"/>
  </cols>
  <sheetData>
    <row r="1" spans="1:8" x14ac:dyDescent="0.25">
      <c r="A1" s="18" t="s">
        <v>124</v>
      </c>
      <c r="B1" s="18" t="s">
        <v>212</v>
      </c>
      <c r="C1" s="18" t="s">
        <v>213</v>
      </c>
      <c r="D1" s="18" t="s">
        <v>214</v>
      </c>
      <c r="E1" s="18" t="s">
        <v>215</v>
      </c>
      <c r="F1" s="18" t="s">
        <v>216</v>
      </c>
      <c r="G1" s="18" t="s">
        <v>217</v>
      </c>
      <c r="H1" s="18" t="s">
        <v>218</v>
      </c>
    </row>
    <row r="2" spans="1:8" x14ac:dyDescent="0.25">
      <c r="A2" t="s">
        <v>219</v>
      </c>
      <c r="B2" t="s">
        <v>220</v>
      </c>
      <c r="C2" t="s">
        <v>221</v>
      </c>
      <c r="D2" t="s">
        <v>222</v>
      </c>
      <c r="E2" t="s">
        <v>223</v>
      </c>
      <c r="F2" t="s">
        <v>224</v>
      </c>
      <c r="G2" t="s">
        <v>225</v>
      </c>
      <c r="H2" t="s">
        <v>225</v>
      </c>
    </row>
    <row r="3" spans="1:8" x14ac:dyDescent="0.25">
      <c r="A3" t="s">
        <v>226</v>
      </c>
      <c r="B3" t="s">
        <v>220</v>
      </c>
      <c r="C3" t="s">
        <v>221</v>
      </c>
      <c r="D3" t="s">
        <v>222</v>
      </c>
      <c r="E3" t="s">
        <v>227</v>
      </c>
      <c r="F3" t="s">
        <v>225</v>
      </c>
      <c r="G3" t="s">
        <v>224</v>
      </c>
      <c r="H3" t="s">
        <v>224</v>
      </c>
    </row>
    <row r="4" spans="1:8" x14ac:dyDescent="0.25">
      <c r="A4" t="s">
        <v>228</v>
      </c>
      <c r="B4" t="s">
        <v>220</v>
      </c>
      <c r="C4" t="s">
        <v>221</v>
      </c>
      <c r="D4" t="s">
        <v>222</v>
      </c>
      <c r="E4" t="s">
        <v>229</v>
      </c>
      <c r="F4" t="s">
        <v>230</v>
      </c>
      <c r="G4" t="s">
        <v>231</v>
      </c>
      <c r="H4" t="s">
        <v>232</v>
      </c>
    </row>
    <row r="5" spans="1:8" x14ac:dyDescent="0.25">
      <c r="A5" t="s">
        <v>228</v>
      </c>
      <c r="B5" t="s">
        <v>233</v>
      </c>
      <c r="C5" t="s">
        <v>221</v>
      </c>
      <c r="D5" t="s">
        <v>222</v>
      </c>
      <c r="E5" t="s">
        <v>234</v>
      </c>
      <c r="F5" t="s">
        <v>235</v>
      </c>
      <c r="G5" t="s">
        <v>235</v>
      </c>
      <c r="H5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9"/>
  <sheetViews>
    <sheetView workbookViewId="0"/>
  </sheetViews>
  <sheetFormatPr defaultRowHeight="15" x14ac:dyDescent="0.25"/>
  <cols>
    <col min="1" max="1" width="30" customWidth="1"/>
    <col min="2" max="7" width="14" customWidth="1"/>
  </cols>
  <sheetData>
    <row r="1" spans="1:2" ht="17.25" x14ac:dyDescent="0.3">
      <c r="A1" s="19" t="s">
        <v>237</v>
      </c>
    </row>
    <row r="2" spans="1:2" x14ac:dyDescent="0.25">
      <c r="A2" t="s">
        <v>238</v>
      </c>
      <c r="B2" t="s">
        <v>239</v>
      </c>
    </row>
    <row r="3" spans="1:2" x14ac:dyDescent="0.25">
      <c r="A3" t="s">
        <v>240</v>
      </c>
      <c r="B3" t="s">
        <v>241</v>
      </c>
    </row>
    <row r="4" spans="1:2" x14ac:dyDescent="0.25">
      <c r="A4" t="s">
        <v>242</v>
      </c>
      <c r="B4">
        <v>33</v>
      </c>
    </row>
    <row r="5" spans="1:2" x14ac:dyDescent="0.25">
      <c r="A5" t="s">
        <v>243</v>
      </c>
      <c r="B5" t="s">
        <v>244</v>
      </c>
    </row>
    <row r="6" spans="1:2" x14ac:dyDescent="0.25">
      <c r="A6" t="s">
        <v>245</v>
      </c>
      <c r="B6">
        <v>-779.94</v>
      </c>
    </row>
    <row r="7" spans="1:2" x14ac:dyDescent="0.25">
      <c r="A7" t="s">
        <v>246</v>
      </c>
      <c r="B7">
        <v>0.44</v>
      </c>
    </row>
    <row r="8" spans="1:2" x14ac:dyDescent="0.25">
      <c r="A8" t="s">
        <v>247</v>
      </c>
      <c r="B8">
        <v>-23.63</v>
      </c>
    </row>
    <row r="9" spans="1:2" x14ac:dyDescent="0.25">
      <c r="A9" t="s">
        <v>248</v>
      </c>
      <c r="B9">
        <v>31.71</v>
      </c>
    </row>
    <row r="10" spans="1:2" x14ac:dyDescent="0.25">
      <c r="A10" t="s">
        <v>249</v>
      </c>
      <c r="B10">
        <v>-98.75</v>
      </c>
    </row>
    <row r="11" spans="1:2" x14ac:dyDescent="0.25">
      <c r="A11" t="s">
        <v>250</v>
      </c>
      <c r="B11">
        <v>0.87</v>
      </c>
    </row>
    <row r="12" spans="1:2" x14ac:dyDescent="0.25">
      <c r="A12" t="s">
        <v>251</v>
      </c>
      <c r="B12">
        <v>-0.22</v>
      </c>
    </row>
    <row r="13" spans="1:2" x14ac:dyDescent="0.25">
      <c r="A13" t="s">
        <v>252</v>
      </c>
      <c r="B13">
        <v>-1139.94</v>
      </c>
    </row>
    <row r="14" spans="1:2" x14ac:dyDescent="0.25">
      <c r="A14" t="s">
        <v>253</v>
      </c>
      <c r="B14">
        <v>7</v>
      </c>
    </row>
    <row r="15" spans="1:2" x14ac:dyDescent="0.25">
      <c r="A15" t="s">
        <v>254</v>
      </c>
      <c r="B15">
        <v>5</v>
      </c>
    </row>
    <row r="17" spans="1:5" ht="17.25" x14ac:dyDescent="0.3">
      <c r="A17" s="19" t="s">
        <v>255</v>
      </c>
    </row>
    <row r="18" spans="1:5" x14ac:dyDescent="0.25">
      <c r="A18" s="18" t="s">
        <v>33</v>
      </c>
      <c r="B18" s="18" t="s">
        <v>242</v>
      </c>
      <c r="C18" s="18" t="s">
        <v>256</v>
      </c>
      <c r="D18" s="18" t="s">
        <v>245</v>
      </c>
      <c r="E18" s="18" t="s">
        <v>257</v>
      </c>
    </row>
    <row r="19" spans="1:5" x14ac:dyDescent="0.25">
      <c r="A19" t="s">
        <v>9</v>
      </c>
      <c r="B19">
        <v>33</v>
      </c>
      <c r="C19" t="s">
        <v>258</v>
      </c>
      <c r="D19">
        <v>-779.94</v>
      </c>
      <c r="E19">
        <v>-23.63</v>
      </c>
    </row>
    <row r="21" spans="1:5" ht="17.25" x14ac:dyDescent="0.3">
      <c r="A21" s="19" t="s">
        <v>259</v>
      </c>
    </row>
    <row r="22" spans="1:5" x14ac:dyDescent="0.25">
      <c r="A22" s="18" t="s">
        <v>260</v>
      </c>
      <c r="B22" s="18" t="s">
        <v>242</v>
      </c>
      <c r="C22" s="18" t="s">
        <v>256</v>
      </c>
      <c r="D22" s="18" t="s">
        <v>245</v>
      </c>
      <c r="E22" s="18" t="s">
        <v>257</v>
      </c>
    </row>
    <row r="23" spans="1:5" x14ac:dyDescent="0.25">
      <c r="A23" t="s">
        <v>7</v>
      </c>
      <c r="B23">
        <v>18</v>
      </c>
      <c r="C23" t="s">
        <v>261</v>
      </c>
      <c r="D23">
        <v>219.06</v>
      </c>
      <c r="E23">
        <v>12.17</v>
      </c>
    </row>
    <row r="24" spans="1:5" x14ac:dyDescent="0.25">
      <c r="A24" t="s">
        <v>12</v>
      </c>
      <c r="B24">
        <v>15</v>
      </c>
      <c r="C24" t="s">
        <v>262</v>
      </c>
      <c r="D24">
        <v>-999</v>
      </c>
      <c r="E24">
        <v>-66.599999999999994</v>
      </c>
    </row>
    <row r="26" spans="1:5" ht="17.25" x14ac:dyDescent="0.3">
      <c r="A26" s="19" t="s">
        <v>263</v>
      </c>
    </row>
    <row r="27" spans="1:5" x14ac:dyDescent="0.25">
      <c r="A27" s="18" t="s">
        <v>264</v>
      </c>
      <c r="B27" s="18" t="s">
        <v>242</v>
      </c>
      <c r="C27" s="18" t="s">
        <v>256</v>
      </c>
      <c r="D27" s="18" t="s">
        <v>245</v>
      </c>
      <c r="E27" s="18" t="s">
        <v>257</v>
      </c>
    </row>
    <row r="28" spans="1:5" x14ac:dyDescent="0.25">
      <c r="A28" t="s">
        <v>14</v>
      </c>
      <c r="B28">
        <v>19</v>
      </c>
      <c r="C28" t="s">
        <v>265</v>
      </c>
      <c r="D28">
        <v>-38</v>
      </c>
      <c r="E28">
        <v>-2</v>
      </c>
    </row>
    <row r="29" spans="1:5" x14ac:dyDescent="0.25">
      <c r="A29" t="s">
        <v>8</v>
      </c>
      <c r="B29">
        <v>14</v>
      </c>
      <c r="C29" t="s">
        <v>266</v>
      </c>
      <c r="D29">
        <v>-741.94</v>
      </c>
      <c r="E29">
        <v>-53</v>
      </c>
    </row>
    <row r="31" spans="1:5" ht="17.25" x14ac:dyDescent="0.3">
      <c r="A31" s="19" t="s">
        <v>267</v>
      </c>
    </row>
    <row r="32" spans="1:5" x14ac:dyDescent="0.25">
      <c r="A32" s="18" t="s">
        <v>268</v>
      </c>
      <c r="B32" s="18" t="s">
        <v>242</v>
      </c>
      <c r="C32" s="18" t="s">
        <v>256</v>
      </c>
      <c r="D32" s="18" t="s">
        <v>245</v>
      </c>
      <c r="E32" s="18" t="s">
        <v>257</v>
      </c>
    </row>
    <row r="33" spans="1:5" x14ac:dyDescent="0.25">
      <c r="A33" t="s">
        <v>269</v>
      </c>
      <c r="B33">
        <v>2</v>
      </c>
      <c r="C33" t="s">
        <v>270</v>
      </c>
      <c r="D33">
        <v>-31</v>
      </c>
      <c r="E33">
        <v>-15.5</v>
      </c>
    </row>
    <row r="34" spans="1:5" x14ac:dyDescent="0.25">
      <c r="A34" t="s">
        <v>271</v>
      </c>
      <c r="B34">
        <v>5</v>
      </c>
      <c r="C34" t="s">
        <v>272</v>
      </c>
      <c r="D34">
        <v>90</v>
      </c>
      <c r="E34">
        <v>18</v>
      </c>
    </row>
    <row r="35" spans="1:5" x14ac:dyDescent="0.25">
      <c r="A35" t="s">
        <v>273</v>
      </c>
      <c r="B35">
        <v>3</v>
      </c>
      <c r="C35" t="s">
        <v>274</v>
      </c>
      <c r="D35">
        <v>202.5</v>
      </c>
      <c r="E35">
        <v>67.5</v>
      </c>
    </row>
    <row r="36" spans="1:5" x14ac:dyDescent="0.25">
      <c r="A36" t="s">
        <v>275</v>
      </c>
      <c r="B36">
        <v>3</v>
      </c>
      <c r="C36" t="s">
        <v>274</v>
      </c>
      <c r="D36">
        <v>42.5</v>
      </c>
      <c r="E36">
        <v>14.17</v>
      </c>
    </row>
    <row r="37" spans="1:5" x14ac:dyDescent="0.25">
      <c r="A37" t="s">
        <v>233</v>
      </c>
      <c r="B37">
        <v>1</v>
      </c>
      <c r="C37" t="s">
        <v>276</v>
      </c>
      <c r="D37">
        <v>-406</v>
      </c>
      <c r="E37">
        <v>-406</v>
      </c>
    </row>
    <row r="38" spans="1:5" x14ac:dyDescent="0.25">
      <c r="A38" t="s">
        <v>277</v>
      </c>
      <c r="B38">
        <v>4</v>
      </c>
      <c r="C38" t="s">
        <v>270</v>
      </c>
      <c r="D38">
        <v>-36</v>
      </c>
      <c r="E38">
        <v>-9</v>
      </c>
    </row>
    <row r="39" spans="1:5" x14ac:dyDescent="0.25">
      <c r="A39" t="s">
        <v>278</v>
      </c>
      <c r="B39">
        <v>1</v>
      </c>
      <c r="C39" t="s">
        <v>276</v>
      </c>
      <c r="D39">
        <v>-100</v>
      </c>
      <c r="E39">
        <v>-100</v>
      </c>
    </row>
    <row r="40" spans="1:5" x14ac:dyDescent="0.25">
      <c r="A40" t="s">
        <v>279</v>
      </c>
      <c r="B40">
        <v>2</v>
      </c>
      <c r="C40" t="s">
        <v>276</v>
      </c>
      <c r="D40">
        <v>-175.94</v>
      </c>
      <c r="E40">
        <v>-87.97</v>
      </c>
    </row>
    <row r="41" spans="1:5" x14ac:dyDescent="0.25">
      <c r="A41" t="s">
        <v>280</v>
      </c>
      <c r="B41">
        <v>6</v>
      </c>
      <c r="C41" t="s">
        <v>281</v>
      </c>
      <c r="D41">
        <v>-387</v>
      </c>
      <c r="E41">
        <v>-64.5</v>
      </c>
    </row>
    <row r="42" spans="1:5" x14ac:dyDescent="0.25">
      <c r="A42" t="s">
        <v>282</v>
      </c>
      <c r="B42">
        <v>6</v>
      </c>
      <c r="C42" t="s">
        <v>283</v>
      </c>
      <c r="D42">
        <v>21</v>
      </c>
      <c r="E42">
        <v>3.5</v>
      </c>
    </row>
    <row r="44" spans="1:5" ht="17.25" x14ac:dyDescent="0.3">
      <c r="A44" s="19" t="s">
        <v>284</v>
      </c>
    </row>
    <row r="45" spans="1:5" x14ac:dyDescent="0.25">
      <c r="A45" s="18" t="s">
        <v>285</v>
      </c>
      <c r="B45" s="18" t="s">
        <v>242</v>
      </c>
      <c r="C45" s="18" t="s">
        <v>256</v>
      </c>
      <c r="D45" s="18" t="s">
        <v>245</v>
      </c>
      <c r="E45" s="18" t="s">
        <v>257</v>
      </c>
    </row>
    <row r="46" spans="1:5" x14ac:dyDescent="0.25">
      <c r="A46" t="s">
        <v>286</v>
      </c>
      <c r="B46">
        <v>26</v>
      </c>
      <c r="C46" t="s">
        <v>287</v>
      </c>
      <c r="D46">
        <v>-87</v>
      </c>
      <c r="E46">
        <v>-3.35</v>
      </c>
    </row>
    <row r="47" spans="1:5" x14ac:dyDescent="0.25">
      <c r="A47" t="s">
        <v>288</v>
      </c>
      <c r="B47">
        <v>7</v>
      </c>
      <c r="C47" t="s">
        <v>289</v>
      </c>
      <c r="D47">
        <v>-692.94</v>
      </c>
      <c r="E47">
        <v>-98.99</v>
      </c>
    </row>
    <row r="49" spans="1:2" ht="17.25" x14ac:dyDescent="0.3">
      <c r="A49" s="19" t="s">
        <v>290</v>
      </c>
    </row>
    <row r="50" spans="1:2" x14ac:dyDescent="0.25">
      <c r="A50" t="s">
        <v>291</v>
      </c>
      <c r="B50" t="s">
        <v>292</v>
      </c>
    </row>
    <row r="51" spans="1:2" x14ac:dyDescent="0.25">
      <c r="A51" t="s">
        <v>291</v>
      </c>
      <c r="B51" t="s">
        <v>293</v>
      </c>
    </row>
    <row r="52" spans="1:2" x14ac:dyDescent="0.25">
      <c r="A52" t="s">
        <v>291</v>
      </c>
      <c r="B52" t="s">
        <v>294</v>
      </c>
    </row>
    <row r="53" spans="1:2" x14ac:dyDescent="0.25">
      <c r="A53" t="s">
        <v>295</v>
      </c>
      <c r="B53" t="s">
        <v>296</v>
      </c>
    </row>
    <row r="54" spans="1:2" x14ac:dyDescent="0.25">
      <c r="A54" t="s">
        <v>295</v>
      </c>
      <c r="B54" t="s">
        <v>297</v>
      </c>
    </row>
    <row r="55" spans="1:2" x14ac:dyDescent="0.25">
      <c r="A55" t="s">
        <v>295</v>
      </c>
      <c r="B55" t="s">
        <v>298</v>
      </c>
    </row>
    <row r="56" spans="1:2" x14ac:dyDescent="0.25">
      <c r="A56" t="s">
        <v>295</v>
      </c>
      <c r="B56" t="s">
        <v>299</v>
      </c>
    </row>
    <row r="57" spans="1:2" x14ac:dyDescent="0.25">
      <c r="A57" t="s">
        <v>295</v>
      </c>
      <c r="B57" t="s">
        <v>300</v>
      </c>
    </row>
    <row r="58" spans="1:2" x14ac:dyDescent="0.25">
      <c r="A58" t="s">
        <v>295</v>
      </c>
      <c r="B58" t="s">
        <v>301</v>
      </c>
    </row>
    <row r="59" spans="1:2" x14ac:dyDescent="0.25">
      <c r="A59" t="s">
        <v>295</v>
      </c>
      <c r="B59" t="s">
        <v>302</v>
      </c>
    </row>
    <row r="60" spans="1:2" x14ac:dyDescent="0.25">
      <c r="A60" t="s">
        <v>295</v>
      </c>
      <c r="B60" t="s">
        <v>303</v>
      </c>
    </row>
    <row r="61" spans="1:2" x14ac:dyDescent="0.25">
      <c r="A61" t="s">
        <v>295</v>
      </c>
      <c r="B61" t="s">
        <v>304</v>
      </c>
    </row>
    <row r="62" spans="1:2" x14ac:dyDescent="0.25">
      <c r="A62" t="s">
        <v>305</v>
      </c>
      <c r="B62" t="s">
        <v>306</v>
      </c>
    </row>
    <row r="63" spans="1:2" x14ac:dyDescent="0.25">
      <c r="A63" t="s">
        <v>305</v>
      </c>
      <c r="B63" t="s">
        <v>307</v>
      </c>
    </row>
    <row r="64" spans="1:2" x14ac:dyDescent="0.25">
      <c r="A64" t="s">
        <v>305</v>
      </c>
      <c r="B64" t="s">
        <v>308</v>
      </c>
    </row>
    <row r="65" spans="1:2" x14ac:dyDescent="0.25">
      <c r="A65" t="s">
        <v>309</v>
      </c>
      <c r="B65" t="s">
        <v>310</v>
      </c>
    </row>
    <row r="66" spans="1:2" x14ac:dyDescent="0.25">
      <c r="A66" t="s">
        <v>311</v>
      </c>
      <c r="B66" t="s">
        <v>312</v>
      </c>
    </row>
    <row r="67" spans="1:2" x14ac:dyDescent="0.25">
      <c r="A67" t="s">
        <v>313</v>
      </c>
      <c r="B67" t="s">
        <v>314</v>
      </c>
    </row>
    <row r="68" spans="1:2" x14ac:dyDescent="0.25">
      <c r="A68" t="s">
        <v>315</v>
      </c>
      <c r="B68" t="s">
        <v>316</v>
      </c>
    </row>
    <row r="69" spans="1:2" x14ac:dyDescent="0.25">
      <c r="A69" t="s">
        <v>315</v>
      </c>
      <c r="B69" t="s">
        <v>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5" x14ac:dyDescent="0.25"/>
  <cols>
    <col min="1" max="1" width="120" customWidth="1"/>
  </cols>
  <sheetData>
    <row r="1" spans="1:1" ht="17.25" x14ac:dyDescent="0.3">
      <c r="A1" s="19" t="s">
        <v>318</v>
      </c>
    </row>
    <row r="3" spans="1:1" x14ac:dyDescent="0.25">
      <c r="A3" s="12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Trade Tracker - Eval</vt:lpstr>
      <vt:lpstr>Multipliers</vt:lpstr>
      <vt:lpstr>Tag Options</vt:lpstr>
      <vt:lpstr>Trading Rules</vt:lpstr>
      <vt:lpstr>Indicators</vt:lpstr>
      <vt:lpstr>Economic News</vt:lpstr>
      <vt:lpstr>Analysis</vt:lpstr>
      <vt:lpstr>AI 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Basit, Abdul (DTMB-Contractor)</cp:lastModifiedBy>
  <dcterms:created xsi:type="dcterms:W3CDTF">2026-08-17T16:33:06Z</dcterms:created>
  <dcterms:modified xsi:type="dcterms:W3CDTF">2026-09-23T19:54:46Z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2026-09-23T19:52:22Z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64e8c346-6b4c-472e-aeba-838669fb937b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