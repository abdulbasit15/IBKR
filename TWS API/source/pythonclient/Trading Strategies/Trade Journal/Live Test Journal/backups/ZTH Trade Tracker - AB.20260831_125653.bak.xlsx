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AI Suggestions" sheetId="6" state="visible" r:id="rId6"/>
    <sheet xmlns:r="http://schemas.openxmlformats.org/officeDocument/2006/relationships" name="Economic News" sheetId="7" state="visible" r:id="rId7"/>
    <sheet xmlns:r="http://schemas.openxmlformats.org/officeDocument/2006/relationships" name="Indicator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6B7280"/>
      <sz val="11"/>
    </font>
    <font>
      <b val="1"/>
      <color rgb="00FFFFFF"/>
    </font>
    <font>
      <b val="1"/>
      <color rgb="00111827"/>
      <sz val="13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5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inlineStr">
        <is>
          <t>Cut winner early, 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inlineStr">
        <is>
          <t>Oversized, 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inlineStr">
        <is>
          <t>Oversized,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inlineStr">
        <is>
          <t>Oversized, Revenge trade, 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inlineStr">
        <is>
          <t>Oversized, 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inlineStr">
        <is>
          <t>Oversized, 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Oversized, 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Oversized,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Oversized,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Oversized, 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Oversized, 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inlineStr">
        <is>
          <t>Oversized, 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Oversized, 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inlineStr">
        <is>
          <t>Blew stop,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inlineStr">
        <is>
          <t>Revenge trade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inlineStr">
        <is>
          <t>Blew stop, Revenge trade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inlineStr">
        <is>
          <t>Revenge trade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inlineStr">
        <is>
          <t>Revenge trade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58</v>
      </c>
      <c r="B53" s="13" t="n">
        <v>46258</v>
      </c>
      <c r="C53" s="10" t="n">
        <v>0.01273148148148148</v>
      </c>
      <c r="D53" s="5" t="inlineStr">
        <is>
          <t>MGC</t>
        </is>
      </c>
      <c r="E53" s="5" t="inlineStr">
        <is>
          <t>Long</t>
        </is>
      </c>
      <c r="F53" s="5" t="n">
        <v>4695.333333</v>
      </c>
      <c r="G53" s="5" t="n">
        <v>4695.866667</v>
      </c>
      <c r="H53" s="5" t="n">
        <v>3</v>
      </c>
      <c r="I53" s="5" t="n">
        <v>4688.5</v>
      </c>
      <c r="J53" s="5" t="n">
        <v>4696.2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MGC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59</v>
      </c>
      <c r="B54" s="13" t="n">
        <v>46258</v>
      </c>
      <c r="C54" s="10" t="n">
        <v>0.402349537037037</v>
      </c>
      <c r="D54" s="5" t="inlineStr">
        <is>
          <t>MGC</t>
        </is>
      </c>
      <c r="E54" s="5" t="inlineStr">
        <is>
          <t>Long</t>
        </is>
      </c>
      <c r="F54" s="5" t="n">
        <v>4725.3</v>
      </c>
      <c r="G54" s="5" t="n">
        <v>4719.3</v>
      </c>
      <c r="H54" s="5" t="n">
        <v>2</v>
      </c>
      <c r="I54" s="5" t="n">
        <v>4719.3</v>
      </c>
      <c r="J54" s="5" t="n">
        <v>4742.7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MGC</t>
        </is>
      </c>
      <c r="T54" s="5" t="n"/>
      <c r="U54" s="5" t="n"/>
      <c r="V54" s="5" t="inlineStr">
        <is>
          <t>Revenge trade</t>
        </is>
      </c>
      <c r="W54" s="5" t="inlineStr">
        <is>
          <t>FOMO, Ranging, Outside session</t>
        </is>
      </c>
      <c r="X54" s="5" t="n"/>
      <c r="Y54" s="5" t="n"/>
      <c r="Z54" s="5" t="n"/>
      <c r="AA54" s="5" t="n"/>
    </row>
    <row r="55" ht="15.75" customHeight="1">
      <c r="A55" s="5" t="n">
        <v>60</v>
      </c>
      <c r="B55" s="13" t="n">
        <v>46258</v>
      </c>
      <c r="C55" s="10" t="n">
        <v>0.4570601851851852</v>
      </c>
      <c r="D55" s="5" t="inlineStr">
        <is>
          <t>MNQ</t>
        </is>
      </c>
      <c r="E55" s="5" t="inlineStr">
        <is>
          <t>Long</t>
        </is>
      </c>
      <c r="F55" s="5" t="n">
        <v>29081.5</v>
      </c>
      <c r="G55" s="5" t="n">
        <v>29063.75</v>
      </c>
      <c r="H55" s="5" t="n">
        <v>3</v>
      </c>
      <c r="I55" s="5" t="n">
        <v>29063.75</v>
      </c>
      <c r="J55" s="5" t="n">
        <v>29085.25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MNQ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>
        <v>61</v>
      </c>
      <c r="B56" s="13" t="n">
        <v>46258</v>
      </c>
      <c r="C56" s="10" t="n">
        <v>0.4674074074074074</v>
      </c>
      <c r="D56" s="5" t="inlineStr">
        <is>
          <t>MNQ</t>
        </is>
      </c>
      <c r="E56" s="5" t="inlineStr">
        <is>
          <t>Short</t>
        </is>
      </c>
      <c r="F56" s="5" t="n">
        <v>29068.75</v>
      </c>
      <c r="G56" s="5" t="n">
        <v>29092.75</v>
      </c>
      <c r="H56" s="5" t="n">
        <v>5</v>
      </c>
      <c r="I56" s="5" t="n">
        <v>29101.5</v>
      </c>
      <c r="J56" s="5" t="n">
        <v>29044.25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inlineStr"/>
      <c r="V56" s="5" t="inlineStr">
        <is>
          <t>Revenge trade</t>
        </is>
      </c>
      <c r="W56" s="5" t="inlineStr"/>
      <c r="X56" s="5" t="inlineStr">
        <is>
          <t>Trending up</t>
        </is>
      </c>
      <c r="Y56" s="5" t="inlineStr"/>
      <c r="Z56" s="5" t="inlineStr"/>
      <c r="AA56" s="5" t="inlineStr"/>
    </row>
    <row r="57" ht="15.75" customHeight="1">
      <c r="A57" s="5" t="n">
        <v>62</v>
      </c>
      <c r="B57" s="13" t="n">
        <v>46259</v>
      </c>
      <c r="C57" s="10" t="n">
        <v>0.4101388888888889</v>
      </c>
      <c r="D57" s="5" t="inlineStr">
        <is>
          <t>MGC</t>
        </is>
      </c>
      <c r="E57" s="5" t="inlineStr">
        <is>
          <t>Short</t>
        </is>
      </c>
      <c r="F57" s="5" t="n">
        <v>4664</v>
      </c>
      <c r="G57" s="5" t="n">
        <v>4671.5</v>
      </c>
      <c r="H57" s="5" t="n">
        <v>3</v>
      </c>
      <c r="I57" s="5" t="n">
        <v>4671.3</v>
      </c>
      <c r="J57" s="5" t="n">
        <v>4652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Retest, Rejection</t>
        </is>
      </c>
      <c r="R57" s="5" t="inlineStr">
        <is>
          <t>Imported from Tradovate</t>
        </is>
      </c>
      <c r="S57" s="5" t="inlineStr">
        <is>
          <t>MGC</t>
        </is>
      </c>
      <c r="T57" s="5" t="n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</row>
    <row r="58" ht="15.75" customHeight="1">
      <c r="A58" s="5" t="n">
        <v>63</v>
      </c>
      <c r="B58" s="13" t="n">
        <v>46259</v>
      </c>
      <c r="C58" s="10" t="n">
        <v>0.4322453703703704</v>
      </c>
      <c r="D58" s="5" t="inlineStr">
        <is>
          <t>MNQ</t>
        </is>
      </c>
      <c r="E58" s="5" t="inlineStr">
        <is>
          <t>Long</t>
        </is>
      </c>
      <c r="F58" s="5" t="n">
        <v>29238.75</v>
      </c>
      <c r="G58" s="5" t="n">
        <v>29229.75</v>
      </c>
      <c r="H58" s="5" t="n">
        <v>5</v>
      </c>
      <c r="I58" s="5" t="n">
        <v>29226.25</v>
      </c>
      <c r="J58" s="5" t="n">
        <v>29286.25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MNQ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64</v>
      </c>
      <c r="B59" s="13" t="n">
        <v>46259</v>
      </c>
      <c r="C59" s="10" t="n">
        <v>0.4391087962962963</v>
      </c>
      <c r="D59" s="5" t="inlineStr">
        <is>
          <t>MNQ</t>
        </is>
      </c>
      <c r="E59" s="5" t="inlineStr">
        <is>
          <t>Short</t>
        </is>
      </c>
      <c r="F59" s="5" t="n">
        <v>29245.5</v>
      </c>
      <c r="G59" s="5" t="n">
        <v>29229.416667</v>
      </c>
      <c r="H59" s="5" t="n">
        <v>3</v>
      </c>
      <c r="I59" s="5" t="n">
        <v>29278</v>
      </c>
      <c r="J59" s="5" t="n">
        <v>29175.25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inlineStr">
        <is>
          <t>Cut winner early</t>
        </is>
      </c>
      <c r="W59" s="5" t="n"/>
      <c r="X59" s="5" t="n"/>
      <c r="Y59" s="5" t="n"/>
      <c r="Z59" s="5" t="n"/>
      <c r="AA59" s="5" t="n"/>
    </row>
    <row r="60" ht="15.75" customHeight="1">
      <c r="A60" s="5" t="n">
        <v>65</v>
      </c>
      <c r="B60" s="22" t="n">
        <v>46259</v>
      </c>
      <c r="C60" s="10" t="n">
        <v>0.5224537037037037</v>
      </c>
      <c r="D60" s="5" t="inlineStr">
        <is>
          <t>MGC</t>
        </is>
      </c>
      <c r="E60" s="5" t="inlineStr">
        <is>
          <t>Short</t>
        </is>
      </c>
      <c r="F60" s="5" t="n">
        <v>4699.4</v>
      </c>
      <c r="G60" s="5" t="n">
        <v>4699.1</v>
      </c>
      <c r="H60" s="5" t="n">
        <v>3</v>
      </c>
      <c r="I60" s="5" t="n">
        <v>4705.8</v>
      </c>
      <c r="J60" s="5" t="n">
        <v>4699.1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66</v>
      </c>
      <c r="B61" s="22" t="n">
        <v>46259</v>
      </c>
      <c r="C61" s="10" t="n">
        <v>0.9720717592592593</v>
      </c>
      <c r="D61" s="5" t="inlineStr">
        <is>
          <t>MGC</t>
        </is>
      </c>
      <c r="E61" s="5" t="inlineStr">
        <is>
          <t>Short</t>
        </is>
      </c>
      <c r="F61" s="5" t="n">
        <v>4703.7</v>
      </c>
      <c r="G61" s="5" t="n">
        <v>4703</v>
      </c>
      <c r="H61" s="5" t="n">
        <v>5</v>
      </c>
      <c r="I61" s="5" t="n"/>
      <c r="J61" s="5" t="n">
        <v>4703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67</v>
      </c>
      <c r="B62" s="22" t="n">
        <v>46260</v>
      </c>
      <c r="C62" s="10" t="n">
        <v>0.4103125</v>
      </c>
      <c r="D62" s="5" t="inlineStr">
        <is>
          <t>MGC</t>
        </is>
      </c>
      <c r="E62" s="5" t="inlineStr">
        <is>
          <t>Long</t>
        </is>
      </c>
      <c r="F62" s="5" t="n">
        <v>4679.6</v>
      </c>
      <c r="G62" s="5" t="n">
        <v>4680.3</v>
      </c>
      <c r="H62" s="5" t="n">
        <v>3</v>
      </c>
      <c r="I62" s="5" t="n">
        <v>4673.7</v>
      </c>
      <c r="J62" s="5" t="n">
        <v>4680.3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MGC</t>
        </is>
      </c>
      <c r="T62" s="5" t="n"/>
      <c r="U62" s="5" t="n"/>
      <c r="V62" s="5" t="inlineStr">
        <is>
          <t>Overtraded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68</v>
      </c>
      <c r="B63" s="22" t="n">
        <v>46260</v>
      </c>
      <c r="C63" s="10" t="n">
        <v>0.4295833333333333</v>
      </c>
      <c r="D63" s="5" t="inlineStr">
        <is>
          <t>MGC</t>
        </is>
      </c>
      <c r="E63" s="5" t="inlineStr">
        <is>
          <t>Short</t>
        </is>
      </c>
      <c r="F63" s="5" t="n">
        <v>4679.5</v>
      </c>
      <c r="G63" s="5" t="n">
        <v>4676.3</v>
      </c>
      <c r="H63" s="5" t="n">
        <v>3</v>
      </c>
      <c r="I63" s="5" t="n">
        <v>4685.5</v>
      </c>
      <c r="J63" s="5" t="n">
        <v>4676.3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inlineStr">
        <is>
          <t>Overtraded</t>
        </is>
      </c>
      <c r="W63" s="5" t="n"/>
      <c r="X63" s="5" t="n"/>
      <c r="Y63" s="5" t="n"/>
      <c r="Z63" s="5" t="n"/>
      <c r="AA63" s="5" t="n"/>
    </row>
    <row r="64" ht="15.75" customHeight="1">
      <c r="A64" s="5" t="n">
        <v>69</v>
      </c>
      <c r="B64" s="22" t="n">
        <v>46260</v>
      </c>
      <c r="C64" s="10" t="n">
        <v>0.4904050925925926</v>
      </c>
      <c r="D64" s="5" t="inlineStr">
        <is>
          <t>MGC</t>
        </is>
      </c>
      <c r="E64" s="5" t="inlineStr">
        <is>
          <t>Long</t>
        </is>
      </c>
      <c r="F64" s="5" t="n">
        <v>4661.7</v>
      </c>
      <c r="G64" s="5" t="n">
        <v>4656.2</v>
      </c>
      <c r="H64" s="5" t="n">
        <v>3</v>
      </c>
      <c r="I64" s="5" t="n">
        <v>4656.2</v>
      </c>
      <c r="J64" s="5" t="n">
        <v>4674.2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inlineStr">
        <is>
          <t>Overtraded</t>
        </is>
      </c>
      <c r="W64" s="5" t="n"/>
      <c r="X64" s="5" t="n"/>
      <c r="Y64" s="5" t="n"/>
      <c r="Z64" s="5" t="n"/>
      <c r="AA64" s="5" t="n"/>
    </row>
    <row r="65" ht="15.75" customHeight="1">
      <c r="A65" s="5" t="n">
        <v>70</v>
      </c>
      <c r="B65" s="22" t="n">
        <v>46260</v>
      </c>
      <c r="C65" s="10" t="n">
        <v>0.4968402777777778</v>
      </c>
      <c r="D65" s="5" t="inlineStr">
        <is>
          <t>MGC</t>
        </is>
      </c>
      <c r="E65" s="5" t="inlineStr">
        <is>
          <t>Short</t>
        </is>
      </c>
      <c r="F65" s="5" t="n">
        <v>4655.8</v>
      </c>
      <c r="G65" s="5" t="n">
        <v>4652.1</v>
      </c>
      <c r="H65" s="5" t="n">
        <v>5</v>
      </c>
      <c r="I65" s="5" t="n"/>
      <c r="J65" s="5" t="n">
        <v>4652.1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inlineStr">
        <is>
          <t>Revenge trade, Overtraded</t>
        </is>
      </c>
      <c r="W65" s="5" t="n"/>
      <c r="X65" s="5" t="n"/>
      <c r="Y65" s="5" t="n"/>
      <c r="Z65" s="5" t="n"/>
      <c r="AA65" s="5" t="n"/>
    </row>
    <row r="66" ht="15.75" customHeight="1">
      <c r="A66" s="5" t="n">
        <v>71</v>
      </c>
      <c r="B66" s="22" t="n">
        <v>46260</v>
      </c>
      <c r="C66" s="10" t="n">
        <v>0.5494791666666666</v>
      </c>
      <c r="D66" s="5" t="inlineStr">
        <is>
          <t>MGC</t>
        </is>
      </c>
      <c r="E66" s="5" t="inlineStr">
        <is>
          <t>Short</t>
        </is>
      </c>
      <c r="F66" s="5" t="n">
        <v>4649.2</v>
      </c>
      <c r="G66" s="5" t="n">
        <v>4657.7</v>
      </c>
      <c r="H66" s="5" t="n">
        <v>3</v>
      </c>
      <c r="I66" s="5" t="n">
        <v>4661</v>
      </c>
      <c r="J66" s="5" t="n">
        <v>4649.1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inlineStr">
        <is>
          <t>Overtraded</t>
        </is>
      </c>
      <c r="W66" s="5" t="n"/>
      <c r="X66" s="5" t="n"/>
      <c r="Y66" s="5" t="n"/>
      <c r="Z66" s="5" t="n"/>
      <c r="AA66" s="5" t="n"/>
    </row>
    <row r="67" ht="15.75" customHeight="1">
      <c r="A67" s="5" t="n">
        <v>72</v>
      </c>
      <c r="B67" s="22" t="n">
        <v>46260</v>
      </c>
      <c r="C67" s="10" t="n">
        <v>0.8296875</v>
      </c>
      <c r="D67" s="5" t="inlineStr">
        <is>
          <t>MNQ</t>
        </is>
      </c>
      <c r="E67" s="5" t="inlineStr">
        <is>
          <t>Long</t>
        </is>
      </c>
      <c r="F67" s="5" t="n">
        <v>29614.5</v>
      </c>
      <c r="G67" s="5" t="n">
        <v>29655.25</v>
      </c>
      <c r="H67" s="5" t="n">
        <v>1</v>
      </c>
      <c r="I67" s="5" t="n">
        <v>29595.25</v>
      </c>
      <c r="J67" s="5" t="n">
        <v>29655.25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MNQ</t>
        </is>
      </c>
      <c r="T67" s="5" t="n"/>
      <c r="U67" s="5" t="n"/>
      <c r="V67" s="5" t="inlineStr">
        <is>
          <t>Overtraded</t>
        </is>
      </c>
      <c r="W67" s="5" t="n"/>
      <c r="X67" s="5" t="n"/>
      <c r="Y67" s="5" t="n"/>
      <c r="Z67" s="5" t="n"/>
      <c r="AA67" s="5" t="n"/>
    </row>
    <row r="68" ht="15.75" customHeight="1">
      <c r="A68" s="5" t="n">
        <v>73</v>
      </c>
      <c r="B68" s="22" t="n">
        <v>46260</v>
      </c>
      <c r="C68" s="10" t="n">
        <v>0.8367476851851852</v>
      </c>
      <c r="D68" s="5" t="inlineStr">
        <is>
          <t>MNQ</t>
        </is>
      </c>
      <c r="E68" s="5" t="inlineStr">
        <is>
          <t>Long</t>
        </is>
      </c>
      <c r="F68" s="5" t="n">
        <v>29613.5</v>
      </c>
      <c r="G68" s="5" t="n">
        <v>29593.25</v>
      </c>
      <c r="H68" s="5" t="n">
        <v>2</v>
      </c>
      <c r="I68" s="5" t="n">
        <v>29593.5</v>
      </c>
      <c r="J68" s="5" t="n">
        <v>29653.5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MNQ</t>
        </is>
      </c>
      <c r="T68" s="5" t="n"/>
      <c r="U68" s="5" t="n"/>
      <c r="V68" s="5" t="inlineStr">
        <is>
          <t>Overtraded</t>
        </is>
      </c>
      <c r="W68" s="5" t="n"/>
      <c r="X68" s="5" t="n"/>
      <c r="Y68" s="5" t="n"/>
      <c r="Z68" s="5" t="n"/>
      <c r="AA68" s="5" t="n"/>
    </row>
    <row r="69" ht="15.75" customHeight="1">
      <c r="A69" s="5" t="n">
        <v>74</v>
      </c>
      <c r="B69" s="22" t="n">
        <v>46260</v>
      </c>
      <c r="C69" s="10" t="n">
        <v>0.8785763888888889</v>
      </c>
      <c r="D69" s="5" t="inlineStr">
        <is>
          <t>MNQ</t>
        </is>
      </c>
      <c r="E69" s="5" t="inlineStr">
        <is>
          <t>Long</t>
        </is>
      </c>
      <c r="F69" s="5" t="n">
        <v>29467.25</v>
      </c>
      <c r="G69" s="5" t="n">
        <v>29447.25</v>
      </c>
      <c r="H69" s="5" t="n">
        <v>3</v>
      </c>
      <c r="I69" s="5" t="n">
        <v>29429.75</v>
      </c>
      <c r="J69" s="5" t="n">
        <v>29509.75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inlineStr">
        <is>
          <t>Overtraded</t>
        </is>
      </c>
      <c r="W69" s="5" t="n"/>
      <c r="X69" s="5" t="n"/>
      <c r="Y69" s="5" t="n"/>
      <c r="Z69" s="5" t="n"/>
      <c r="AA69" s="5" t="n"/>
    </row>
    <row r="70" ht="15.75" customHeight="1">
      <c r="A70" s="5" t="n">
        <v>75</v>
      </c>
      <c r="B70" s="22" t="n">
        <v>46260</v>
      </c>
      <c r="C70" s="10" t="n">
        <v>0.8864467592592593</v>
      </c>
      <c r="D70" s="5" t="inlineStr">
        <is>
          <t>MNQ</t>
        </is>
      </c>
      <c r="E70" s="5" t="inlineStr">
        <is>
          <t>Long</t>
        </is>
      </c>
      <c r="F70" s="5" t="n">
        <v>29484.354167</v>
      </c>
      <c r="G70" s="5" t="n">
        <v>29496.958333</v>
      </c>
      <c r="H70" s="5" t="n">
        <v>12</v>
      </c>
      <c r="I70" s="5" t="n">
        <v>29429.75</v>
      </c>
      <c r="J70" s="5" t="n">
        <v>29508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MNQ</t>
        </is>
      </c>
      <c r="T70" s="5" t="n"/>
      <c r="U70" s="5" t="n"/>
      <c r="V70" s="5" t="inlineStr">
        <is>
          <t>Oversized, Revenge trade, Overtraded</t>
        </is>
      </c>
      <c r="W70" s="5" t="n"/>
      <c r="X70" s="5" t="n"/>
      <c r="Y70" s="5" t="n"/>
      <c r="Z70" s="5" t="n"/>
      <c r="AA70" s="5" t="n"/>
    </row>
    <row r="71" ht="15.75" customHeight="1">
      <c r="A71" s="5" t="n">
        <v>76</v>
      </c>
      <c r="B71" s="22" t="n">
        <v>46260</v>
      </c>
      <c r="C71" s="10" t="n">
        <v>0.8938194444444445</v>
      </c>
      <c r="D71" s="5" t="inlineStr">
        <is>
          <t>MNQ</t>
        </is>
      </c>
      <c r="E71" s="5" t="inlineStr">
        <is>
          <t>Long</t>
        </is>
      </c>
      <c r="F71" s="5" t="n">
        <v>29504.25</v>
      </c>
      <c r="G71" s="5" t="n">
        <v>29514.75</v>
      </c>
      <c r="H71" s="5" t="n">
        <v>2</v>
      </c>
      <c r="I71" s="5" t="n"/>
      <c r="J71" s="5" t="n">
        <v>29514.75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inlineStr">
        <is>
          <t>Overtraded</t>
        </is>
      </c>
      <c r="W71" s="5" t="n"/>
      <c r="X71" s="5" t="n"/>
      <c r="Y71" s="5" t="n"/>
      <c r="Z71" s="5" t="n"/>
      <c r="AA71" s="5" t="n"/>
    </row>
    <row r="72" ht="15.75" customHeight="1">
      <c r="A72" s="5" t="n">
        <v>77</v>
      </c>
      <c r="B72" s="22" t="n">
        <v>46260</v>
      </c>
      <c r="C72" s="10" t="n">
        <v>0.8998263888888889</v>
      </c>
      <c r="D72" s="5" t="inlineStr">
        <is>
          <t>MNQ</t>
        </is>
      </c>
      <c r="E72" s="5" t="inlineStr">
        <is>
          <t>Long</t>
        </is>
      </c>
      <c r="F72" s="5" t="n">
        <v>29515.5</v>
      </c>
      <c r="G72" s="5" t="n">
        <v>29530.25</v>
      </c>
      <c r="H72" s="5" t="n">
        <v>3</v>
      </c>
      <c r="I72" s="5" t="n"/>
      <c r="J72" s="5" t="n">
        <v>29530.25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inlineStr">
        <is>
          <t>Overtraded</t>
        </is>
      </c>
      <c r="W72" s="5" t="n"/>
      <c r="X72" s="5" t="n"/>
      <c r="Y72" s="5" t="n"/>
      <c r="Z72" s="5" t="n"/>
      <c r="AA72" s="5" t="n"/>
    </row>
    <row r="73" ht="15.75" customHeight="1">
      <c r="A73" s="5" t="n">
        <v>78</v>
      </c>
      <c r="B73" s="22" t="n">
        <v>46260</v>
      </c>
      <c r="C73" s="10" t="n">
        <v>0.9321412037037037</v>
      </c>
      <c r="D73" s="5" t="inlineStr">
        <is>
          <t>MNQ</t>
        </is>
      </c>
      <c r="E73" s="5" t="inlineStr">
        <is>
          <t>Short</t>
        </is>
      </c>
      <c r="F73" s="5" t="n">
        <v>29534</v>
      </c>
      <c r="G73" s="5" t="n">
        <v>29529</v>
      </c>
      <c r="H73" s="5" t="n">
        <v>5</v>
      </c>
      <c r="I73" s="5" t="n">
        <v>29549</v>
      </c>
      <c r="J73" s="5" t="n">
        <v>29529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inlineStr">
        <is>
          <t>Overtraded</t>
        </is>
      </c>
      <c r="W73" s="5" t="n"/>
      <c r="X73" s="5" t="n"/>
      <c r="Y73" s="5" t="n"/>
      <c r="Z73" s="5" t="n"/>
      <c r="AA73" s="5" t="n"/>
    </row>
    <row r="74" ht="15.75" customHeight="1">
      <c r="A74" s="5" t="n">
        <v>79</v>
      </c>
      <c r="B74" s="22" t="n">
        <v>46261</v>
      </c>
      <c r="C74" s="10" t="n">
        <v>0.4055324074074074</v>
      </c>
      <c r="D74" s="5" t="inlineStr">
        <is>
          <t>MGC</t>
        </is>
      </c>
      <c r="E74" s="5" t="inlineStr">
        <is>
          <t>Short</t>
        </is>
      </c>
      <c r="F74" s="5" t="n">
        <v>4633.6</v>
      </c>
      <c r="G74" s="5" t="n">
        <v>4621.6</v>
      </c>
      <c r="H74" s="5" t="n">
        <v>3</v>
      </c>
      <c r="I74" s="5" t="n">
        <v>4639.6</v>
      </c>
      <c r="J74" s="5" t="n">
        <v>4621.6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MGC</t>
        </is>
      </c>
      <c r="T74" s="5" t="n"/>
      <c r="U74" s="5" t="inlineStr">
        <is>
          <t>https://www.tradingview.com/x/ThCH9HRj/</t>
        </is>
      </c>
      <c r="V74" s="5" t="inlineStr"/>
      <c r="W74" s="5" t="inlineStr"/>
      <c r="X74" s="5" t="inlineStr"/>
      <c r="Y74" s="5" t="inlineStr"/>
      <c r="Z74" s="5" t="inlineStr"/>
      <c r="AA74" s="5" t="inlineStr"/>
    </row>
    <row r="75" ht="15.75" customHeight="1">
      <c r="A75" s="5" t="n">
        <v>80</v>
      </c>
      <c r="B75" s="22" t="n">
        <v>46261</v>
      </c>
      <c r="C75" s="10" t="n">
        <v>0.4289351851851852</v>
      </c>
      <c r="D75" s="5" t="inlineStr">
        <is>
          <t>MGC</t>
        </is>
      </c>
      <c r="E75" s="5" t="inlineStr">
        <is>
          <t>Short</t>
        </is>
      </c>
      <c r="F75" s="5" t="n">
        <v>4635.2</v>
      </c>
      <c r="G75" s="5" t="n">
        <v>4633.4</v>
      </c>
      <c r="H75" s="5" t="n">
        <v>3</v>
      </c>
      <c r="I75" s="5" t="n">
        <v>4641.2</v>
      </c>
      <c r="J75" s="5" t="n">
        <v>4633.4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inlineStr">
        <is>
          <t>https://www.tradingview.com/x/ThCH9HRj/</t>
        </is>
      </c>
      <c r="V75" s="5" t="inlineStr"/>
      <c r="W75" s="5" t="inlineStr"/>
      <c r="X75" s="5" t="inlineStr"/>
      <c r="Y75" s="5" t="inlineStr"/>
      <c r="Z75" s="5" t="inlineStr"/>
      <c r="AA75" s="5" t="inlineStr"/>
    </row>
    <row r="76" ht="15.75" customHeight="1">
      <c r="A76" s="5" t="n">
        <v>81</v>
      </c>
      <c r="B76" s="22" t="n">
        <v>46262</v>
      </c>
      <c r="C76" s="10" t="n">
        <v>0.4231597222222222</v>
      </c>
      <c r="D76" s="5" t="inlineStr">
        <is>
          <t>MGC</t>
        </is>
      </c>
      <c r="E76" s="5" t="inlineStr">
        <is>
          <t>Short</t>
        </is>
      </c>
      <c r="F76" s="5" t="n">
        <v>4629.7</v>
      </c>
      <c r="G76" s="5" t="n">
        <v>4608.4</v>
      </c>
      <c r="H76" s="5" t="n">
        <v>2</v>
      </c>
      <c r="I76" s="5" t="n">
        <v>4635.8</v>
      </c>
      <c r="J76" s="5" t="n">
        <v>4609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MGC</t>
        </is>
      </c>
      <c r="T76" s="5" t="n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</row>
    <row r="77" ht="15.75" customHeight="1">
      <c r="A77" s="5" t="n">
        <v>82</v>
      </c>
      <c r="B77" s="22" t="n">
        <v>46262</v>
      </c>
      <c r="C77" s="10" t="n">
        <v>0.4344212962962963</v>
      </c>
      <c r="D77" s="5" t="inlineStr">
        <is>
          <t>MNQ</t>
        </is>
      </c>
      <c r="E77" s="5" t="inlineStr">
        <is>
          <t>Short</t>
        </is>
      </c>
      <c r="F77" s="5" t="n">
        <v>29642.25</v>
      </c>
      <c r="G77" s="5" t="n">
        <v>29608.75</v>
      </c>
      <c r="H77" s="5" t="n">
        <v>2</v>
      </c>
      <c r="I77" s="5" t="n">
        <v>29684</v>
      </c>
      <c r="J77" s="5" t="n">
        <v>29608.25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Rejection</t>
        </is>
      </c>
      <c r="R77" s="5" t="inlineStr">
        <is>
          <t>Imported from Tradovate</t>
        </is>
      </c>
      <c r="S77" s="5" t="inlineStr">
        <is>
          <t>MNQ</t>
        </is>
      </c>
      <c r="T77" s="5" t="n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</row>
    <row r="78" ht="15.75" customHeight="1">
      <c r="A78" s="5" t="n">
        <v>83</v>
      </c>
      <c r="B78" s="22" t="n">
        <v>46262</v>
      </c>
      <c r="C78" s="10" t="n">
        <v>0.4447569444444445</v>
      </c>
      <c r="D78" s="5" t="inlineStr">
        <is>
          <t>MNQ</t>
        </is>
      </c>
      <c r="E78" s="5" t="inlineStr">
        <is>
          <t>Short</t>
        </is>
      </c>
      <c r="F78" s="5" t="n">
        <v>29692.25</v>
      </c>
      <c r="G78" s="5" t="n">
        <v>29717.75</v>
      </c>
      <c r="H78" s="5" t="n">
        <v>2</v>
      </c>
      <c r="I78" s="5" t="n">
        <v>29717.5</v>
      </c>
      <c r="J78" s="5" t="n">
        <v>29647</v>
      </c>
      <c r="K78" s="8">
        <f>IF(AND(I78&lt;&gt;"",J78&lt;&gt;"",F78&lt;&gt;""), (J78-F78)/(F78-I78), "")</f>
        <v/>
      </c>
      <c r="L78" s="8">
        <f>IF(AND(F78&lt;&gt;"",G78&lt;&gt;"",I78&lt;&gt;""), (G78-F78)/(F78-I78), "")</f>
        <v/>
      </c>
      <c r="M78" s="5">
        <f>IF(N78&gt;0,"Win",IF(N78&lt;0,"Loss",""))</f>
        <v/>
      </c>
      <c r="N78" s="16">
        <f>IF(AND(F78&lt;&gt;"",G78&lt;&gt;"",H78&lt;&gt;"",D78&lt;&gt;""), IF(E78="Long", (G78-F78)*H78*VLOOKUP(D78,Multipliers!A:B,2,FALSE), (F78-G78)*H78*VLOOKUP(D78,Multipliers!A:B,2,FALSE)), "")</f>
        <v/>
      </c>
      <c r="O78" s="9">
        <f>IF(AND(N78&lt;&gt;"",F78&lt;&gt;"",H78&lt;&gt;"",D78&lt;&gt;""), N78/(F78*H78*VLOOKUP(D78,Multipliers!A:B,2,FALSE)), "")</f>
        <v/>
      </c>
      <c r="P78" s="5">
        <f>P77+N78</f>
        <v/>
      </c>
      <c r="Q78" s="5" t="inlineStr">
        <is>
          <t>Break and Retest</t>
        </is>
      </c>
      <c r="R78" s="5" t="inlineStr">
        <is>
          <t>Imported from Tradovate</t>
        </is>
      </c>
      <c r="S78" s="5" t="inlineStr">
        <is>
          <t>MNQ</t>
        </is>
      </c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>
        <v>84</v>
      </c>
      <c r="B79" s="22" t="n">
        <v>46262</v>
      </c>
      <c r="C79" s="10" t="n">
        <v>0.4671759259259259</v>
      </c>
      <c r="D79" s="5" t="inlineStr">
        <is>
          <t>MNQ</t>
        </is>
      </c>
      <c r="E79" s="5" t="inlineStr">
        <is>
          <t>Short</t>
        </is>
      </c>
      <c r="F79" s="5" t="n">
        <v>29747.5</v>
      </c>
      <c r="G79" s="5" t="n">
        <v>29749.75</v>
      </c>
      <c r="H79" s="5" t="n">
        <v>3</v>
      </c>
      <c r="I79" s="5" t="n">
        <v>29759.75</v>
      </c>
      <c r="J79" s="5" t="n"/>
      <c r="K79" s="8">
        <f>IF(AND(I79&lt;&gt;"",J79&lt;&gt;"",F79&lt;&gt;""), (J79-F79)/(F79-I79), "")</f>
        <v/>
      </c>
      <c r="L79" s="8">
        <f>IF(AND(F79&lt;&gt;"",G79&lt;&gt;"",I79&lt;&gt;""), (G79-F79)/(F79-I79), "")</f>
        <v/>
      </c>
      <c r="M79" s="5">
        <f>IF(N79&gt;0,"Win",IF(N79&lt;0,"Loss",""))</f>
        <v/>
      </c>
      <c r="N79" s="16">
        <f>IF(AND(F79&lt;&gt;"",G79&lt;&gt;"",H79&lt;&gt;"",D79&lt;&gt;""), IF(E79="Long", (G79-F79)*H79*VLOOKUP(D79,Multipliers!A:B,2,FALSE), (F79-G79)*H79*VLOOKUP(D79,Multipliers!A:B,2,FALSE)), "")</f>
        <v/>
      </c>
      <c r="O79" s="9">
        <f>IF(AND(N79&lt;&gt;"",F79&lt;&gt;"",H79&lt;&gt;"",D79&lt;&gt;""), N79/(F79*H79*VLOOKUP(D79,Multipliers!A:B,2,FALSE)), "")</f>
        <v/>
      </c>
      <c r="P79" s="5">
        <f>P78+N79</f>
        <v/>
      </c>
      <c r="Q79" s="5" t="inlineStr">
        <is>
          <t>Break and Retest</t>
        </is>
      </c>
      <c r="R79" s="5" t="inlineStr">
        <is>
          <t>Imported from Tradovate</t>
        </is>
      </c>
      <c r="S79" s="5" t="inlineStr">
        <is>
          <t>MNQ</t>
        </is>
      </c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>
        <v>85</v>
      </c>
      <c r="B80" s="22" t="n">
        <v>46262</v>
      </c>
      <c r="C80" s="10" t="n">
        <v>0.5370833333333334</v>
      </c>
      <c r="D80" s="5" t="inlineStr">
        <is>
          <t>MNQ</t>
        </is>
      </c>
      <c r="E80" s="5" t="inlineStr">
        <is>
          <t>Long</t>
        </is>
      </c>
      <c r="F80" s="5" t="n">
        <v>29537.25</v>
      </c>
      <c r="G80" s="5" t="n">
        <v>29510.25</v>
      </c>
      <c r="H80" s="5" t="n">
        <v>3</v>
      </c>
      <c r="I80" s="5" t="n">
        <v>29510.25</v>
      </c>
      <c r="J80" s="5" t="n">
        <v>29557.75</v>
      </c>
      <c r="K80" s="8">
        <f>IF(AND(I80&lt;&gt;"",J80&lt;&gt;"",F80&lt;&gt;""), (J80-F80)/(F80-I80), "")</f>
        <v/>
      </c>
      <c r="L80" s="8">
        <f>IF(AND(F80&lt;&gt;"",G80&lt;&gt;"",I80&lt;&gt;""), (G80-F80)/(F80-I80), "")</f>
        <v/>
      </c>
      <c r="M80" s="5">
        <f>IF(N80&gt;0,"Win",IF(N80&lt;0,"Loss",""))</f>
        <v/>
      </c>
      <c r="N80" s="16">
        <f>IF(AND(F80&lt;&gt;"",G80&lt;&gt;"",H80&lt;&gt;"",D80&lt;&gt;""), IF(E80="Long", (G80-F80)*H80*VLOOKUP(D80,Multipliers!A:B,2,FALSE), (F80-G80)*H80*VLOOKUP(D80,Multipliers!A:B,2,FALSE)), "")</f>
        <v/>
      </c>
      <c r="O80" s="9">
        <f>IF(AND(N80&lt;&gt;"",F80&lt;&gt;"",H80&lt;&gt;"",D80&lt;&gt;""), N80/(F80*H80*VLOOKUP(D80,Multipliers!A:B,2,FALSE)), "")</f>
        <v/>
      </c>
      <c r="P80" s="5">
        <f>P79+N80</f>
        <v/>
      </c>
      <c r="Q80" s="5" t="inlineStr">
        <is>
          <t>Break and Retest</t>
        </is>
      </c>
      <c r="R80" s="5" t="inlineStr">
        <is>
          <t>Imported from Tradovate</t>
        </is>
      </c>
      <c r="S80" s="5" t="inlineStr">
        <is>
          <t>MNQ</t>
        </is>
      </c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>
        <v>86</v>
      </c>
      <c r="B81" s="22" t="n">
        <v>46264</v>
      </c>
      <c r="C81" s="10" t="n">
        <v>0.7525925925925926</v>
      </c>
      <c r="D81" s="5" t="inlineStr">
        <is>
          <t>MGC</t>
        </is>
      </c>
      <c r="E81" s="5" t="inlineStr">
        <is>
          <t>Long</t>
        </is>
      </c>
      <c r="F81" s="5" t="n">
        <v>4499.6</v>
      </c>
      <c r="G81" s="5" t="n">
        <v>4506.233333</v>
      </c>
      <c r="H81" s="5" t="n">
        <v>3</v>
      </c>
      <c r="I81" s="5" t="n">
        <v>4482.5</v>
      </c>
      <c r="J81" s="5" t="n">
        <v>4506.5</v>
      </c>
      <c r="K81" s="8">
        <f>IF(AND(I81&lt;&gt;"",J81&lt;&gt;"",F81&lt;&gt;""), (J81-F81)/(F81-I81), "")</f>
        <v/>
      </c>
      <c r="L81" s="8">
        <f>IF(AND(F81&lt;&gt;"",G81&lt;&gt;"",I81&lt;&gt;""), (G81-F81)/(F81-I81), "")</f>
        <v/>
      </c>
      <c r="M81" s="5">
        <f>IF(N81&gt;0,"Win",IF(N81&lt;0,"Loss",""))</f>
        <v/>
      </c>
      <c r="N81" s="16">
        <f>IF(AND(F81&lt;&gt;"",G81&lt;&gt;"",H81&lt;&gt;"",D81&lt;&gt;""), IF(E81="Long", (G81-F81)*H81*VLOOKUP(D81,Multipliers!A:B,2,FALSE), (F81-G81)*H81*VLOOKUP(D81,Multipliers!A:B,2,FALSE)), "")</f>
        <v/>
      </c>
      <c r="O81" s="9">
        <f>IF(AND(N81&lt;&gt;"",F81&lt;&gt;"",H81&lt;&gt;"",D81&lt;&gt;""), N81/(F81*H81*VLOOKUP(D81,Multipliers!A:B,2,FALSE)), "")</f>
        <v/>
      </c>
      <c r="P81" s="5">
        <f>P80+N81</f>
        <v/>
      </c>
      <c r="Q81" s="5" t="inlineStr">
        <is>
          <t>Gap up</t>
        </is>
      </c>
      <c r="R81" s="5" t="inlineStr">
        <is>
          <t>Imported from Tradovate</t>
        </is>
      </c>
      <c r="S81" s="5" t="inlineStr">
        <is>
          <t>MGC</t>
        </is>
      </c>
      <c r="T81" s="5" t="n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</row>
    <row r="82" ht="15.75" customHeight="1">
      <c r="A82" s="5" t="n">
        <v>87</v>
      </c>
      <c r="B82" s="22" t="n">
        <v>46264</v>
      </c>
      <c r="C82" s="10" t="n">
        <v>0.7696064814814815</v>
      </c>
      <c r="D82" s="5" t="inlineStr">
        <is>
          <t>MGC</t>
        </is>
      </c>
      <c r="E82" s="5" t="inlineStr">
        <is>
          <t>Short</t>
        </is>
      </c>
      <c r="F82" s="5" t="n">
        <v>4508.933333</v>
      </c>
      <c r="G82" s="5" t="n">
        <v>4508.1</v>
      </c>
      <c r="H82" s="5" t="n">
        <v>3</v>
      </c>
      <c r="I82" s="5" t="n">
        <v>4521.7</v>
      </c>
      <c r="J82" s="5" t="n">
        <v>4508.2</v>
      </c>
      <c r="K82" s="8">
        <f>IF(AND(I82&lt;&gt;"",J82&lt;&gt;"",F82&lt;&gt;""), (J82-F82)/(F82-I82), "")</f>
        <v/>
      </c>
      <c r="L82" s="8">
        <f>IF(AND(F82&lt;&gt;"",G82&lt;&gt;"",I82&lt;&gt;""), (G82-F82)/(F82-I82), "")</f>
        <v/>
      </c>
      <c r="M82" s="5">
        <f>IF(N82&gt;0,"Win",IF(N82&lt;0,"Loss",""))</f>
        <v/>
      </c>
      <c r="N82" s="16">
        <f>IF(AND(F82&lt;&gt;"",G82&lt;&gt;"",H82&lt;&gt;"",D82&lt;&gt;""), IF(E82="Long", (G82-F82)*H82*VLOOKUP(D82,Multipliers!A:B,2,FALSE), (F82-G82)*H82*VLOOKUP(D82,Multipliers!A:B,2,FALSE)), "")</f>
        <v/>
      </c>
      <c r="O82" s="9">
        <f>IF(AND(N82&lt;&gt;"",F82&lt;&gt;"",H82&lt;&gt;"",D82&lt;&gt;""), N82/(F82*H82*VLOOKUP(D82,Multipliers!A:B,2,FALSE)), "")</f>
        <v/>
      </c>
      <c r="P82" s="5">
        <f>P81+N82</f>
        <v/>
      </c>
      <c r="Q82" s="5" t="inlineStr">
        <is>
          <t>ZTH Indicator</t>
        </is>
      </c>
      <c r="R82" s="5" t="inlineStr">
        <is>
          <t>Imported from Tradovate</t>
        </is>
      </c>
      <c r="S82" s="5" t="inlineStr">
        <is>
          <t>MGC</t>
        </is>
      </c>
      <c r="T82" s="5" t="n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</row>
    <row r="83" ht="15.75" customHeight="1">
      <c r="A83" s="5" t="n">
        <v>88</v>
      </c>
      <c r="B83" s="22" t="n">
        <v>46265</v>
      </c>
      <c r="C83" s="10" t="n">
        <v>0.004861111111111111</v>
      </c>
      <c r="D83" s="5" t="inlineStr">
        <is>
          <t>MGC</t>
        </is>
      </c>
      <c r="E83" s="5" t="inlineStr">
        <is>
          <t>Short</t>
        </is>
      </c>
      <c r="F83" s="5" t="n">
        <v>4468.4</v>
      </c>
      <c r="G83" s="5" t="n">
        <v>4466.833333</v>
      </c>
      <c r="H83" s="5" t="n">
        <v>3</v>
      </c>
      <c r="I83" s="5" t="n">
        <v>4472.6</v>
      </c>
      <c r="J83" s="5" t="n">
        <v>4466.7</v>
      </c>
      <c r="K83" s="8">
        <f>IF(AND(I83&lt;&gt;"",J83&lt;&gt;"",F83&lt;&gt;""), (J83-F83)/(F83-I83), "")</f>
        <v/>
      </c>
      <c r="L83" s="8">
        <f>IF(AND(F83&lt;&gt;"",G83&lt;&gt;"",I83&lt;&gt;""), (G83-F83)/(F83-I83), "")</f>
        <v/>
      </c>
      <c r="M83" s="5">
        <f>IF(N83&gt;0,"Win",IF(N83&lt;0,"Loss",""))</f>
        <v/>
      </c>
      <c r="N83" s="16">
        <f>IF(AND(F83&lt;&gt;"",G83&lt;&gt;"",H83&lt;&gt;"",D83&lt;&gt;""), IF(E83="Long", (G83-F83)*H83*VLOOKUP(D83,Multipliers!A:B,2,FALSE), (F83-G83)*H83*VLOOKUP(D83,Multipliers!A:B,2,FALSE)), "")</f>
        <v/>
      </c>
      <c r="O83" s="9">
        <f>IF(AND(N83&lt;&gt;"",F83&lt;&gt;"",H83&lt;&gt;"",D83&lt;&gt;""), N83/(F83*H83*VLOOKUP(D83,Multipliers!A:B,2,FALSE)), "")</f>
        <v/>
      </c>
      <c r="P83" s="5">
        <f>P82+N83</f>
        <v/>
      </c>
      <c r="Q83" s="5" t="inlineStr">
        <is>
          <t>Break and Retest</t>
        </is>
      </c>
      <c r="R83" s="5" t="inlineStr">
        <is>
          <t>Imported from Tradovate</t>
        </is>
      </c>
      <c r="S83" s="5" t="inlineStr">
        <is>
          <t>MGC</t>
        </is>
      </c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>
        <v>89</v>
      </c>
      <c r="B84" s="22" t="n">
        <v>46264</v>
      </c>
      <c r="C84" s="10" t="n">
        <v>0.8926157407407408</v>
      </c>
      <c r="D84" s="5" t="inlineStr">
        <is>
          <t>MGC</t>
        </is>
      </c>
      <c r="E84" s="5" t="inlineStr">
        <is>
          <t>Short</t>
        </is>
      </c>
      <c r="F84" s="5" t="n">
        <v>4495.4</v>
      </c>
      <c r="G84" s="5" t="n">
        <v>4493.3</v>
      </c>
      <c r="H84" s="5" t="n">
        <v>2</v>
      </c>
      <c r="I84" s="5" t="n">
        <v>4502.9</v>
      </c>
      <c r="J84" s="5" t="n">
        <v>4493.3</v>
      </c>
      <c r="K84" s="8">
        <f>IF(AND(I84&lt;&gt;"",J84&lt;&gt;"",F84&lt;&gt;""), (J84-F84)/(F84-I84), "")</f>
        <v/>
      </c>
      <c r="L84" s="8">
        <f>IF(AND(F84&lt;&gt;"",G84&lt;&gt;"",I84&lt;&gt;""), (G84-F84)/(F84-I84), "")</f>
        <v/>
      </c>
      <c r="M84" s="5">
        <f>IF(N84&gt;0,"Win",IF(N84&lt;0,"Loss",""))</f>
        <v/>
      </c>
      <c r="N84" s="16">
        <f>IF(AND(F84&lt;&gt;"",G84&lt;&gt;"",H84&lt;&gt;"",D84&lt;&gt;""), IF(E84="Long", (G84-F84)*H84*VLOOKUP(D84,Multipliers!A:B,2,FALSE), (F84-G84)*H84*VLOOKUP(D84,Multipliers!A:B,2,FALSE)), "")</f>
        <v/>
      </c>
      <c r="O84" s="9">
        <f>IF(AND(N84&lt;&gt;"",F84&lt;&gt;"",H84&lt;&gt;"",D84&lt;&gt;""), N84/(F84*H84*VLOOKUP(D84,Multipliers!A:B,2,FALSE)), "")</f>
        <v/>
      </c>
      <c r="P84" s="5">
        <f>P83+N84</f>
        <v/>
      </c>
      <c r="Q84" s="5" t="inlineStr">
        <is>
          <t>Break and Retest</t>
        </is>
      </c>
      <c r="R84" s="5" t="inlineStr">
        <is>
          <t>Imported from Tradovate</t>
        </is>
      </c>
      <c r="S84" s="5" t="inlineStr">
        <is>
          <t>MGC</t>
        </is>
      </c>
      <c r="T84" s="5" t="n"/>
      <c r="U84" s="5" t="n"/>
      <c r="V84" s="5" t="inlineStr">
        <is>
          <t>Oversized</t>
        </is>
      </c>
      <c r="W84" s="5" t="n"/>
      <c r="X84" s="5" t="n"/>
      <c r="Y84" s="5" t="n"/>
      <c r="Z84" s="5" t="n"/>
      <c r="AA84" s="5" t="n"/>
    </row>
    <row r="85" ht="15.75" customHeight="1">
      <c r="A85" s="5" t="n">
        <v>90</v>
      </c>
      <c r="B85" s="22" t="n">
        <v>46264</v>
      </c>
      <c r="C85" s="10" t="n">
        <v>0.9793518518518518</v>
      </c>
      <c r="D85" s="5" t="inlineStr">
        <is>
          <t>MGC</t>
        </is>
      </c>
      <c r="E85" s="5" t="inlineStr">
        <is>
          <t>Short</t>
        </is>
      </c>
      <c r="F85" s="5" t="n">
        <v>4472.833333</v>
      </c>
      <c r="G85" s="5" t="n">
        <v>4469.211111</v>
      </c>
      <c r="H85" s="5" t="n">
        <v>9</v>
      </c>
      <c r="I85" s="5" t="n">
        <v>4479.8</v>
      </c>
      <c r="J85" s="5" t="n">
        <v>4466.7</v>
      </c>
      <c r="K85" s="8">
        <f>IF(AND(I85&lt;&gt;"",J85&lt;&gt;"",F85&lt;&gt;""), (J85-F85)/(F85-I85), "")</f>
        <v/>
      </c>
      <c r="L85" s="8">
        <f>IF(AND(F85&lt;&gt;"",G85&lt;&gt;"",I85&lt;&gt;""), (G85-F85)/(F85-I85), "")</f>
        <v/>
      </c>
      <c r="M85" s="5">
        <f>IF(N85&gt;0,"Win",IF(N85&lt;0,"Loss",""))</f>
        <v/>
      </c>
      <c r="N85" s="16">
        <f>IF(AND(F85&lt;&gt;"",G85&lt;&gt;"",H85&lt;&gt;"",D85&lt;&gt;""), IF(E85="Long", (G85-F85)*H85*VLOOKUP(D85,Multipliers!A:B,2,FALSE), (F85-G85)*H85*VLOOKUP(D85,Multipliers!A:B,2,FALSE)), "")</f>
        <v/>
      </c>
      <c r="O85" s="9">
        <f>IF(AND(N85&lt;&gt;"",F85&lt;&gt;"",H85&lt;&gt;"",D85&lt;&gt;""), N85/(F85*H85*VLOOKUP(D85,Multipliers!A:B,2,FALSE)), "")</f>
        <v/>
      </c>
      <c r="P85" s="5">
        <f>P84+N85</f>
        <v/>
      </c>
      <c r="Q85" s="5" t="inlineStr">
        <is>
          <t>ZTH Indicator</t>
        </is>
      </c>
      <c r="R85" s="5" t="inlineStr">
        <is>
          <t>Imported from Tradovate</t>
        </is>
      </c>
      <c r="S85" s="5" t="inlineStr">
        <is>
          <t>MGC</t>
        </is>
      </c>
      <c r="T85" s="5" t="n"/>
      <c r="U85" s="5" t="inlineStr"/>
      <c r="V85" s="5" t="inlineStr">
        <is>
          <t>Oversized</t>
        </is>
      </c>
      <c r="W85" s="5" t="inlineStr"/>
      <c r="X85" s="5" t="inlineStr"/>
      <c r="Y85" s="5" t="inlineStr"/>
      <c r="Z85" s="5" t="inlineStr"/>
      <c r="AA85" s="5" t="inlineStr"/>
    </row>
    <row r="86" ht="15.75" customHeight="1">
      <c r="A86" s="5" t="n">
        <v>91</v>
      </c>
      <c r="B86" s="22" t="n">
        <v>46265</v>
      </c>
      <c r="C86" s="10" t="n">
        <v>0.007673611111111111</v>
      </c>
      <c r="D86" s="5" t="inlineStr">
        <is>
          <t>MGC</t>
        </is>
      </c>
      <c r="E86" s="5" t="inlineStr">
        <is>
          <t>Long</t>
        </is>
      </c>
      <c r="F86" s="5" t="n">
        <v>4466.7</v>
      </c>
      <c r="G86" s="5" t="n">
        <v>4468.233333</v>
      </c>
      <c r="H86" s="5" t="n">
        <v>3</v>
      </c>
      <c r="I86" s="5" t="n"/>
      <c r="J86" s="5" t="n">
        <v>4469</v>
      </c>
      <c r="K86" s="8">
        <f>IF(AND(I86&lt;&gt;"",J86&lt;&gt;"",F86&lt;&gt;""), (J86-F86)/(F86-I86), "")</f>
        <v/>
      </c>
      <c r="L86" s="8">
        <f>IF(AND(F86&lt;&gt;"",G86&lt;&gt;"",I86&lt;&gt;""), (G86-F86)/(F86-I86), "")</f>
        <v/>
      </c>
      <c r="M86" s="5">
        <f>IF(N86&gt;0,"Win",IF(N86&lt;0,"Loss",""))</f>
        <v/>
      </c>
      <c r="N86" s="16">
        <f>IF(AND(F86&lt;&gt;"",G86&lt;&gt;"",H86&lt;&gt;"",D86&lt;&gt;""), IF(E86="Long", (G86-F86)*H86*VLOOKUP(D86,Multipliers!A:B,2,FALSE), (F86-G86)*H86*VLOOKUP(D86,Multipliers!A:B,2,FALSE)), "")</f>
        <v/>
      </c>
      <c r="O86" s="9">
        <f>IF(AND(N86&lt;&gt;"",F86&lt;&gt;"",H86&lt;&gt;"",D86&lt;&gt;""), N86/(F86*H86*VLOOKUP(D86,Multipliers!A:B,2,FALSE)), "")</f>
        <v/>
      </c>
      <c r="P86" s="5">
        <f>P85+N86</f>
        <v/>
      </c>
      <c r="Q86" s="5" t="inlineStr"/>
      <c r="R86" s="5" t="inlineStr">
        <is>
          <t>Imported from Tradovate</t>
        </is>
      </c>
      <c r="S86" s="5" t="inlineStr">
        <is>
          <t>MGC</t>
        </is>
      </c>
      <c r="T86" s="5" t="n"/>
      <c r="U86" s="5" t="n"/>
      <c r="V86" s="5" t="n"/>
      <c r="W86" s="5" t="n"/>
      <c r="X86" s="5" t="n"/>
      <c r="Y86" s="5" t="n"/>
      <c r="Z86" s="5" t="n"/>
      <c r="AA86" s="5" t="n"/>
    </row>
    <row r="87" ht="15.75" customHeight="1">
      <c r="A87" s="5" t="n">
        <v>92</v>
      </c>
      <c r="B87" s="22" t="n">
        <v>46265</v>
      </c>
      <c r="C87" s="10" t="n">
        <v>0.03986111111111111</v>
      </c>
      <c r="D87" s="5" t="inlineStr">
        <is>
          <t>MGC</t>
        </is>
      </c>
      <c r="E87" s="5" t="inlineStr">
        <is>
          <t>Long</t>
        </is>
      </c>
      <c r="F87" s="5" t="n">
        <v>4473.6</v>
      </c>
      <c r="G87" s="5" t="n">
        <v>4472.7</v>
      </c>
      <c r="H87" s="5" t="n">
        <v>3</v>
      </c>
      <c r="I87" s="5" t="n"/>
      <c r="J87" s="5" t="n"/>
      <c r="K87" s="8">
        <f>IF(AND(I87&lt;&gt;"",J87&lt;&gt;"",F87&lt;&gt;""), (J87-F87)/(F87-I87), "")</f>
        <v/>
      </c>
      <c r="L87" s="8">
        <f>IF(AND(F87&lt;&gt;"",G87&lt;&gt;"",I87&lt;&gt;""), (G87-F87)/(F87-I87), "")</f>
        <v/>
      </c>
      <c r="M87" s="5">
        <f>IF(N87&gt;0,"Win",IF(N87&lt;0,"Loss",""))</f>
        <v/>
      </c>
      <c r="N87" s="16">
        <f>IF(AND(F87&lt;&gt;"",G87&lt;&gt;"",H87&lt;&gt;"",D87&lt;&gt;""), IF(E87="Long", (G87-F87)*H87*VLOOKUP(D87,Multipliers!A:B,2,FALSE), (F87-G87)*H87*VLOOKUP(D87,Multipliers!A:B,2,FALSE)), "")</f>
        <v/>
      </c>
      <c r="O87" s="9">
        <f>IF(AND(N87&lt;&gt;"",F87&lt;&gt;"",H87&lt;&gt;"",D87&lt;&gt;""), N87/(F87*H87*VLOOKUP(D87,Multipliers!A:B,2,FALSE)), "")</f>
        <v/>
      </c>
      <c r="P87" s="5">
        <f>P86+N87</f>
        <v/>
      </c>
      <c r="Q87" s="5" t="inlineStr"/>
      <c r="R87" s="5" t="inlineStr">
        <is>
          <t>Imported from Tradovate</t>
        </is>
      </c>
      <c r="S87" s="5" t="inlineStr">
        <is>
          <t>MGC</t>
        </is>
      </c>
      <c r="T87" s="5" t="n"/>
      <c r="U87" s="5" t="n"/>
      <c r="V87" s="5" t="n"/>
      <c r="W87" s="5" t="n"/>
      <c r="X87" s="5" t="n"/>
      <c r="Y87" s="5" t="n"/>
      <c r="Z87" s="5" t="n"/>
      <c r="AA87" s="5" t="n"/>
    </row>
    <row r="88" ht="15.75" customHeight="1">
      <c r="A88" s="5" t="n">
        <v>93</v>
      </c>
      <c r="B88" s="22" t="n">
        <v>46265</v>
      </c>
      <c r="C88" s="10" t="n">
        <v>0.4046875</v>
      </c>
      <c r="D88" s="5" t="inlineStr">
        <is>
          <t>MNQ</t>
        </is>
      </c>
      <c r="E88" s="5" t="inlineStr">
        <is>
          <t>Short</t>
        </is>
      </c>
      <c r="F88" s="5" t="n">
        <v>29429</v>
      </c>
      <c r="G88" s="5" t="n">
        <v>29395.5</v>
      </c>
      <c r="H88" s="5" t="n">
        <v>2</v>
      </c>
      <c r="I88" s="5" t="n">
        <v>29454</v>
      </c>
      <c r="J88" s="5" t="n">
        <v>29395.5</v>
      </c>
      <c r="K88" s="8">
        <f>IF(AND(I88&lt;&gt;"",J88&lt;&gt;"",F88&lt;&gt;""), (J88-F88)/(F88-I88), "")</f>
        <v/>
      </c>
      <c r="L88" s="8">
        <f>IF(AND(F88&lt;&gt;"",G88&lt;&gt;"",I88&lt;&gt;""), (G88-F88)/(F88-I88), "")</f>
        <v/>
      </c>
      <c r="M88" s="5">
        <f>IF(N88&gt;0,"Win",IF(N88&lt;0,"Loss",""))</f>
        <v/>
      </c>
      <c r="N88" s="16">
        <f>IF(AND(F88&lt;&gt;"",G88&lt;&gt;"",H88&lt;&gt;"",D88&lt;&gt;""), IF(E88="Long", (G88-F88)*H88*VLOOKUP(D88,Multipliers!A:B,2,FALSE), (F88-G88)*H88*VLOOKUP(D88,Multipliers!A:B,2,FALSE)), "")</f>
        <v/>
      </c>
      <c r="O88" s="9">
        <f>IF(AND(N88&lt;&gt;"",F88&lt;&gt;"",H88&lt;&gt;"",D88&lt;&gt;""), N88/(F88*H88*VLOOKUP(D88,Multipliers!A:B,2,FALSE)), "")</f>
        <v/>
      </c>
      <c r="P88" s="5">
        <f>P87+N88</f>
        <v/>
      </c>
      <c r="Q88" s="5" t="inlineStr"/>
      <c r="R88" s="5" t="inlineStr">
        <is>
          <t>Imported from Tradovate</t>
        </is>
      </c>
      <c r="S88" s="11" t="inlineStr">
        <is>
          <t>MNQ</t>
        </is>
      </c>
      <c r="T88" s="11" t="n"/>
      <c r="U88" s="5" t="n"/>
      <c r="V88" s="5" t="n"/>
      <c r="W88" s="5" t="n"/>
      <c r="X88" s="5" t="n"/>
      <c r="Y88" s="5" t="n"/>
      <c r="Z88" s="5" t="n"/>
      <c r="AA88" s="5" t="n"/>
    </row>
    <row r="89" ht="15.75" customHeight="1">
      <c r="A89" s="5" t="n">
        <v>94</v>
      </c>
      <c r="B89" s="22" t="n">
        <v>46265</v>
      </c>
      <c r="C89" s="10" t="n">
        <v>0.4141898148148148</v>
      </c>
      <c r="D89" s="5" t="inlineStr">
        <is>
          <t>MNQ</t>
        </is>
      </c>
      <c r="E89" s="5" t="inlineStr">
        <is>
          <t>Long</t>
        </is>
      </c>
      <c r="F89" s="5" t="n">
        <v>29460.75</v>
      </c>
      <c r="G89" s="5" t="n">
        <v>29439.25</v>
      </c>
      <c r="H89" s="5" t="n">
        <v>3</v>
      </c>
      <c r="I89" s="5" t="n">
        <v>29439.25</v>
      </c>
      <c r="J89" s="5" t="n">
        <v>29468</v>
      </c>
      <c r="K89" s="8">
        <f>IF(AND(I89&lt;&gt;"",J89&lt;&gt;"",F89&lt;&gt;""), (J89-F89)/(F89-I89), "")</f>
        <v/>
      </c>
      <c r="L89" s="8">
        <f>IF(AND(F89&lt;&gt;"",G89&lt;&gt;"",I89&lt;&gt;""), (G89-F89)/(F89-I89), "")</f>
        <v/>
      </c>
      <c r="M89" s="5">
        <f>IF(N89&gt;0,"Win",IF(N89&lt;0,"Loss",""))</f>
        <v/>
      </c>
      <c r="N89" s="16">
        <f>IF(AND(F89&lt;&gt;"",G89&lt;&gt;"",H89&lt;&gt;"",D89&lt;&gt;""), IF(E89="Long", (G89-F89)*H89*VLOOKUP(D89,Multipliers!A:B,2,FALSE), (F89-G89)*H89*VLOOKUP(D89,Multipliers!A:B,2,FALSE)), "")</f>
        <v/>
      </c>
      <c r="O89" s="9">
        <f>IF(AND(N89&lt;&gt;"",F89&lt;&gt;"",H89&lt;&gt;"",D89&lt;&gt;""), N89/(F89*H89*VLOOKUP(D89,Multipliers!A:B,2,FALSE)), "")</f>
        <v/>
      </c>
      <c r="P89" s="5">
        <f>P88+N89</f>
        <v/>
      </c>
      <c r="Q89" s="5" t="inlineStr"/>
      <c r="R89" s="5" t="inlineStr">
        <is>
          <t>Imported from Tradovate</t>
        </is>
      </c>
      <c r="S89" s="5" t="inlineStr">
        <is>
          <t>MNQ</t>
        </is>
      </c>
      <c r="T89" s="5" t="n"/>
      <c r="U89" s="5" t="n"/>
      <c r="V89" s="5" t="n"/>
      <c r="W89" s="5" t="n"/>
      <c r="X89" s="5" t="n"/>
      <c r="Y89" s="5" t="n"/>
      <c r="Z89" s="5" t="n"/>
      <c r="AA89" s="5" t="n"/>
    </row>
    <row r="90" ht="15.75" customHeight="1">
      <c r="A90" s="5" t="n">
        <v>95</v>
      </c>
      <c r="B90" s="22" t="n">
        <v>46265</v>
      </c>
      <c r="C90" s="10" t="n">
        <v>0.424074074074074</v>
      </c>
      <c r="D90" s="5" t="inlineStr">
        <is>
          <t>MGC</t>
        </is>
      </c>
      <c r="E90" s="5" t="inlineStr">
        <is>
          <t>Long</t>
        </is>
      </c>
      <c r="F90" s="5" t="n">
        <v>4475.3</v>
      </c>
      <c r="G90" s="5" t="n">
        <v>4472.8</v>
      </c>
      <c r="H90" s="5" t="n">
        <v>3</v>
      </c>
      <c r="I90" s="5" t="n"/>
      <c r="J90" s="5" t="n"/>
      <c r="K90" s="8">
        <f>IF(AND(I90&lt;&gt;"",J90&lt;&gt;"",F90&lt;&gt;""), (J90-F90)/(F90-I90), "")</f>
        <v/>
      </c>
      <c r="L90" s="8">
        <f>IF(AND(F90&lt;&gt;"",G90&lt;&gt;"",I90&lt;&gt;""), (G90-F90)/(F90-I90), "")</f>
        <v/>
      </c>
      <c r="M90" s="5">
        <f>IF(N90&gt;0,"Win",IF(N90&lt;0,"Loss",""))</f>
        <v/>
      </c>
      <c r="N90" s="16">
        <f>IF(AND(F90&lt;&gt;"",G90&lt;&gt;"",H90&lt;&gt;"",D90&lt;&gt;""), IF(E90="Long", (G90-F90)*H90*VLOOKUP(D90,Multipliers!A:B,2,FALSE), (F90-G90)*H90*VLOOKUP(D90,Multipliers!A:B,2,FALSE)), "")</f>
        <v/>
      </c>
      <c r="O90" s="9">
        <f>IF(AND(N90&lt;&gt;"",F90&lt;&gt;"",H90&lt;&gt;"",D90&lt;&gt;""), N90/(F90*H90*VLOOKUP(D90,Multipliers!A:B,2,FALSE)), "")</f>
        <v/>
      </c>
      <c r="P90" s="5">
        <f>P89+N90</f>
        <v/>
      </c>
      <c r="Q90" s="5" t="inlineStr"/>
      <c r="R90" s="5" t="inlineStr">
        <is>
          <t>Imported from Tradovate</t>
        </is>
      </c>
      <c r="S90" s="5" t="inlineStr">
        <is>
          <t>MGC</t>
        </is>
      </c>
      <c r="T90" s="5" t="n"/>
      <c r="U90" s="5" t="n"/>
      <c r="V90" s="5" t="n"/>
      <c r="W90" s="5" t="n"/>
      <c r="X90" s="5" t="n"/>
      <c r="Y90" s="5" t="n"/>
      <c r="Z90" s="5" t="n"/>
      <c r="AA90" s="5" t="n"/>
    </row>
    <row r="91" ht="15.75" customHeight="1">
      <c r="A91" s="5" t="n">
        <v>96</v>
      </c>
      <c r="B91" s="22" t="n">
        <v>46265</v>
      </c>
      <c r="C91" s="10" t="n">
        <v>0.4248032407407407</v>
      </c>
      <c r="D91" s="5" t="inlineStr">
        <is>
          <t>MNQ</t>
        </is>
      </c>
      <c r="E91" s="5" t="inlineStr">
        <is>
          <t>Short</t>
        </is>
      </c>
      <c r="F91" s="5" t="n">
        <v>29395</v>
      </c>
      <c r="G91" s="5" t="n">
        <v>29415</v>
      </c>
      <c r="H91" s="5" t="n">
        <v>3</v>
      </c>
      <c r="I91" s="5" t="n">
        <v>29415</v>
      </c>
      <c r="J91" s="5" t="n">
        <v>29394</v>
      </c>
      <c r="K91" s="8">
        <f>IF(AND(I91&lt;&gt;"",J91&lt;&gt;"",F91&lt;&gt;""), (J91-F91)/(F91-I91), "")</f>
        <v/>
      </c>
      <c r="L91" s="8">
        <f>IF(AND(F91&lt;&gt;"",G91&lt;&gt;"",I91&lt;&gt;""), (G91-F91)/(F91-I91), "")</f>
        <v/>
      </c>
      <c r="M91" s="5">
        <f>IF(N91&gt;0,"Win",IF(N91&lt;0,"Loss",""))</f>
        <v/>
      </c>
      <c r="N91" s="16">
        <f>IF(AND(F91&lt;&gt;"",G91&lt;&gt;"",H91&lt;&gt;"",D91&lt;&gt;""), IF(E91="Long", (G91-F91)*H91*VLOOKUP(D91,Multipliers!A:B,2,FALSE), (F91-G91)*H91*VLOOKUP(D91,Multipliers!A:B,2,FALSE)), "")</f>
        <v/>
      </c>
      <c r="O91" s="9">
        <f>IF(AND(N91&lt;&gt;"",F91&lt;&gt;"",H91&lt;&gt;"",D91&lt;&gt;""), N91/(F91*H91*VLOOKUP(D91,Multipliers!A:B,2,FALSE)), "")</f>
        <v/>
      </c>
      <c r="P91" s="5">
        <f>P90+N91</f>
        <v/>
      </c>
      <c r="Q91" s="5" t="inlineStr"/>
      <c r="R91" s="5" t="inlineStr">
        <is>
          <t>Imported from Tradovate</t>
        </is>
      </c>
      <c r="S91" s="5" t="inlineStr">
        <is>
          <t>MNQ</t>
        </is>
      </c>
      <c r="T91" s="5" t="n"/>
      <c r="U91" s="5" t="n"/>
      <c r="V91" s="5" t="n"/>
      <c r="W91" s="5" t="n"/>
      <c r="X91" s="5" t="n"/>
      <c r="Y91" s="5" t="n"/>
      <c r="Z91" s="5" t="n"/>
      <c r="AA91" s="5" t="n"/>
    </row>
    <row r="92" ht="15.75" customHeight="1">
      <c r="A92" s="5" t="n">
        <v>97</v>
      </c>
      <c r="B92" s="22" t="n">
        <v>46265</v>
      </c>
      <c r="C92" s="10" t="n">
        <v>0.4452083333333333</v>
      </c>
      <c r="D92" s="5" t="inlineStr">
        <is>
          <t>MNQ</t>
        </is>
      </c>
      <c r="E92" s="5" t="inlineStr">
        <is>
          <t>Long</t>
        </is>
      </c>
      <c r="F92" s="5" t="n">
        <v>29410</v>
      </c>
      <c r="G92" s="5" t="n">
        <v>29435</v>
      </c>
      <c r="H92" s="5" t="n">
        <v>5</v>
      </c>
      <c r="I92" s="5" t="n">
        <v>29400</v>
      </c>
      <c r="J92" s="5" t="n">
        <v>29435</v>
      </c>
      <c r="K92" s="8">
        <f>IF(AND(I92&lt;&gt;"",J92&lt;&gt;"",F92&lt;&gt;""), (J92-F92)/(F92-I92), "")</f>
        <v/>
      </c>
      <c r="L92" s="8">
        <f>IF(AND(F92&lt;&gt;"",G92&lt;&gt;"",I92&lt;&gt;""), (G92-F92)/(F92-I92), "")</f>
        <v/>
      </c>
      <c r="M92" s="5">
        <f>IF(N92&gt;0,"Win",IF(N92&lt;0,"Loss",""))</f>
        <v/>
      </c>
      <c r="N92" s="16">
        <f>IF(AND(F92&lt;&gt;"",G92&lt;&gt;"",H92&lt;&gt;"",D92&lt;&gt;""), IF(E92="Long", (G92-F92)*H92*VLOOKUP(D92,Multipliers!A:B,2,FALSE), (F92-G92)*H92*VLOOKUP(D92,Multipliers!A:B,2,FALSE)), "")</f>
        <v/>
      </c>
      <c r="O92" s="9">
        <f>IF(AND(N92&lt;&gt;"",F92&lt;&gt;"",H92&lt;&gt;"",D92&lt;&gt;""), N92/(F92*H92*VLOOKUP(D92,Multipliers!A:B,2,FALSE)), "")</f>
        <v/>
      </c>
      <c r="P92" s="5">
        <f>P91+N92</f>
        <v/>
      </c>
      <c r="Q92" s="5" t="inlineStr"/>
      <c r="R92" s="5" t="inlineStr">
        <is>
          <t>Imported from Tradovate</t>
        </is>
      </c>
      <c r="S92" s="5" t="inlineStr">
        <is>
          <t>MNQ</t>
        </is>
      </c>
      <c r="T92" s="5" t="n"/>
      <c r="U92" s="5" t="n"/>
      <c r="V92" s="5" t="n"/>
      <c r="W92" s="5" t="n"/>
      <c r="X92" s="5" t="n"/>
      <c r="Y92" s="5" t="n"/>
      <c r="Z92" s="5" t="n"/>
      <c r="AA92" s="5" t="n"/>
    </row>
    <row r="93" ht="15.75" customHeight="1">
      <c r="A93" s="5" t="n">
        <v>98</v>
      </c>
      <c r="B93" s="22" t="n">
        <v>46265</v>
      </c>
      <c r="C93" s="10" t="n">
        <v>0.4496643518518518</v>
      </c>
      <c r="D93" s="5" t="inlineStr">
        <is>
          <t>MNQ</t>
        </is>
      </c>
      <c r="E93" s="5" t="inlineStr">
        <is>
          <t>Long</t>
        </is>
      </c>
      <c r="F93" s="5" t="n">
        <v>29408.5</v>
      </c>
      <c r="G93" s="5" t="n">
        <v>29399.75</v>
      </c>
      <c r="H93" s="5" t="n">
        <v>5</v>
      </c>
      <c r="I93" s="5" t="n">
        <v>29392.75</v>
      </c>
      <c r="J93" s="5" t="n">
        <v>29443.25</v>
      </c>
      <c r="K93" s="8">
        <f>IF(AND(I93&lt;&gt;"",J93&lt;&gt;"",F93&lt;&gt;""), (J93-F93)/(F93-I93), "")</f>
        <v/>
      </c>
      <c r="L93" s="8">
        <f>IF(AND(F93&lt;&gt;"",G93&lt;&gt;"",I93&lt;&gt;""), (G93-F93)/(F93-I93), "")</f>
        <v/>
      </c>
      <c r="M93" s="5">
        <f>IF(N93&gt;0,"Win",IF(N93&lt;0,"Loss",""))</f>
        <v/>
      </c>
      <c r="N93" s="16">
        <f>IF(AND(F93&lt;&gt;"",G93&lt;&gt;"",H93&lt;&gt;"",D93&lt;&gt;""), IF(E93="Long", (G93-F93)*H93*VLOOKUP(D93,Multipliers!A:B,2,FALSE), (F93-G93)*H93*VLOOKUP(D93,Multipliers!A:B,2,FALSE)), "")</f>
        <v/>
      </c>
      <c r="O93" s="9">
        <f>IF(AND(N93&lt;&gt;"",F93&lt;&gt;"",H93&lt;&gt;"",D93&lt;&gt;""), N93/(F93*H93*VLOOKUP(D93,Multipliers!A:B,2,FALSE)), "")</f>
        <v/>
      </c>
      <c r="P93" s="5">
        <f>P92+N93</f>
        <v/>
      </c>
      <c r="Q93" s="5" t="inlineStr"/>
      <c r="R93" s="5" t="inlineStr">
        <is>
          <t>Imported from Tradovate</t>
        </is>
      </c>
      <c r="S93" s="5" t="inlineStr">
        <is>
          <t>MNQ</t>
        </is>
      </c>
      <c r="T93" s="5" t="n"/>
      <c r="U93" s="5" t="n"/>
      <c r="V93" s="5" t="n"/>
      <c r="W93" s="5" t="n"/>
      <c r="X93" s="5" t="n"/>
      <c r="Y93" s="5" t="n"/>
      <c r="Z93" s="5" t="n"/>
      <c r="AA93" s="5" t="n"/>
    </row>
    <row r="94" ht="15.75" customHeight="1">
      <c r="A94" s="5" t="n">
        <v>99</v>
      </c>
      <c r="B94" s="22" t="n">
        <v>46265</v>
      </c>
      <c r="C94" s="10" t="n">
        <v>0.4505324074074074</v>
      </c>
      <c r="D94" s="5" t="inlineStr">
        <is>
          <t>MNQ</t>
        </is>
      </c>
      <c r="E94" s="5" t="inlineStr">
        <is>
          <t>Long</t>
        </is>
      </c>
      <c r="F94" s="5" t="n">
        <v>29401.5</v>
      </c>
      <c r="G94" s="5" t="n">
        <v>29392</v>
      </c>
      <c r="H94" s="5" t="n">
        <v>3</v>
      </c>
      <c r="I94" s="5" t="n">
        <v>29392.75</v>
      </c>
      <c r="J94" s="5" t="n">
        <v>29443.25</v>
      </c>
      <c r="K94" s="8">
        <f>IF(AND(I94&lt;&gt;"",J94&lt;&gt;"",F94&lt;&gt;""), (J94-F94)/(F94-I94), "")</f>
        <v/>
      </c>
      <c r="L94" s="8">
        <f>IF(AND(F94&lt;&gt;"",G94&lt;&gt;"",I94&lt;&gt;""), (G94-F94)/(F94-I94), "")</f>
        <v/>
      </c>
      <c r="M94" s="5">
        <f>IF(N94&gt;0,"Win",IF(N94&lt;0,"Loss",""))</f>
        <v/>
      </c>
      <c r="N94" s="16">
        <f>IF(AND(F94&lt;&gt;"",G94&lt;&gt;"",H94&lt;&gt;"",D94&lt;&gt;""), IF(E94="Long", (G94-F94)*H94*VLOOKUP(D94,Multipliers!A:B,2,FALSE), (F94-G94)*H94*VLOOKUP(D94,Multipliers!A:B,2,FALSE)), "")</f>
        <v/>
      </c>
      <c r="O94" s="9">
        <f>IF(AND(N94&lt;&gt;"",F94&lt;&gt;"",H94&lt;&gt;"",D94&lt;&gt;""), N94/(F94*H94*VLOOKUP(D94,Multipliers!A:B,2,FALSE)), "")</f>
        <v/>
      </c>
      <c r="P94" s="5">
        <f>P93+N94</f>
        <v/>
      </c>
      <c r="Q94" s="5" t="inlineStr"/>
      <c r="R94" s="5" t="inlineStr">
        <is>
          <t>Imported from Tradovate</t>
        </is>
      </c>
      <c r="S94" s="5" t="inlineStr">
        <is>
          <t>MNQ</t>
        </is>
      </c>
      <c r="T94" s="5" t="n"/>
      <c r="U94" s="5" t="n"/>
      <c r="V94" s="5" t="n"/>
      <c r="W94" s="5" t="n"/>
      <c r="X94" s="5" t="n"/>
      <c r="Y94" s="5" t="n"/>
      <c r="Z94" s="5" t="n"/>
      <c r="AA94" s="5" t="n"/>
    </row>
    <row r="95" ht="15.75" customHeight="1">
      <c r="A95" s="5" t="n"/>
      <c r="B95" s="6" t="n"/>
      <c r="C95" s="5" t="n"/>
      <c r="D95" s="5" t="n"/>
      <c r="E95" s="5" t="n"/>
      <c r="F95" s="5" t="n"/>
      <c r="G95" s="5" t="n"/>
      <c r="H95" s="5" t="n"/>
      <c r="I95" s="5" t="n"/>
      <c r="J95" s="5" t="n"/>
      <c r="K95" s="8" t="n"/>
      <c r="L95" s="8" t="n"/>
      <c r="M95" s="5" t="n"/>
      <c r="N95" s="16" t="n"/>
      <c r="O95" s="9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>
      <c r="A96" s="5" t="n"/>
      <c r="B96" s="6" t="n"/>
      <c r="C96" s="5" t="n"/>
      <c r="D96" s="5" t="n"/>
      <c r="E96" s="5" t="n"/>
      <c r="F96" s="5" t="n"/>
      <c r="G96" s="5" t="n"/>
      <c r="H96" s="5" t="n"/>
      <c r="I96" s="5" t="n"/>
      <c r="J96" s="5" t="n"/>
      <c r="K96" s="8" t="n"/>
      <c r="L96" s="8" t="n"/>
      <c r="M96" s="5" t="n"/>
      <c r="N96" s="16" t="n"/>
      <c r="O96" s="9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/>
      <c r="B97" s="6" t="n"/>
      <c r="C97" s="5" t="n"/>
      <c r="D97" s="5" t="n"/>
      <c r="E97" s="5" t="n"/>
      <c r="F97" s="5" t="n"/>
      <c r="G97" s="5" t="n"/>
      <c r="H97" s="5" t="n"/>
      <c r="I97" s="5" t="n"/>
      <c r="J97" s="5" t="n"/>
      <c r="K97" s="8" t="n"/>
      <c r="L97" s="8" t="n"/>
      <c r="M97" s="5" t="n"/>
      <c r="N97" s="16" t="n"/>
      <c r="O97" s="9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6" t="n"/>
      <c r="C98" s="5" t="n"/>
      <c r="D98" s="5" t="n"/>
      <c r="E98" s="5" t="n"/>
      <c r="F98" s="5" t="n"/>
      <c r="G98" s="5" t="n"/>
      <c r="H98" s="5" t="n"/>
      <c r="I98" s="5" t="n"/>
      <c r="J98" s="5" t="n"/>
      <c r="K98" s="8" t="n"/>
      <c r="L98" s="8" t="n"/>
      <c r="M98" s="5" t="n"/>
      <c r="N98" s="16" t="n"/>
      <c r="O98" s="9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6" t="n"/>
      <c r="C99" s="5" t="n"/>
      <c r="D99" s="5" t="n"/>
      <c r="E99" s="5" t="n"/>
      <c r="F99" s="5" t="n"/>
      <c r="G99" s="5" t="n"/>
      <c r="H99" s="5" t="n"/>
      <c r="I99" s="5" t="n"/>
      <c r="J99" s="5" t="n"/>
      <c r="K99" s="8" t="n"/>
      <c r="L99" s="8" t="n"/>
      <c r="M99" s="5" t="n"/>
      <c r="N99" s="16" t="n"/>
      <c r="O99" s="9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6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8" t="n"/>
      <c r="L100" s="8" t="n"/>
      <c r="M100" s="5" t="n"/>
      <c r="N100" s="16" t="n"/>
      <c r="O100" s="9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6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8" t="n"/>
      <c r="L101" s="8" t="n"/>
      <c r="M101" s="5" t="n"/>
      <c r="N101" s="16" t="n"/>
      <c r="O101" s="9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6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8" t="n"/>
      <c r="L102" s="8" t="n"/>
      <c r="M102" s="5" t="n"/>
      <c r="N102" s="16" t="n"/>
      <c r="O102" s="9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6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8" t="n"/>
      <c r="L103" s="8" t="n"/>
      <c r="M103" s="5" t="n"/>
      <c r="N103" s="16" t="n"/>
      <c r="O103" s="9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6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  <c r="M104" s="5" t="n"/>
      <c r="N104" s="16" t="n"/>
      <c r="O104" s="9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6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8" t="n"/>
      <c r="L105" s="8" t="n"/>
      <c r="M105" s="5" t="n"/>
      <c r="N105" s="16" t="n"/>
      <c r="O105" s="9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6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8" t="n"/>
      <c r="L106" s="8" t="n"/>
      <c r="M106" s="5" t="n"/>
      <c r="N106" s="16" t="n"/>
      <c r="O106" s="9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6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6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6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6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6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6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6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6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6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6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6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6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6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6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6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6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6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6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6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6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6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6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6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6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>
        <f>IF(AND(N124&lt;&gt;"",F124&lt;&gt;"",H124&lt;&gt;"",D124&lt;&gt;""), N124/(F124*H124*VLOOKUP(D124,Multipliers!A:B,2,FALSE)), "")</f>
        <v/>
      </c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6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>
        <f>IF(AND(N125&lt;&gt;"",F125&lt;&gt;"",H125&lt;&gt;"",D125&lt;&gt;""), N125/(F125*H125*VLOOKUP(D125,Multipliers!A:B,2,FALSE)), "")</f>
        <v/>
      </c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6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>
        <f>IF(AND(N126&lt;&gt;"",F126&lt;&gt;"",H126&lt;&gt;"",D126&lt;&gt;""), N126/(F126*H126*VLOOKUP(D126,Multipliers!A:B,2,FALSE)), "")</f>
        <v/>
      </c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6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9">
        <f>IF(AND(N127&lt;&gt;"",F127&lt;&gt;"",H127&lt;&gt;"",D127&lt;&gt;""), N127/(F127*H127*VLOOKUP(D127,Multipliers!A:B,2,FALSE)), "")</f>
        <v/>
      </c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6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9">
        <f>IF(AND(N128&lt;&gt;"",F128&lt;&gt;"",H128&lt;&gt;"",D128&lt;&gt;""), N128/(F128*H128*VLOOKUP(D128,Multipliers!A:B,2,FALSE)), "")</f>
        <v/>
      </c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6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6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6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6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6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6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6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6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6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6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6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6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>
      <c r="A999" s="5" t="n"/>
      <c r="B999" s="6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8" t="n"/>
      <c r="L999" s="8" t="n"/>
      <c r="M999" s="5" t="n"/>
      <c r="N999" s="16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</row>
    <row r="1000" ht="15.75" customHeight="1">
      <c r="A1000" s="5" t="n"/>
      <c r="B1000" s="6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8" t="n"/>
      <c r="L1000" s="8" t="n"/>
      <c r="M1000" s="5" t="n"/>
      <c r="N1000" s="16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</row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D18" sqref="D18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20" t="inlineStr">
        <is>
          <t>Rules</t>
        </is>
      </c>
      <c r="B1" s="20" t="inlineStr">
        <is>
          <t>Market conditions</t>
        </is>
      </c>
      <c r="C1" s="20" t="inlineStr">
        <is>
          <t>Emotion before trade</t>
        </is>
      </c>
      <c r="D1" s="20" t="inlineStr">
        <is>
          <t>Setup</t>
        </is>
      </c>
      <c r="E1" s="20" t="inlineStr">
        <is>
          <t>Process</t>
        </is>
      </c>
      <c r="F1" s="20" t="inlineStr">
        <is>
          <t>Mistakes</t>
        </is>
      </c>
      <c r="G1" s="20" t="inlineStr">
        <is>
          <t>Learning</t>
        </is>
      </c>
      <c r="I1" s="21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3" t="inlineStr">
        <is>
          <t>Type</t>
        </is>
      </c>
      <c r="B1" s="23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2026-08-31 00:21</t>
        </is>
      </c>
    </row>
    <row r="3">
      <c r="A3" t="inlineStr">
        <is>
          <t>Date range</t>
        </is>
      </c>
      <c r="B3" t="inlineStr">
        <is>
          <t>2026-08-11 → 2026-08-31</t>
        </is>
      </c>
    </row>
    <row r="4">
      <c r="A4" t="inlineStr">
        <is>
          <t>Trades</t>
        </is>
      </c>
      <c r="B4" t="n">
        <v>82</v>
      </c>
    </row>
    <row r="5">
      <c r="A5" t="inlineStr">
        <is>
          <t>Win rate</t>
        </is>
      </c>
      <c r="B5" t="inlineStr">
        <is>
          <t>56.1%</t>
        </is>
      </c>
    </row>
    <row r="6">
      <c r="A6" t="inlineStr">
        <is>
          <t>Total P&amp;L</t>
        </is>
      </c>
      <c r="B6" t="n">
        <v>2080.5</v>
      </c>
    </row>
    <row r="7">
      <c r="A7" t="inlineStr">
        <is>
          <t>Profit factor</t>
        </is>
      </c>
      <c r="B7" t="n">
        <v>1.28</v>
      </c>
    </row>
    <row r="8">
      <c r="A8" t="inlineStr">
        <is>
          <t>Expectancy / trade</t>
        </is>
      </c>
      <c r="B8" t="n">
        <v>25.37</v>
      </c>
    </row>
    <row r="9">
      <c r="A9" t="inlineStr">
        <is>
          <t>Avg win</t>
        </is>
      </c>
      <c r="B9" t="n">
        <v>209.41</v>
      </c>
    </row>
    <row r="10">
      <c r="A10" t="inlineStr">
        <is>
          <t>Avg loss</t>
        </is>
      </c>
      <c r="B10" t="n">
        <v>-209.79</v>
      </c>
    </row>
    <row r="11">
      <c r="A11" t="inlineStr">
        <is>
          <t>Avg RR targeted</t>
        </is>
      </c>
      <c r="B11" t="n">
        <v>1.33</v>
      </c>
    </row>
    <row r="12">
      <c r="A12" t="inlineStr">
        <is>
          <t>Avg RR realized</t>
        </is>
      </c>
      <c r="B12" t="n">
        <v>0.02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8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78</v>
      </c>
      <c r="C19" t="inlineStr">
        <is>
          <t>55%</t>
        </is>
      </c>
      <c r="D19" t="n">
        <v>1947.5</v>
      </c>
      <c r="E19" t="n">
        <v>24.97</v>
      </c>
    </row>
    <row r="20">
      <c r="A20" t="inlineStr">
        <is>
          <t>Gap up</t>
        </is>
      </c>
      <c r="B20" t="n">
        <v>1</v>
      </c>
      <c r="C20" t="inlineStr">
        <is>
          <t>100%</t>
        </is>
      </c>
      <c r="D20" t="n">
        <v>199</v>
      </c>
      <c r="E20" t="n">
        <v>199</v>
      </c>
    </row>
    <row r="21">
      <c r="A21" t="inlineStr">
        <is>
          <t>Rejection</t>
        </is>
      </c>
      <c r="B21" t="n">
        <v>1</v>
      </c>
      <c r="C21" t="inlineStr">
        <is>
          <t>100%</t>
        </is>
      </c>
      <c r="D21" t="n">
        <v>134</v>
      </c>
      <c r="E21" t="n">
        <v>134</v>
      </c>
    </row>
    <row r="22">
      <c r="A22" t="inlineStr">
        <is>
          <t>ZTH Indicator</t>
        </is>
      </c>
      <c r="B22" t="n">
        <v>1</v>
      </c>
      <c r="C22" t="inlineStr">
        <is>
          <t>100%</t>
        </is>
      </c>
      <c r="D22" t="n">
        <v>25</v>
      </c>
      <c r="E22" t="n">
        <v>25</v>
      </c>
    </row>
    <row r="23">
      <c r="A23" t="inlineStr">
        <is>
          <t>Break and Retest, Rejection</t>
        </is>
      </c>
      <c r="B23" t="n">
        <v>1</v>
      </c>
      <c r="C23" t="inlineStr">
        <is>
          <t>0%</t>
        </is>
      </c>
      <c r="D23" t="n">
        <v>-225</v>
      </c>
      <c r="E23" t="n">
        <v>-225</v>
      </c>
    </row>
    <row r="25">
      <c r="A25" s="24" t="inlineStr">
        <is>
          <t>By Instrument</t>
        </is>
      </c>
    </row>
    <row r="26">
      <c r="A26" s="23" t="inlineStr">
        <is>
          <t>Instrument</t>
        </is>
      </c>
      <c r="B26" s="23" t="inlineStr">
        <is>
          <t>Trades</t>
        </is>
      </c>
      <c r="C26" s="23" t="inlineStr">
        <is>
          <t>Win %</t>
        </is>
      </c>
      <c r="D26" s="23" t="inlineStr">
        <is>
          <t>Total P&amp;L</t>
        </is>
      </c>
      <c r="E26" s="23" t="inlineStr">
        <is>
          <t>Expectancy</t>
        </is>
      </c>
    </row>
    <row r="27">
      <c r="A27" t="inlineStr">
        <is>
          <t>MGC</t>
        </is>
      </c>
      <c r="B27" t="n">
        <v>46</v>
      </c>
      <c r="C27" t="inlineStr">
        <is>
          <t>57%</t>
        </is>
      </c>
      <c r="D27" t="n">
        <v>1709</v>
      </c>
      <c r="E27" t="n">
        <v>37.15</v>
      </c>
    </row>
    <row r="28">
      <c r="A28" t="inlineStr">
        <is>
          <t>MNQ</t>
        </is>
      </c>
      <c r="B28" t="n">
        <v>36</v>
      </c>
      <c r="C28" t="inlineStr">
        <is>
          <t>56%</t>
        </is>
      </c>
      <c r="D28" t="n">
        <v>371.5</v>
      </c>
      <c r="E28" t="n">
        <v>10.32</v>
      </c>
    </row>
    <row r="30">
      <c r="A30" s="24" t="inlineStr">
        <is>
          <t>By Direction</t>
        </is>
      </c>
    </row>
    <row r="31">
      <c r="A31" s="23" t="inlineStr">
        <is>
          <t>Direction</t>
        </is>
      </c>
      <c r="B31" s="23" t="inlineStr">
        <is>
          <t>Trades</t>
        </is>
      </c>
      <c r="C31" s="23" t="inlineStr">
        <is>
          <t>Win %</t>
        </is>
      </c>
      <c r="D31" s="23" t="inlineStr">
        <is>
          <t>Total P&amp;L</t>
        </is>
      </c>
      <c r="E31" s="23" t="inlineStr">
        <is>
          <t>Expectancy</t>
        </is>
      </c>
    </row>
    <row r="32">
      <c r="A32" t="inlineStr">
        <is>
          <t>Long</t>
        </is>
      </c>
      <c r="B32" t="n">
        <v>45</v>
      </c>
      <c r="C32" t="inlineStr">
        <is>
          <t>53%</t>
        </is>
      </c>
      <c r="D32" t="n">
        <v>2349</v>
      </c>
      <c r="E32" t="n">
        <v>52.2</v>
      </c>
    </row>
    <row r="33">
      <c r="A33" t="inlineStr">
        <is>
          <t>Short</t>
        </is>
      </c>
      <c r="B33" t="n">
        <v>37</v>
      </c>
      <c r="C33" t="inlineStr">
        <is>
          <t>59%</t>
        </is>
      </c>
      <c r="D33" t="n">
        <v>-268.5</v>
      </c>
      <c r="E33" t="n">
        <v>-7.26</v>
      </c>
    </row>
    <row r="35">
      <c r="A35" s="24" t="inlineStr">
        <is>
          <t>By Hour</t>
        </is>
      </c>
    </row>
    <row r="36">
      <c r="A36" s="23" t="inlineStr">
        <is>
          <t>Hour</t>
        </is>
      </c>
      <c r="B36" s="23" t="inlineStr">
        <is>
          <t>Trades</t>
        </is>
      </c>
      <c r="C36" s="23" t="inlineStr">
        <is>
          <t>Win %</t>
        </is>
      </c>
      <c r="D36" s="23" t="inlineStr">
        <is>
          <t>Total P&amp;L</t>
        </is>
      </c>
      <c r="E36" s="23" t="inlineStr">
        <is>
          <t>Expectancy</t>
        </is>
      </c>
    </row>
    <row r="37">
      <c r="A37" t="inlineStr">
        <is>
          <t>00:00</t>
        </is>
      </c>
      <c r="B37" t="n">
        <v>2</v>
      </c>
      <c r="C37" t="inlineStr">
        <is>
          <t>100%</t>
        </is>
      </c>
      <c r="D37" t="n">
        <v>63</v>
      </c>
      <c r="E37" t="n">
        <v>31.5</v>
      </c>
    </row>
    <row r="38">
      <c r="A38" t="inlineStr">
        <is>
          <t>08:00</t>
        </is>
      </c>
      <c r="B38" t="n">
        <v>1</v>
      </c>
      <c r="C38" t="inlineStr">
        <is>
          <t>0%</t>
        </is>
      </c>
      <c r="D38" t="n">
        <v>-57</v>
      </c>
      <c r="E38" t="n">
        <v>-57</v>
      </c>
    </row>
    <row r="39">
      <c r="A39" t="inlineStr">
        <is>
          <t>09:00</t>
        </is>
      </c>
      <c r="B39" t="n">
        <v>15</v>
      </c>
      <c r="C39" t="inlineStr">
        <is>
          <t>73%</t>
        </is>
      </c>
      <c r="D39" t="n">
        <v>1902.5</v>
      </c>
      <c r="E39" t="n">
        <v>126.83</v>
      </c>
    </row>
    <row r="40">
      <c r="A40" t="inlineStr">
        <is>
          <t>10:00</t>
        </is>
      </c>
      <c r="B40" t="n">
        <v>16</v>
      </c>
      <c r="C40" t="inlineStr">
        <is>
          <t>50%</t>
        </is>
      </c>
      <c r="D40" t="n">
        <v>295.5</v>
      </c>
      <c r="E40" t="n">
        <v>18.47</v>
      </c>
    </row>
    <row r="41">
      <c r="A41" t="inlineStr">
        <is>
          <t>11:00</t>
        </is>
      </c>
      <c r="B41" t="n">
        <v>10</v>
      </c>
      <c r="C41" t="inlineStr">
        <is>
          <t>40%</t>
        </is>
      </c>
      <c r="D41" t="n">
        <v>-139</v>
      </c>
      <c r="E41" t="n">
        <v>-13.9</v>
      </c>
    </row>
    <row r="42">
      <c r="A42" t="inlineStr">
        <is>
          <t>12:00</t>
        </is>
      </c>
      <c r="B42" t="n">
        <v>6</v>
      </c>
      <c r="C42" t="inlineStr">
        <is>
          <t>83%</t>
        </is>
      </c>
      <c r="D42" t="n">
        <v>-2</v>
      </c>
      <c r="E42" t="n">
        <v>-0.33</v>
      </c>
    </row>
    <row r="43">
      <c r="A43" t="inlineStr">
        <is>
          <t>13:00</t>
        </is>
      </c>
      <c r="B43" t="n">
        <v>1</v>
      </c>
      <c r="C43" t="inlineStr">
        <is>
          <t>0%</t>
        </is>
      </c>
      <c r="D43" t="n">
        <v>-255</v>
      </c>
      <c r="E43" t="n">
        <v>-255</v>
      </c>
    </row>
    <row r="44">
      <c r="A44" t="inlineStr">
        <is>
          <t>14:00</t>
        </is>
      </c>
      <c r="B44" t="n">
        <v>2</v>
      </c>
      <c r="C44" t="inlineStr">
        <is>
          <t>0%</t>
        </is>
      </c>
      <c r="D44" t="n">
        <v>-402</v>
      </c>
      <c r="E44" t="n">
        <v>-201</v>
      </c>
    </row>
    <row r="45">
      <c r="A45" t="inlineStr">
        <is>
          <t>15:00</t>
        </is>
      </c>
      <c r="B45" t="n">
        <v>1</v>
      </c>
      <c r="C45" t="inlineStr">
        <is>
          <t>0%</t>
        </is>
      </c>
      <c r="D45" t="n">
        <v>-120</v>
      </c>
      <c r="E45" t="n">
        <v>-120</v>
      </c>
    </row>
    <row r="46">
      <c r="A46" t="inlineStr">
        <is>
          <t>18:00</t>
        </is>
      </c>
      <c r="B46" t="n">
        <v>2</v>
      </c>
      <c r="C46" t="inlineStr">
        <is>
          <t>100%</t>
        </is>
      </c>
      <c r="D46" t="n">
        <v>224</v>
      </c>
      <c r="E46" t="n">
        <v>112</v>
      </c>
    </row>
    <row r="47">
      <c r="A47" t="inlineStr">
        <is>
          <t>19:00</t>
        </is>
      </c>
      <c r="B47" t="n">
        <v>7</v>
      </c>
      <c r="C47" t="inlineStr">
        <is>
          <t>57%</t>
        </is>
      </c>
      <c r="D47" t="n">
        <v>-1470.5</v>
      </c>
      <c r="E47" t="n">
        <v>-210.07</v>
      </c>
    </row>
    <row r="48">
      <c r="A48" t="inlineStr">
        <is>
          <t>20:00</t>
        </is>
      </c>
      <c r="B48" t="n">
        <v>4</v>
      </c>
      <c r="C48" t="inlineStr">
        <is>
          <t>50%</t>
        </is>
      </c>
      <c r="D48" t="n">
        <v>457</v>
      </c>
      <c r="E48" t="n">
        <v>114.25</v>
      </c>
    </row>
    <row r="49">
      <c r="A49" t="inlineStr">
        <is>
          <t>21:00</t>
        </is>
      </c>
      <c r="B49" t="n">
        <v>5</v>
      </c>
      <c r="C49" t="inlineStr">
        <is>
          <t>80%</t>
        </is>
      </c>
      <c r="D49" t="n">
        <v>503</v>
      </c>
      <c r="E49" t="n">
        <v>100.6</v>
      </c>
    </row>
    <row r="50">
      <c r="A50" t="inlineStr">
        <is>
          <t>22:00</t>
        </is>
      </c>
      <c r="B50" t="n">
        <v>5</v>
      </c>
      <c r="C50" t="inlineStr">
        <is>
          <t>40%</t>
        </is>
      </c>
      <c r="D50" t="n">
        <v>1886</v>
      </c>
      <c r="E50" t="n">
        <v>377.2</v>
      </c>
    </row>
    <row r="51">
      <c r="A51" t="inlineStr">
        <is>
          <t>23:00</t>
        </is>
      </c>
      <c r="B51" t="n">
        <v>5</v>
      </c>
      <c r="C51" t="inlineStr">
        <is>
          <t>40%</t>
        </is>
      </c>
      <c r="D51" t="n">
        <v>-805</v>
      </c>
      <c r="E51" t="n">
        <v>-161</v>
      </c>
    </row>
    <row r="53">
      <c r="A53" s="24" t="inlineStr">
        <is>
          <t>By Day of Week</t>
        </is>
      </c>
    </row>
    <row r="54">
      <c r="A54" s="23" t="inlineStr">
        <is>
          <t>Day</t>
        </is>
      </c>
      <c r="B54" s="23" t="inlineStr">
        <is>
          <t>Trades</t>
        </is>
      </c>
      <c r="C54" s="23" t="inlineStr">
        <is>
          <t>Win %</t>
        </is>
      </c>
      <c r="D54" s="23" t="inlineStr">
        <is>
          <t>Total P&amp;L</t>
        </is>
      </c>
      <c r="E54" s="23" t="inlineStr">
        <is>
          <t>Expectancy</t>
        </is>
      </c>
    </row>
    <row r="55">
      <c r="A55" t="inlineStr">
        <is>
          <t>Thu</t>
        </is>
      </c>
      <c r="B55" t="n">
        <v>9</v>
      </c>
      <c r="C55" t="inlineStr">
        <is>
          <t>56%</t>
        </is>
      </c>
      <c r="D55" t="n">
        <v>1387</v>
      </c>
      <c r="E55" t="n">
        <v>154.11</v>
      </c>
    </row>
    <row r="56">
      <c r="A56" t="inlineStr">
        <is>
          <t>Fri</t>
        </is>
      </c>
      <c r="B56" t="n">
        <v>12</v>
      </c>
      <c r="C56" t="inlineStr">
        <is>
          <t>67%</t>
        </is>
      </c>
      <c r="D56" t="n">
        <v>930.5</v>
      </c>
      <c r="E56" t="n">
        <v>77.54000000000001</v>
      </c>
    </row>
    <row r="57">
      <c r="A57" t="inlineStr">
        <is>
          <t>Sun</t>
        </is>
      </c>
      <c r="B57" t="n">
        <v>7</v>
      </c>
      <c r="C57" t="inlineStr">
        <is>
          <t>57%</t>
        </is>
      </c>
      <c r="D57" t="n">
        <v>387</v>
      </c>
      <c r="E57" t="n">
        <v>55.29</v>
      </c>
    </row>
    <row r="58">
      <c r="A58" t="inlineStr">
        <is>
          <t>Wed</t>
        </is>
      </c>
      <c r="B58" t="n">
        <v>25</v>
      </c>
      <c r="C58" t="inlineStr">
        <is>
          <t>60%</t>
        </is>
      </c>
      <c r="D58" t="n">
        <v>-8.5</v>
      </c>
      <c r="E58" t="n">
        <v>-0.34</v>
      </c>
    </row>
    <row r="59">
      <c r="A59" t="inlineStr">
        <is>
          <t>Mon</t>
        </is>
      </c>
      <c r="B59" t="n">
        <v>8</v>
      </c>
      <c r="C59" t="inlineStr">
        <is>
          <t>50%</t>
        </is>
      </c>
      <c r="D59" t="n">
        <v>-190.5</v>
      </c>
      <c r="E59" t="n">
        <v>-23.81</v>
      </c>
    </row>
    <row r="60">
      <c r="A60" t="inlineStr">
        <is>
          <t>Tue</t>
        </is>
      </c>
      <c r="B60" t="n">
        <v>21</v>
      </c>
      <c r="C60" t="inlineStr">
        <is>
          <t>48%</t>
        </is>
      </c>
      <c r="D60" t="n">
        <v>-425</v>
      </c>
      <c r="E60" t="n">
        <v>-20.24</v>
      </c>
    </row>
    <row r="62">
      <c r="A62" s="24" t="inlineStr">
        <is>
          <t>Behavior Flags</t>
        </is>
      </c>
    </row>
    <row r="63">
      <c r="A63" t="inlineStr">
        <is>
          <t>Overtrading</t>
        </is>
      </c>
      <c r="B63" t="inlineStr">
        <is>
          <t>11 trades on 2026-08-11 (&gt; 6)</t>
        </is>
      </c>
    </row>
    <row r="64">
      <c r="A64" t="inlineStr">
        <is>
          <t>Overtrading</t>
        </is>
      </c>
      <c r="B64" t="inlineStr">
        <is>
          <t>9 trades on 2026-08-12 (&gt; 6)</t>
        </is>
      </c>
    </row>
    <row r="65">
      <c r="A65" t="inlineStr">
        <is>
          <t>Overtrading</t>
        </is>
      </c>
      <c r="B65" t="inlineStr">
        <is>
          <t>12 trades on 2026-08-26 (&gt; 6)</t>
        </is>
      </c>
    </row>
    <row r="66">
      <c r="A66" t="inlineStr">
        <is>
          <t>Possible revenge trade</t>
        </is>
      </c>
      <c r="B66" t="inlineStr">
        <is>
          <t>MGC Short at 08/11 19:34 — 4 min after a loss, size 10</t>
        </is>
      </c>
    </row>
    <row r="67">
      <c r="A67" t="inlineStr">
        <is>
          <t>Possible revenge trade</t>
        </is>
      </c>
      <c r="B67" t="inlineStr">
        <is>
          <t>MGC Long at 08/11 23:25 — 14 min after a loss, size 10</t>
        </is>
      </c>
    </row>
    <row r="68">
      <c r="A68" t="inlineStr">
        <is>
          <t>Possible revenge trade</t>
        </is>
      </c>
      <c r="B68" t="inlineStr">
        <is>
          <t>MGC Short at 08/11 23:36 — 11 min after a loss, size 20</t>
        </is>
      </c>
    </row>
    <row r="69">
      <c r="A69" t="inlineStr">
        <is>
          <t>Possible revenge trade</t>
        </is>
      </c>
      <c r="B69" t="inlineStr">
        <is>
          <t>MGC Short at 08/13 22:59 — 9 min after a loss, size 3</t>
        </is>
      </c>
    </row>
    <row r="70">
      <c r="A70" t="inlineStr">
        <is>
          <t>Possible revenge trade</t>
        </is>
      </c>
      <c r="B70" t="inlineStr">
        <is>
          <t>MGC Long at 08/18 10:08 — 8 min after a loss, size 3</t>
        </is>
      </c>
    </row>
    <row r="71">
      <c r="A71" t="inlineStr">
        <is>
          <t>Possible revenge trade</t>
        </is>
      </c>
      <c r="B71" t="inlineStr">
        <is>
          <t>MNQ Short at 08/18 10:21 — 5 min after a loss, size 3</t>
        </is>
      </c>
    </row>
    <row r="72">
      <c r="A72" t="inlineStr">
        <is>
          <t>Possible revenge trade</t>
        </is>
      </c>
      <c r="B72" t="inlineStr">
        <is>
          <t>MGC Long at 08/23 19:46 — 11 min after a loss, size 1</t>
        </is>
      </c>
    </row>
    <row r="73">
      <c r="A73" t="inlineStr">
        <is>
          <t>Possible revenge trade</t>
        </is>
      </c>
      <c r="B73" t="inlineStr">
        <is>
          <t>MGC Long at 08/23 20:28 — 5 min after a loss, size 2</t>
        </is>
      </c>
    </row>
    <row r="74">
      <c r="A74" t="inlineStr">
        <is>
          <t>Possible revenge trade</t>
        </is>
      </c>
      <c r="B74" t="inlineStr">
        <is>
          <t>MNQ Short at 08/24 11:13 — 15 min after a loss, size 5</t>
        </is>
      </c>
    </row>
    <row r="75">
      <c r="A75" t="inlineStr">
        <is>
          <t>Possible revenge trade</t>
        </is>
      </c>
      <c r="B75" t="inlineStr">
        <is>
          <t>MGC Short at 08/26 11:55 — 9 min after a loss, size 5</t>
        </is>
      </c>
    </row>
    <row r="76">
      <c r="A76" t="inlineStr">
        <is>
          <t>Possible revenge trade</t>
        </is>
      </c>
      <c r="B76" t="inlineStr">
        <is>
          <t>MNQ Long at 08/26 21:16 — 11 min after a loss, size 12</t>
        </is>
      </c>
    </row>
    <row r="77">
      <c r="A77" t="inlineStr">
        <is>
          <t>Stop overrun</t>
        </is>
      </c>
      <c r="B77" t="inlineStr">
        <is>
          <t>MNQ 08/12 11:57 realized RR -1.19 (worse than -1R)</t>
        </is>
      </c>
    </row>
    <row r="78">
      <c r="A78" t="inlineStr">
        <is>
          <t>Stop overrun</t>
        </is>
      </c>
      <c r="B78" t="inlineStr">
        <is>
          <t>MNQ 08/18 10:21 realized RR -1.19 (worse than -1R)</t>
        </is>
      </c>
    </row>
    <row r="79">
      <c r="A79" t="inlineStr">
        <is>
          <t>Winner cut short</t>
        </is>
      </c>
      <c r="B79" t="inlineStr">
        <is>
          <t>MGC 08/11 19:27 took 0.18R of 0.42R target</t>
        </is>
      </c>
    </row>
    <row r="80">
      <c r="A80" t="inlineStr">
        <is>
          <t>Winner cut short</t>
        </is>
      </c>
      <c r="B80" t="inlineStr">
        <is>
          <t>MNQ 08/25 10:32 took 0.49R of 2.16R target</t>
        </is>
      </c>
    </row>
    <row r="81">
      <c r="A81" t="inlineStr">
        <is>
          <t>Inconsistent sizing</t>
        </is>
      </c>
      <c r="B81" t="inlineStr">
        <is>
          <t>Position size varies a lot (CV 1.10)</t>
        </is>
      </c>
    </row>
    <row r="82">
      <c r="A82" t="inlineStr">
        <is>
          <t>Negative-edge hour</t>
        </is>
      </c>
      <c r="B82" t="inlineStr">
        <is>
          <t>12:00: 6 trades, 83% win, $-2 total</t>
        </is>
      </c>
    </row>
    <row r="83">
      <c r="A83" t="inlineStr">
        <is>
          <t>Negative-edge hour</t>
        </is>
      </c>
      <c r="B83" t="inlineStr">
        <is>
          <t>11:00: 10 trades, 40% win, $-139 total</t>
        </is>
      </c>
    </row>
    <row r="84">
      <c r="A84" t="inlineStr">
        <is>
          <t>Negative-edge hour</t>
        </is>
      </c>
      <c r="B84" t="inlineStr">
        <is>
          <t>23:00: 5 trades, 40% win, $-805 total</t>
        </is>
      </c>
    </row>
    <row r="85">
      <c r="A85" t="inlineStr">
        <is>
          <t>Negative-edge hour</t>
        </is>
      </c>
      <c r="B85" t="inlineStr">
        <is>
          <t>19:00: 7 trades, 57% win, $-1471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## Overall Read</t>
        </is>
      </c>
    </row>
    <row r="4">
      <c r="A4" s="14" t="inlineStr"/>
    </row>
    <row r="5">
      <c r="A5" s="14" t="inlineStr">
        <is>
          <t>You made **+$2,080.50** across 82 trades this stretch — profitable, but on thin ice. PF 1.28 and expectancy of **$25.37/trade** is a real but fragile edge, and the breakdown shows that edge is far more concentrated and fragile than the top-line number suggests.</t>
        </is>
      </c>
    </row>
    <row r="6">
      <c r="A6" s="14" t="inlineStr"/>
    </row>
    <row r="7">
      <c r="A7" s="14" t="inlineStr">
        <is>
          <t>**The single biggest red flag in this data:** your **oversized trades are carrying the entire month.** The 13 trades tagged "Oversized" produced **$1,377.50 of your $2,080.50 total P&amp;L (66%)**. Strip those out and your other 69 trades made just ~$703, or **~$10/trade expectancy** — barely above breakeven. You are not yet a consistently profitable trader at your normal size; you're a breakeven-ish trader who got bailed out by a handful of oversized, often impulsive bets that happened to work. That's not repeatable — it's variance you got paid for this time.</t>
        </is>
      </c>
    </row>
    <row r="8">
      <c r="A8" s="14" t="inlineStr"/>
    </row>
    <row r="9">
      <c r="A9" s="14" t="inlineStr">
        <is>
          <t>## 1. Your RR math is inverted — this is costing you the most</t>
        </is>
      </c>
    </row>
    <row r="10">
      <c r="A10" s="14" t="inlineStr"/>
    </row>
    <row r="11">
      <c r="A11" s="14" t="inlineStr">
        <is>
          <t>- **Targeted RR: 1.33 → Realized RR: 0.02.** That's not a rounding gap, that's your entire edge evaporating between plan and execution.</t>
        </is>
      </c>
    </row>
    <row r="12">
      <c r="A12" s="14" t="inlineStr">
        <is>
          <t>- Confirming this: **avg_win ($209.41) ≈ avg_loss (-$209.79)** almost exactly, even though you're supposedly targeting 1.33:1. Your edge is currently 100% win-rate-driven (56%), 0% reward-driven — which is a fragile place to live.</t>
        </is>
      </c>
    </row>
    <row r="13">
      <c r="A13" s="14" t="inlineStr">
        <is>
          <t>- Two flagged mechanisms explain it:</t>
        </is>
      </c>
    </row>
    <row r="14">
      <c r="A14" s="14" t="inlineStr">
        <is>
          <t xml:space="preserve">  - **Winners cut short:** MGC 08/11 took 0.18R of a 0.42R target; MNQ 08/25 10:32 took **0.49R of a 2.16R target** (visible in your log — you closed a trade that was tracking for 2.16R at less than a quarter of the way there).</t>
        </is>
      </c>
    </row>
    <row r="15">
      <c r="A15" s="14" t="inlineStr">
        <is>
          <t xml:space="preserve">  - **Stops overrun:** MNQ 08/12 and MNQ 08/18 both ran to **-1.19R**, worse than planned risk. Notably, the 08/18 overrun happened *during a revenge trade* — compounding the two worst habits at once.</t>
        </is>
      </c>
    </row>
    <row r="16">
      <c r="A16" s="14" t="inlineStr"/>
    </row>
    <row r="17">
      <c r="A17" s="14" t="inlineStr">
        <is>
          <t>**Fix:** you're managing risk in the wrong direction — clamping winners, loosening losers. Put a hard rule in place: once a stop is set, it does not move against you, full stop (literally). And build a mechanical partial/trail rule for winners past 1R so "flinching and taking 0.5R" isn't a decision you get to make in the moment.</t>
        </is>
      </c>
    </row>
    <row r="18">
      <c r="A18" s="14" t="inlineStr"/>
    </row>
    <row r="19">
      <c r="A19" s="14" t="inlineStr">
        <is>
          <t>## 2. Revenge trading is currently profitable — that will not last</t>
        </is>
      </c>
    </row>
    <row r="20">
      <c r="A20" s="14" t="inlineStr"/>
    </row>
    <row r="21">
      <c r="A21" s="14" t="inlineStr">
        <is>
          <t>12 trades flagged as revenge entries (within minutes of a prior loss) net **+$2,286** with a 58% win rate. Good result, terrible process. Look at the size pattern: your normal size is 2–3 contracts, but revenge trades show **size 10, size 20, size 12** — 4-6x normal. You got away with it this time (e.g., the size-12 MNQ long on 08/26 21:16 worked, +$302). One of these will be the size-20 version of your -$1,310 largest loss, and it will erase weeks of grinding. Combined with the "Inconsistent sizing" flag (CV 1.10), this tells me sizing is currently emotional, not systematic.</t>
        </is>
      </c>
    </row>
    <row r="22">
      <c r="A22" s="14" t="inlineStr"/>
    </row>
    <row r="23">
      <c r="A23" s="14" t="inlineStr">
        <is>
          <t>**Fix:** hard cooldown rule — no re-entry within N minutes of a loss, and size caps that don't flex upward intraday regardless of conviction.</t>
        </is>
      </c>
    </row>
    <row r="24">
      <c r="A24" s="14" t="inlineStr"/>
    </row>
    <row r="25">
      <c r="A25" s="14" t="inlineStr">
        <is>
          <t>## 3. Your setup filter data is the best news in here — use it</t>
        </is>
      </c>
    </row>
    <row r="26">
      <c r="A26" s="14" t="inlineStr"/>
    </row>
    <row r="27">
      <c r="A27" s="14" t="inlineStr">
        <is>
          <t>You have excellent indicator-tagging discipline, and it reveals a very clean signal:</t>
        </is>
      </c>
    </row>
    <row r="28">
      <c r="A28" s="14" t="inlineStr"/>
    </row>
    <row r="29">
      <c r="A29" s="14" t="inlineStr">
        <is>
          <t>| Filter | Expectancy | N |</t>
        </is>
      </c>
    </row>
    <row r="30">
      <c r="A30" s="14" t="inlineStr">
        <is>
          <t>|---|---|---|</t>
        </is>
      </c>
    </row>
    <row r="31">
      <c r="A31" s="14" t="inlineStr">
        <is>
          <t>| Pullback grade: **Good** | **+$189.20** | 25 |</t>
        </is>
      </c>
    </row>
    <row r="32">
      <c r="A32" s="14" t="inlineStr">
        <is>
          <t>| Pullback grade: Weak | **-$45.14** | 42 |</t>
        </is>
      </c>
    </row>
    <row r="33">
      <c r="A33" s="14" t="inlineStr">
        <is>
          <t>| Pullback grade: No setup | **-$55.19** | 13 |</t>
        </is>
      </c>
    </row>
    <row r="34">
      <c r="A34" s="14" t="inlineStr">
        <is>
          <t>| With 1H trend | +$66.77 | 51 |</t>
        </is>
      </c>
    </row>
    <row r="35">
      <c r="A35" s="14" t="inlineStr">
        <is>
          <t>| Against/unclear 1H trend | -$42.74 | 31 |</t>
        </is>
      </c>
    </row>
    <row r="36">
      <c r="A36" s="14" t="inlineStr">
        <is>
          <t>| At a key level | +$75.79 | 56 |</t>
        </is>
      </c>
    </row>
    <row r="37">
      <c r="A37" s="14" t="inlineStr">
        <is>
          <t>| Not at a key level | -$83.23 | 26 |</t>
        </is>
      </c>
    </row>
    <row r="38">
      <c r="A38" s="14" t="inlineStr">
        <is>
          <t>| ADX ≥ 25 (trend) | +$63.74 | 35 |</t>
        </is>
      </c>
    </row>
    <row r="39">
      <c r="A39" s="14" t="inlineStr">
        <is>
          <t>| ADX &lt; 20 (chop) | -$53.12 | 29 |</t>
        </is>
      </c>
    </row>
    <row r="40">
      <c r="A40" s="14" t="inlineStr">
        <is>
          <t>| MACD with trade | +$72.17 | 48 |</t>
        </is>
      </c>
    </row>
    <row r="41">
      <c r="A41" s="14" t="inlineStr">
        <is>
          <t>| MACD against trade | -$40.69 | 34 |</t>
        </is>
      </c>
    </row>
    <row r="42">
      <c r="A42" s="14" t="inlineStr"/>
    </row>
    <row r="43">
      <c r="A43" s="14" t="inlineStr">
        <is>
          <t>**67% of your trades (55 of 82) are graded "Weak" or "No setup" pullbacks, and they're bleeding money** (-$45 to -$55 expectancy each). Meanwhile every trade graded "Good" nets +$189 on average. This is the cleanest, most actionable finding in the data: your Break-and-Retest setup *works* — you just take it on too many mediocre pullbacks. If you simply refused every trade that wasn't graded Good/A+, at-key-level, with the 1H trend, and with MACD confirming, your expectancy would likely triple. This is a selection problem, not an execution problem.</t>
        </is>
      </c>
    </row>
    <row r="44">
      <c r="A44" s="14" t="inlineStr"/>
    </row>
    <row r="45">
      <c r="A45" s="14" t="inlineStr">
        <is>
          <t>## 4. Time &amp; day patterns worth respecting</t>
        </is>
      </c>
    </row>
    <row r="46">
      <c r="A46" s="14" t="inlineStr"/>
    </row>
    <row r="47">
      <c r="A47" s="14" t="inlineStr">
        <is>
          <t>- **09:00 hour is your gold mine:** 15 trades, 73% win rate, **+$126.83 expectancy**. Whatever you're doing at the open, do more of it.</t>
        </is>
      </c>
    </row>
    <row r="48">
      <c r="A48" s="14" t="inlineStr">
        <is>
          <t>- **19:00 and 23:00 are bleeding you dry:** -$1,470.50 and -$805 respectively, both driven by a few outsized losses rather than low win rate (19:00 is actually 57% winners but still net deeply negative — meaning your losers in that window are large). These look like late-session/overnight fatigue trades.</t>
        </is>
      </c>
    </row>
    <row r="49">
      <c r="A49" s="14" t="inlineStr">
        <is>
          <t>- **Wed and Tue carry the most volume (25 and 21 trades) but are flat-to-negative** (-$8.50 and -$425), while your lower-volume days (Thu, Fri, Sun) are strongly profitable. You may be trading size/frequency on the wrong days — the days you trade most aren't your best days.</t>
        </is>
      </c>
    </row>
    <row r="50">
      <c r="A50" s="14" t="inlineStr"/>
    </row>
    <row r="51">
      <c r="A51" s="14" t="inlineStr">
        <is>
          <t>## 5. Longs are your book; shorts are dead weight</t>
        </is>
      </c>
    </row>
    <row r="52">
      <c r="A52" s="14" t="inlineStr"/>
    </row>
    <row r="53">
      <c r="A53" s="14" t="inlineStr">
        <is>
          <t>Longs: +$2,349, 53% win, expectancy +$52.20. Shorts: **-$268, 59% win rate but expectancy -$7.26** — you win shorts *more often* than longs but make *less* on them, meaning your short-side RR management is specifically worse than your long-side. Worth isolating in review: are you cutting short winners faster or letting short losers run further than on longs?</t>
        </is>
      </c>
    </row>
    <row r="54">
      <c r="A54" s="14" t="inlineStr"/>
    </row>
    <row r="55">
      <c r="A55" s="14" t="inlineStr">
        <is>
          <t>## Priority action list</t>
        </is>
      </c>
    </row>
    <row r="56">
      <c r="A56" s="14" t="inlineStr">
        <is>
          <t>1. **Stop sizing up on tilt.** Cap size mechanically; no exceptions in the moment. This is the highest-consequence leak even though it hasn't bitten you yet.</t>
        </is>
      </c>
    </row>
    <row r="57">
      <c r="A57" s="14" t="inlineStr">
        <is>
          <t>2. **Only take Break-and-Retest when pullback grade is Good/A+.** Skip Weak and No-setup grades entirely for a month and compare.</t>
        </is>
      </c>
    </row>
    <row r="58">
      <c r="A58" s="14" t="inlineStr">
        <is>
          <t>3. **Fix the RR asymmetry:** stops don't widen, winners get a mechanical trail/partial past 1R instead of discretionary early exits.</t>
        </is>
      </c>
    </row>
    <row r="59">
      <c r="A59" s="14" t="inlineStr">
        <is>
          <t>4. **Review your short-side exit process** separately from longs — same setup, worse RR outcome.</t>
        </is>
      </c>
    </row>
    <row r="60">
      <c r="A60" s="14" t="inlineStr">
        <is>
          <t>5. **Look hard at what happens after 18:00** — that's where your largest, least-explained losses cluster.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  <row r="2">
      <c r="A2" t="inlineStr">
        <is>
          <t>2026-08-13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CPI</t>
        </is>
      </c>
      <c r="F2" t="inlineStr">
        <is>
          <t>0.2%</t>
        </is>
      </c>
      <c r="G2" t="inlineStr">
        <is>
          <t>0.2%</t>
        </is>
      </c>
      <c r="H2" t="inlineStr">
        <is>
          <t>0.0%</t>
        </is>
      </c>
    </row>
    <row r="3">
      <c r="A3" t="inlineStr">
        <is>
          <t>2026-08-14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PPI</t>
        </is>
      </c>
      <c r="F3" t="inlineStr">
        <is>
          <t>0.2%</t>
        </is>
      </c>
      <c r="G3" t="inlineStr">
        <is>
          <t>0.3%</t>
        </is>
      </c>
      <c r="H3" t="inlineStr">
        <is>
          <t>0.4%</t>
        </is>
      </c>
    </row>
    <row r="4">
      <c r="A4" t="inlineStr">
        <is>
          <t>2026-08-15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-0.3%</t>
        </is>
      </c>
      <c r="G4" t="inlineStr">
        <is>
          <t>0.2%</t>
        </is>
      </c>
      <c r="H4" t="inlineStr">
        <is>
          <t>-0.2%</t>
        </is>
      </c>
    </row>
    <row r="5">
      <c r="A5" t="inlineStr">
        <is>
          <t>2026-08-20</t>
        </is>
      </c>
      <c r="B5" t="inlineStr">
        <is>
          <t>14:00</t>
        </is>
      </c>
      <c r="C5" t="inlineStr">
        <is>
          <t>USD</t>
        </is>
      </c>
      <c r="D5" t="inlineStr">
        <is>
          <t>High</t>
        </is>
      </c>
      <c r="E5" t="inlineStr">
        <is>
          <t>FOMC Minutes</t>
        </is>
      </c>
    </row>
    <row r="6">
      <c r="A6" t="inlineStr">
        <is>
          <t>2026-08-27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PCE</t>
        </is>
      </c>
      <c r="F6" t="inlineStr">
        <is>
          <t>0.2%</t>
        </is>
      </c>
      <c r="G6" t="inlineStr">
        <is>
          <t>0.2%</t>
        </is>
      </c>
      <c r="H6" t="inlineStr">
        <is>
          <t>0.1%</t>
        </is>
      </c>
    </row>
    <row r="7">
      <c r="A7" t="inlineStr">
        <is>
          <t>2026-08-27</t>
        </is>
      </c>
      <c r="B7" t="inlineStr">
        <is>
          <t>08:30</t>
        </is>
      </c>
      <c r="C7" t="inlineStr">
        <is>
          <t>USD</t>
        </is>
      </c>
      <c r="D7" t="inlineStr">
        <is>
          <t>High</t>
        </is>
      </c>
      <c r="E7" t="inlineStr">
        <is>
          <t>GDP</t>
        </is>
      </c>
      <c r="F7" t="inlineStr">
        <is>
          <t>1.5%</t>
        </is>
      </c>
      <c r="G7" t="inlineStr">
        <is>
          <t>1.5%</t>
        </is>
      </c>
      <c r="H7" t="inlineStr">
        <is>
          <t>2.1%</t>
        </is>
      </c>
    </row>
    <row r="8">
      <c r="A8" t="inlineStr">
        <is>
          <t>2026-08-29</t>
        </is>
      </c>
      <c r="B8" t="inlineStr">
        <is>
          <t>10:00</t>
        </is>
      </c>
      <c r="C8" t="inlineStr">
        <is>
          <t>USD</t>
        </is>
      </c>
      <c r="D8" t="inlineStr">
        <is>
          <t>High</t>
        </is>
      </c>
      <c r="E8" t="inlineStr">
        <is>
          <t>Fed Chair Speaks</t>
        </is>
      </c>
    </row>
    <row r="9">
      <c r="A9" t="inlineStr">
        <is>
          <t>2026-08-29</t>
        </is>
      </c>
      <c r="B9" t="inlineStr">
        <is>
          <t>10:00</t>
        </is>
      </c>
      <c r="C9" t="inlineStr">
        <is>
          <t>USD</t>
        </is>
      </c>
      <c r="D9" t="inlineStr">
        <is>
          <t>High</t>
        </is>
      </c>
      <c r="E9" t="inlineStr">
        <is>
          <t>Payrolls</t>
        </is>
      </c>
      <c r="F9" t="inlineStr">
        <is>
          <t>-79.00K</t>
        </is>
      </c>
      <c r="H9" t="inlineStr">
        <is>
          <t>-862.00K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8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2026-08-11</t>
        </is>
      </c>
      <c r="B2" t="inlineStr">
        <is>
          <t>19:27</t>
        </is>
      </c>
      <c r="C2" t="inlineStr">
        <is>
          <t>MGC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53.8</v>
      </c>
      <c r="K2" t="inlineStr">
        <is>
          <t>bear</t>
        </is>
      </c>
      <c r="L2" t="inlineStr">
        <is>
          <t>-</t>
        </is>
      </c>
      <c r="M2" t="n">
        <v>17.1</v>
      </c>
      <c r="N2" t="n">
        <v>3.95</v>
      </c>
      <c r="O2" t="n">
        <v>4439.45</v>
      </c>
      <c r="P2" t="inlineStr">
        <is>
          <t>below</t>
        </is>
      </c>
      <c r="Q2" t="n">
        <v>4444.22</v>
      </c>
      <c r="R2" t="n">
        <v>2.62</v>
      </c>
      <c r="S2" t="n">
        <v>-4139</v>
      </c>
      <c r="T2" t="n">
        <v>48</v>
      </c>
      <c r="U2" t="inlineStr">
        <is>
          <t>golden</t>
        </is>
      </c>
      <c r="V2" t="inlineStr">
        <is>
          <t>Weak</t>
        </is>
      </c>
      <c r="W2" t="n">
        <v>1</v>
      </c>
      <c r="X2" t="inlineStr">
        <is>
          <t>Round</t>
        </is>
      </c>
      <c r="Y2" t="inlineStr">
        <is>
          <t>strong bullish close</t>
        </is>
      </c>
      <c r="Z2" t="n">
        <v>1.78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2026-08-11</t>
        </is>
      </c>
      <c r="B3" t="inlineStr">
        <is>
          <t>19:29</t>
        </is>
      </c>
      <c r="C3" t="inlineStr">
        <is>
          <t>MGC</t>
        </is>
      </c>
      <c r="D3" t="inlineStr">
        <is>
          <t>Short</t>
        </is>
      </c>
      <c r="E3" t="n">
        <v>110</v>
      </c>
      <c r="F3" t="inlineStr">
        <is>
          <t>up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53.8</v>
      </c>
      <c r="K3" t="inlineStr">
        <is>
          <t>bear</t>
        </is>
      </c>
      <c r="L3" t="inlineStr">
        <is>
          <t>-</t>
        </is>
      </c>
      <c r="M3" t="n">
        <v>17.1</v>
      </c>
      <c r="N3" t="n">
        <v>3.95</v>
      </c>
      <c r="O3" t="n">
        <v>4439.45</v>
      </c>
      <c r="P3" t="inlineStr">
        <is>
          <t>below</t>
        </is>
      </c>
      <c r="Q3" t="n">
        <v>4444.22</v>
      </c>
      <c r="R3" t="n">
        <v>2.62</v>
      </c>
      <c r="S3" t="n">
        <v>-4139</v>
      </c>
      <c r="T3" t="n">
        <v>55</v>
      </c>
      <c r="U3" t="inlineStr">
        <is>
          <t>golden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bullish close</t>
        </is>
      </c>
      <c r="Z3" t="n">
        <v>1.78</v>
      </c>
      <c r="AA3" t="inlineStr">
        <is>
          <t>Yes</t>
        </is>
      </c>
      <c r="AB3" t="inlineStr">
        <is>
          <t>No</t>
        </is>
      </c>
    </row>
    <row r="4">
      <c r="A4" t="inlineStr">
        <is>
          <t>2026-08-11</t>
        </is>
      </c>
      <c r="B4" t="inlineStr">
        <is>
          <t>19:30</t>
        </is>
      </c>
      <c r="C4" t="inlineStr">
        <is>
          <t>MGC</t>
        </is>
      </c>
      <c r="D4" t="inlineStr">
        <is>
          <t>Long</t>
        </is>
      </c>
      <c r="E4" t="n">
        <v>-440</v>
      </c>
      <c r="F4" t="inlineStr">
        <is>
          <t>up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45.1</v>
      </c>
      <c r="K4" t="inlineStr">
        <is>
          <t>bear</t>
        </is>
      </c>
      <c r="L4" t="inlineStr">
        <is>
          <t>-</t>
        </is>
      </c>
      <c r="M4" t="n">
        <v>17.2</v>
      </c>
      <c r="N4" t="n">
        <v>4.1</v>
      </c>
      <c r="O4" t="n">
        <v>4439.37</v>
      </c>
      <c r="P4" t="inlineStr">
        <is>
          <t>below</t>
        </is>
      </c>
      <c r="Q4" t="n">
        <v>4444.22</v>
      </c>
      <c r="R4" t="n">
        <v>1.78</v>
      </c>
      <c r="S4" t="n">
        <v>-4277</v>
      </c>
      <c r="T4" t="n">
        <v>40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Round</t>
        </is>
      </c>
      <c r="Z4" t="n">
        <v>1.39</v>
      </c>
      <c r="AA4" t="inlineStr">
        <is>
          <t>No</t>
        </is>
      </c>
      <c r="AB4" t="inlineStr">
        <is>
          <t>Yes</t>
        </is>
      </c>
    </row>
    <row r="5">
      <c r="A5" t="inlineStr">
        <is>
          <t>2026-08-11</t>
        </is>
      </c>
      <c r="B5" t="inlineStr">
        <is>
          <t>19:34</t>
        </is>
      </c>
      <c r="C5" t="inlineStr">
        <is>
          <t>MGC</t>
        </is>
      </c>
      <c r="D5" t="inlineStr">
        <is>
          <t>Short</t>
        </is>
      </c>
      <c r="E5" t="n">
        <v>-1310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45.1</v>
      </c>
      <c r="K5" t="inlineStr">
        <is>
          <t>bear</t>
        </is>
      </c>
      <c r="L5" t="inlineStr">
        <is>
          <t>-</t>
        </is>
      </c>
      <c r="M5" t="n">
        <v>17.2</v>
      </c>
      <c r="N5" t="n">
        <v>4.1</v>
      </c>
      <c r="O5" t="n">
        <v>4439.37</v>
      </c>
      <c r="P5" t="inlineStr">
        <is>
          <t>below</t>
        </is>
      </c>
      <c r="Q5" t="n">
        <v>4444.22</v>
      </c>
      <c r="R5" t="n">
        <v>1.78</v>
      </c>
      <c r="S5" t="n">
        <v>-4277</v>
      </c>
      <c r="T5" t="n">
        <v>40</v>
      </c>
      <c r="U5" t="inlineStr">
        <is>
          <t>golden</t>
        </is>
      </c>
      <c r="V5" t="inlineStr">
        <is>
          <t>Weak</t>
        </is>
      </c>
      <c r="W5" t="n">
        <v>1</v>
      </c>
      <c r="X5" t="inlineStr">
        <is>
          <t>No</t>
        </is>
      </c>
      <c r="Z5" t="n">
        <v>1.39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2026-08-11</t>
        </is>
      </c>
      <c r="B6" t="inlineStr">
        <is>
          <t>20:31</t>
        </is>
      </c>
      <c r="C6" t="inlineStr">
        <is>
          <t>MGC</t>
        </is>
      </c>
      <c r="D6" t="inlineStr">
        <is>
          <t>Long</t>
        </is>
      </c>
      <c r="E6" t="n">
        <v>370</v>
      </c>
      <c r="F6" t="inlineStr">
        <is>
          <t>up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67.40000000000001</v>
      </c>
      <c r="K6" t="inlineStr">
        <is>
          <t>bull</t>
        </is>
      </c>
      <c r="L6" t="inlineStr">
        <is>
          <t>+</t>
        </is>
      </c>
      <c r="M6" t="n">
        <v>19</v>
      </c>
      <c r="N6" t="n">
        <v>3.89</v>
      </c>
      <c r="O6" t="n">
        <v>4439.2</v>
      </c>
      <c r="P6" t="inlineStr">
        <is>
          <t>above</t>
        </is>
      </c>
      <c r="Q6" t="n">
        <v>4444.22</v>
      </c>
      <c r="R6" t="n">
        <v>1.53</v>
      </c>
      <c r="S6" t="n">
        <v>-3600</v>
      </c>
      <c r="T6" t="n">
        <v>12</v>
      </c>
      <c r="U6" t="inlineStr">
        <is>
          <t>extended (no pullback)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1.33</v>
      </c>
      <c r="AA6" t="inlineStr">
        <is>
          <t>No</t>
        </is>
      </c>
      <c r="AB6" t="inlineStr">
        <is>
          <t>Yes</t>
        </is>
      </c>
    </row>
    <row r="7">
      <c r="A7" t="inlineStr">
        <is>
          <t>2026-08-11</t>
        </is>
      </c>
      <c r="B7" t="inlineStr">
        <is>
          <t>21:16</t>
        </is>
      </c>
      <c r="C7" t="inlineStr">
        <is>
          <t>MGC</t>
        </is>
      </c>
      <c r="D7" t="inlineStr">
        <is>
          <t>Long</t>
        </is>
      </c>
      <c r="E7" t="n">
        <v>190</v>
      </c>
      <c r="F7" t="inlineStr">
        <is>
          <t>up</t>
        </is>
      </c>
      <c r="G7" t="inlineStr">
        <is>
          <t>down</t>
        </is>
      </c>
      <c r="H7" t="inlineStr">
        <is>
          <t>up</t>
        </is>
      </c>
      <c r="I7" t="inlineStr">
        <is>
          <t>up</t>
        </is>
      </c>
      <c r="J7" t="n">
        <v>74.09999999999999</v>
      </c>
      <c r="K7" t="inlineStr">
        <is>
          <t>bull</t>
        </is>
      </c>
      <c r="L7" t="inlineStr">
        <is>
          <t>+</t>
        </is>
      </c>
      <c r="M7" t="n">
        <v>26.8</v>
      </c>
      <c r="N7" t="n">
        <v>4.03</v>
      </c>
      <c r="O7" t="n">
        <v>4439.44</v>
      </c>
      <c r="P7" t="inlineStr">
        <is>
          <t>above</t>
        </is>
      </c>
      <c r="Q7" t="n">
        <v>4444.22</v>
      </c>
      <c r="R7" t="n">
        <v>1</v>
      </c>
      <c r="S7" t="n">
        <v>-2319</v>
      </c>
      <c r="T7" t="n">
        <v>-18</v>
      </c>
      <c r="U7" t="inlineStr">
        <is>
          <t>extended (no pullback)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2.38</v>
      </c>
      <c r="AA7" t="inlineStr">
        <is>
          <t>No</t>
        </is>
      </c>
      <c r="AB7" t="inlineStr">
        <is>
          <t>Yes</t>
        </is>
      </c>
    </row>
    <row r="8">
      <c r="A8" t="inlineStr">
        <is>
          <t>2026-08-11</t>
        </is>
      </c>
      <c r="B8" t="inlineStr">
        <is>
          <t>22:40</t>
        </is>
      </c>
      <c r="C8" t="inlineStr">
        <is>
          <t>MGC</t>
        </is>
      </c>
      <c r="D8" t="inlineStr">
        <is>
          <t>Long</t>
        </is>
      </c>
      <c r="E8" t="n">
        <v>2160</v>
      </c>
      <c r="F8" t="inlineStr">
        <is>
          <t>up</t>
        </is>
      </c>
      <c r="G8" t="inlineStr">
        <is>
          <t>down</t>
        </is>
      </c>
      <c r="H8" t="inlineStr">
        <is>
          <t>up</t>
        </is>
      </c>
      <c r="I8" t="inlineStr">
        <is>
          <t>up</t>
        </is>
      </c>
      <c r="J8" t="n">
        <v>75.2</v>
      </c>
      <c r="K8" t="inlineStr">
        <is>
          <t>bull</t>
        </is>
      </c>
      <c r="L8" t="inlineStr">
        <is>
          <t>+</t>
        </is>
      </c>
      <c r="M8" t="n">
        <v>38</v>
      </c>
      <c r="N8" t="n">
        <v>4.31</v>
      </c>
      <c r="O8" t="n">
        <v>4441.15</v>
      </c>
      <c r="P8" t="inlineStr">
        <is>
          <t>above</t>
        </is>
      </c>
      <c r="Q8" t="n">
        <v>4444.25</v>
      </c>
      <c r="R8" t="n">
        <v>2.29</v>
      </c>
      <c r="S8" t="n">
        <v>-1466</v>
      </c>
      <c r="T8" t="n">
        <v>13</v>
      </c>
      <c r="U8" t="inlineStr">
        <is>
          <t>extended (no pullback)</t>
        </is>
      </c>
      <c r="V8" t="inlineStr">
        <is>
          <t>Good</t>
        </is>
      </c>
      <c r="W8" t="n">
        <v>2</v>
      </c>
      <c r="X8" t="inlineStr">
        <is>
          <t>ORH/Round</t>
        </is>
      </c>
      <c r="Z8" t="n">
        <v>2.09</v>
      </c>
      <c r="AA8" t="inlineStr">
        <is>
          <t>No</t>
        </is>
      </c>
      <c r="AB8" t="inlineStr">
        <is>
          <t>Yes</t>
        </is>
      </c>
    </row>
    <row r="9">
      <c r="A9" t="inlineStr">
        <is>
          <t>2026-08-11</t>
        </is>
      </c>
      <c r="B9" t="inlineStr">
        <is>
          <t>23:00</t>
        </is>
      </c>
      <c r="C9" t="inlineStr">
        <is>
          <t>MGC</t>
        </is>
      </c>
      <c r="D9" t="inlineStr">
        <is>
          <t>Long</t>
        </is>
      </c>
      <c r="E9" t="n">
        <v>-280</v>
      </c>
      <c r="F9" t="inlineStr">
        <is>
          <t>up</t>
        </is>
      </c>
      <c r="G9" t="inlineStr">
        <is>
          <t>down</t>
        </is>
      </c>
      <c r="H9" t="inlineStr">
        <is>
          <t>up</t>
        </is>
      </c>
      <c r="I9" t="inlineStr">
        <is>
          <t>up</t>
        </is>
      </c>
      <c r="J9" t="n">
        <v>70.7</v>
      </c>
      <c r="K9" t="inlineStr">
        <is>
          <t>bull</t>
        </is>
      </c>
      <c r="L9" t="inlineStr">
        <is>
          <t>+</t>
        </is>
      </c>
      <c r="M9" t="n">
        <v>42.7</v>
      </c>
      <c r="N9" t="n">
        <v>4.49</v>
      </c>
      <c r="O9" t="n">
        <v>4442.06</v>
      </c>
      <c r="P9" t="inlineStr">
        <is>
          <t>above</t>
        </is>
      </c>
      <c r="Q9" t="n">
        <v>4440.82</v>
      </c>
      <c r="R9" t="n">
        <v>1.94</v>
      </c>
      <c r="S9" t="n">
        <v>-1475</v>
      </c>
      <c r="T9" t="n">
        <v>4</v>
      </c>
      <c r="U9" t="inlineStr">
        <is>
          <t>extended (no pullback)</t>
        </is>
      </c>
      <c r="V9" t="inlineStr">
        <is>
          <t>Weak</t>
        </is>
      </c>
      <c r="W9" t="n">
        <v>1</v>
      </c>
      <c r="X9" t="inlineStr">
        <is>
          <t>No</t>
        </is>
      </c>
      <c r="Y9" t="inlineStr">
        <is>
          <t>strong bearish close</t>
        </is>
      </c>
      <c r="Z9" t="n">
        <v>1.17</v>
      </c>
      <c r="AA9" t="inlineStr">
        <is>
          <t>No</t>
        </is>
      </c>
      <c r="AB9" t="inlineStr">
        <is>
          <t>Yes</t>
        </is>
      </c>
    </row>
    <row r="10">
      <c r="A10" t="inlineStr">
        <is>
          <t>2026-08-11</t>
        </is>
      </c>
      <c r="B10" t="inlineStr">
        <is>
          <t>23:11</t>
        </is>
      </c>
      <c r="C10" t="inlineStr">
        <is>
          <t>MGC</t>
        </is>
      </c>
      <c r="D10" t="inlineStr">
        <is>
          <t>Long</t>
        </is>
      </c>
      <c r="E10" t="n">
        <v>-910</v>
      </c>
      <c r="F10" t="inlineStr">
        <is>
          <t>up</t>
        </is>
      </c>
      <c r="G10" t="inlineStr">
        <is>
          <t>down</t>
        </is>
      </c>
      <c r="H10" t="inlineStr">
        <is>
          <t>up</t>
        </is>
      </c>
      <c r="I10" t="inlineStr">
        <is>
          <t>up</t>
        </is>
      </c>
      <c r="J10" t="n">
        <v>68.7</v>
      </c>
      <c r="K10" t="inlineStr">
        <is>
          <t>bull</t>
        </is>
      </c>
      <c r="L10" t="inlineStr">
        <is>
          <t>+</t>
        </is>
      </c>
      <c r="M10" t="n">
        <v>44</v>
      </c>
      <c r="N10" t="n">
        <v>4.68</v>
      </c>
      <c r="O10" t="n">
        <v>4442.43</v>
      </c>
      <c r="P10" t="inlineStr">
        <is>
          <t>above</t>
        </is>
      </c>
      <c r="Q10" t="n">
        <v>4444.2</v>
      </c>
      <c r="R10" t="n">
        <v>2.07</v>
      </c>
      <c r="S10" t="n">
        <v>-1566</v>
      </c>
      <c r="T10" t="n">
        <v>3</v>
      </c>
      <c r="U10" t="inlineStr">
        <is>
          <t>extended (no pullback)</t>
        </is>
      </c>
      <c r="V10" t="inlineStr">
        <is>
          <t>Weak</t>
        </is>
      </c>
      <c r="W10" t="n">
        <v>1</v>
      </c>
      <c r="X10" t="inlineStr">
        <is>
          <t>No</t>
        </is>
      </c>
      <c r="Y10" t="inlineStr">
        <is>
          <t>strong bearish close</t>
        </is>
      </c>
      <c r="Z10" t="n">
        <v>0.77</v>
      </c>
      <c r="AA10" t="inlineStr">
        <is>
          <t>No</t>
        </is>
      </c>
      <c r="AB10" t="inlineStr">
        <is>
          <t>Yes</t>
        </is>
      </c>
    </row>
    <row r="11">
      <c r="A11" t="inlineStr">
        <is>
          <t>2026-08-11</t>
        </is>
      </c>
      <c r="B11" t="inlineStr">
        <is>
          <t>23:25</t>
        </is>
      </c>
      <c r="C11" t="inlineStr">
        <is>
          <t>MGC</t>
        </is>
      </c>
      <c r="D11" t="inlineStr">
        <is>
          <t>Long</t>
        </is>
      </c>
      <c r="E11" t="n">
        <v>-140</v>
      </c>
      <c r="F11" t="inlineStr">
        <is>
          <t>up</t>
        </is>
      </c>
      <c r="G11" t="inlineStr">
        <is>
          <t>down</t>
        </is>
      </c>
      <c r="H11" t="inlineStr">
        <is>
          <t>up</t>
        </is>
      </c>
      <c r="I11" t="inlineStr">
        <is>
          <t>up</t>
        </is>
      </c>
      <c r="J11" t="n">
        <v>61.2</v>
      </c>
      <c r="K11" t="inlineStr">
        <is>
          <t>bull</t>
        </is>
      </c>
      <c r="L11" t="inlineStr">
        <is>
          <t>-</t>
        </is>
      </c>
      <c r="M11" t="n">
        <v>40.3</v>
      </c>
      <c r="N11" t="n">
        <v>4.37</v>
      </c>
      <c r="O11" t="n">
        <v>4442.73</v>
      </c>
      <c r="P11" t="inlineStr">
        <is>
          <t>above</t>
        </is>
      </c>
      <c r="Q11" t="n">
        <v>4444.2</v>
      </c>
      <c r="R11" t="n">
        <v>0.82</v>
      </c>
      <c r="S11" t="n">
        <v>-1758</v>
      </c>
      <c r="T11" t="n">
        <v>16</v>
      </c>
      <c r="U11" t="inlineStr">
        <is>
          <t>shallow</t>
        </is>
      </c>
      <c r="V11" t="inlineStr">
        <is>
          <t>Weak</t>
        </is>
      </c>
      <c r="W11" t="n">
        <v>1</v>
      </c>
      <c r="X11" t="inlineStr">
        <is>
          <t>No</t>
        </is>
      </c>
      <c r="Z11" t="n">
        <v>0.5600000000000001</v>
      </c>
      <c r="AA11" t="inlineStr">
        <is>
          <t>No</t>
        </is>
      </c>
      <c r="AB11" t="inlineStr">
        <is>
          <t>Yes</t>
        </is>
      </c>
    </row>
    <row r="12">
      <c r="A12" t="inlineStr">
        <is>
          <t>2026-08-11</t>
        </is>
      </c>
      <c r="B12" t="inlineStr">
        <is>
          <t>23:36</t>
        </is>
      </c>
      <c r="C12" t="inlineStr">
        <is>
          <t>MGC</t>
        </is>
      </c>
      <c r="D12" t="inlineStr">
        <is>
          <t>Short</t>
        </is>
      </c>
      <c r="E12" t="n">
        <v>490</v>
      </c>
      <c r="F12" t="inlineStr">
        <is>
          <t>up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55.6</v>
      </c>
      <c r="K12" t="inlineStr">
        <is>
          <t>bull</t>
        </is>
      </c>
      <c r="L12" t="inlineStr">
        <is>
          <t>-</t>
        </is>
      </c>
      <c r="M12" t="n">
        <v>37</v>
      </c>
      <c r="N12" t="n">
        <v>4.22</v>
      </c>
      <c r="O12" t="n">
        <v>4442.87</v>
      </c>
      <c r="P12" t="inlineStr">
        <is>
          <t>above</t>
        </is>
      </c>
      <c r="Q12" t="n">
        <v>4444.2</v>
      </c>
      <c r="R12" t="n">
        <v>1</v>
      </c>
      <c r="S12" t="n">
        <v>-2061</v>
      </c>
      <c r="T12" t="n">
        <v>-23</v>
      </c>
      <c r="U12" t="inlineStr">
        <is>
          <t>extended (no pullback)</t>
        </is>
      </c>
      <c r="V12" t="inlineStr">
        <is>
          <t>Weak</t>
        </is>
      </c>
      <c r="W12" t="n">
        <v>1</v>
      </c>
      <c r="X12" t="inlineStr">
        <is>
          <t>Round</t>
        </is>
      </c>
      <c r="Y12" t="inlineStr">
        <is>
          <t>strong bearish close</t>
        </is>
      </c>
      <c r="Z12" t="n">
        <v>0.45</v>
      </c>
      <c r="AA12" t="inlineStr">
        <is>
          <t>No</t>
        </is>
      </c>
      <c r="AB12" t="inlineStr">
        <is>
          <t>No</t>
        </is>
      </c>
    </row>
    <row r="13">
      <c r="A13" t="inlineStr">
        <is>
          <t>2026-08-12</t>
        </is>
      </c>
      <c r="B13" t="inlineStr">
        <is>
          <t>09:12</t>
        </is>
      </c>
      <c r="C13" t="inlineStr">
        <is>
          <t>MNQ</t>
        </is>
      </c>
      <c r="D13" t="inlineStr">
        <is>
          <t>Long</t>
        </is>
      </c>
      <c r="E13" t="n">
        <v>47.5</v>
      </c>
      <c r="F13" t="inlineStr">
        <is>
          <t>up</t>
        </is>
      </c>
      <c r="G13" t="inlineStr">
        <is>
          <t>up</t>
        </is>
      </c>
      <c r="H13" t="inlineStr">
        <is>
          <t>up</t>
        </is>
      </c>
      <c r="I13" t="inlineStr">
        <is>
          <t>up</t>
        </is>
      </c>
      <c r="J13" t="n">
        <v>73.5</v>
      </c>
      <c r="K13" t="inlineStr">
        <is>
          <t>bull</t>
        </is>
      </c>
      <c r="L13" t="inlineStr">
        <is>
          <t>+</t>
        </is>
      </c>
      <c r="M13" t="n">
        <v>13</v>
      </c>
      <c r="N13" t="n">
        <v>29.01</v>
      </c>
      <c r="O13" t="n">
        <v>29698.61</v>
      </c>
      <c r="P13" t="inlineStr">
        <is>
          <t>above</t>
        </is>
      </c>
      <c r="Q13" t="n">
        <v>29634.79</v>
      </c>
      <c r="R13" t="n">
        <v>0.8</v>
      </c>
      <c r="S13" t="n">
        <v>-21162</v>
      </c>
      <c r="T13" t="n">
        <v>5</v>
      </c>
      <c r="U13" t="inlineStr">
        <is>
          <t>extended (no pullback)</t>
        </is>
      </c>
      <c r="V13" t="inlineStr">
        <is>
          <t>No setup</t>
        </is>
      </c>
      <c r="W13" t="n">
        <v>0</v>
      </c>
      <c r="X13" t="inlineStr">
        <is>
          <t>No</t>
        </is>
      </c>
      <c r="Y13" t="inlineStr">
        <is>
          <t>strong bullish close</t>
        </is>
      </c>
      <c r="Z13" t="n">
        <v>0.65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2026-08-12</t>
        </is>
      </c>
      <c r="B14" t="inlineStr">
        <is>
          <t>09:26</t>
        </is>
      </c>
      <c r="C14" t="inlineStr">
        <is>
          <t>MGC</t>
        </is>
      </c>
      <c r="D14" t="inlineStr">
        <is>
          <t>Short</t>
        </is>
      </c>
      <c r="E14" t="n">
        <v>170</v>
      </c>
      <c r="F14" t="inlineStr">
        <is>
          <t>up</t>
        </is>
      </c>
      <c r="G14" t="inlineStr">
        <is>
          <t>up</t>
        </is>
      </c>
      <c r="H14" t="inlineStr">
        <is>
          <t>up</t>
        </is>
      </c>
      <c r="I14" t="inlineStr">
        <is>
          <t>up</t>
        </is>
      </c>
      <c r="J14" t="n">
        <v>48.5</v>
      </c>
      <c r="K14" t="inlineStr">
        <is>
          <t>bull</t>
        </is>
      </c>
      <c r="L14" t="inlineStr">
        <is>
          <t>-</t>
        </is>
      </c>
      <c r="M14" t="n">
        <v>14.1</v>
      </c>
      <c r="N14" t="n">
        <v>9.48</v>
      </c>
      <c r="O14" t="n">
        <v>4457.91</v>
      </c>
      <c r="P14" t="inlineStr">
        <is>
          <t>above</t>
        </is>
      </c>
      <c r="Q14" t="n">
        <v>4466.39</v>
      </c>
      <c r="R14" t="n">
        <v>1.28</v>
      </c>
      <c r="S14" t="n">
        <v>5281</v>
      </c>
      <c r="T14" t="n">
        <v>5</v>
      </c>
      <c r="U14" t="inlineStr">
        <is>
          <t>extended (no pullback)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strong bullish close</t>
        </is>
      </c>
      <c r="Z14" t="n">
        <v>0.59</v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2026-08-12</t>
        </is>
      </c>
      <c r="B15" t="inlineStr">
        <is>
          <t>09:38</t>
        </is>
      </c>
      <c r="C15" t="inlineStr">
        <is>
          <t>MNQ</t>
        </is>
      </c>
      <c r="D15" t="inlineStr">
        <is>
          <t>Short</t>
        </is>
      </c>
      <c r="E15" t="n">
        <v>69.5</v>
      </c>
      <c r="F15" t="inlineStr">
        <is>
          <t>up</t>
        </is>
      </c>
      <c r="G15" t="inlineStr">
        <is>
          <t>up</t>
        </is>
      </c>
      <c r="H15" t="inlineStr">
        <is>
          <t>up</t>
        </is>
      </c>
      <c r="I15" t="inlineStr">
        <is>
          <t>down</t>
        </is>
      </c>
      <c r="J15" t="n">
        <v>49.1</v>
      </c>
      <c r="K15" t="inlineStr">
        <is>
          <t>bull</t>
        </is>
      </c>
      <c r="L15" t="inlineStr">
        <is>
          <t>-</t>
        </is>
      </c>
      <c r="M15" t="n">
        <v>15.4</v>
      </c>
      <c r="N15" t="n">
        <v>38.58</v>
      </c>
      <c r="T15" t="n">
        <v>36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Z15" t="n">
        <v>4.74</v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2026-08-12</t>
        </is>
      </c>
      <c r="B16" t="inlineStr">
        <is>
          <t>09:51</t>
        </is>
      </c>
      <c r="C16" t="inlineStr">
        <is>
          <t>MGC</t>
        </is>
      </c>
      <c r="D16" t="inlineStr">
        <is>
          <t>Long</t>
        </is>
      </c>
      <c r="E16" t="n">
        <v>-460</v>
      </c>
      <c r="F16" t="inlineStr">
        <is>
          <t>up</t>
        </is>
      </c>
      <c r="G16" t="inlineStr">
        <is>
          <t>up</t>
        </is>
      </c>
      <c r="H16" t="inlineStr">
        <is>
          <t>up</t>
        </is>
      </c>
      <c r="I16" t="inlineStr">
        <is>
          <t>up</t>
        </is>
      </c>
      <c r="J16" t="n">
        <v>60</v>
      </c>
      <c r="K16" t="inlineStr">
        <is>
          <t>bull</t>
        </is>
      </c>
      <c r="L16" t="inlineStr">
        <is>
          <t>-</t>
        </is>
      </c>
      <c r="M16" t="n">
        <v>14.2</v>
      </c>
      <c r="N16" t="n">
        <v>9.69</v>
      </c>
      <c r="O16" t="n">
        <v>4478.61</v>
      </c>
      <c r="P16" t="inlineStr">
        <is>
          <t>above</t>
        </is>
      </c>
      <c r="Q16" t="n">
        <v>4474.18</v>
      </c>
      <c r="R16" t="n">
        <v>1.17</v>
      </c>
      <c r="S16" t="n">
        <v>889</v>
      </c>
      <c r="T16" t="n">
        <v>20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Round</t>
        </is>
      </c>
      <c r="Y16" t="inlineStr">
        <is>
          <t>strong bullish close</t>
        </is>
      </c>
      <c r="Z16" t="n">
        <v>0.7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2026-08-12</t>
        </is>
      </c>
      <c r="B17" t="inlineStr">
        <is>
          <t>10:55</t>
        </is>
      </c>
      <c r="C17" t="inlineStr">
        <is>
          <t>MNQ</t>
        </is>
      </c>
      <c r="D17" t="inlineStr">
        <is>
          <t>Long</t>
        </is>
      </c>
      <c r="E17" t="n">
        <v>93</v>
      </c>
      <c r="F17" t="inlineStr">
        <is>
          <t>up</t>
        </is>
      </c>
      <c r="G17" t="inlineStr">
        <is>
          <t>up</t>
        </is>
      </c>
      <c r="H17" t="inlineStr">
        <is>
          <t>up</t>
        </is>
      </c>
      <c r="I17" t="inlineStr">
        <is>
          <t>down</t>
        </is>
      </c>
      <c r="J17" t="n">
        <v>45.8</v>
      </c>
      <c r="K17" t="inlineStr">
        <is>
          <t>bear</t>
        </is>
      </c>
      <c r="L17" t="inlineStr">
        <is>
          <t>-</t>
        </is>
      </c>
      <c r="M17" t="n">
        <v>14.9</v>
      </c>
      <c r="N17" t="n">
        <v>49.91</v>
      </c>
      <c r="O17" t="n">
        <v>29904.64</v>
      </c>
      <c r="P17" t="inlineStr">
        <is>
          <t>below</t>
        </is>
      </c>
      <c r="Q17" t="n">
        <v>29878.13</v>
      </c>
      <c r="R17" t="n">
        <v>0.78</v>
      </c>
      <c r="S17" t="n">
        <v>-16673</v>
      </c>
      <c r="T17" t="n">
        <v>55</v>
      </c>
      <c r="U17" t="inlineStr">
        <is>
          <t>golden</t>
        </is>
      </c>
      <c r="V17" t="inlineStr">
        <is>
          <t>Weak</t>
        </is>
      </c>
      <c r="W17" t="n">
        <v>1</v>
      </c>
      <c r="X17" t="inlineStr">
        <is>
          <t>PDH/ORL/Round</t>
        </is>
      </c>
      <c r="Z17" t="n">
        <v>0.63</v>
      </c>
      <c r="AA17" t="inlineStr">
        <is>
          <t>No</t>
        </is>
      </c>
      <c r="AB17" t="inlineStr">
        <is>
          <t>Yes</t>
        </is>
      </c>
    </row>
    <row r="18">
      <c r="A18" t="inlineStr">
        <is>
          <t>2026-08-12</t>
        </is>
      </c>
      <c r="B18" t="inlineStr">
        <is>
          <t>11:22</t>
        </is>
      </c>
      <c r="C18" t="inlineStr">
        <is>
          <t>MNQ</t>
        </is>
      </c>
      <c r="D18" t="inlineStr">
        <is>
          <t>Long</t>
        </is>
      </c>
      <c r="E18" t="n">
        <v>154.5</v>
      </c>
      <c r="F18" t="inlineStr">
        <is>
          <t>up</t>
        </is>
      </c>
      <c r="G18" t="inlineStr">
        <is>
          <t>up</t>
        </is>
      </c>
      <c r="H18" t="inlineStr">
        <is>
          <t>up</t>
        </is>
      </c>
      <c r="I18" t="inlineStr">
        <is>
          <t>down</t>
        </is>
      </c>
      <c r="J18" t="n">
        <v>43.7</v>
      </c>
      <c r="K18" t="inlineStr">
        <is>
          <t>bear</t>
        </is>
      </c>
      <c r="L18" t="inlineStr">
        <is>
          <t>-</t>
        </is>
      </c>
      <c r="M18" t="n">
        <v>19.5</v>
      </c>
      <c r="N18" t="n">
        <v>45.34</v>
      </c>
      <c r="O18" t="n">
        <v>29900.13</v>
      </c>
      <c r="P18" t="inlineStr">
        <is>
          <t>below</t>
        </is>
      </c>
      <c r="Q18" t="n">
        <v>29878.13</v>
      </c>
      <c r="R18" t="n">
        <v>0.62</v>
      </c>
      <c r="S18" t="n">
        <v>-16919</v>
      </c>
      <c r="T18" t="n">
        <v>59</v>
      </c>
      <c r="U18" t="inlineStr">
        <is>
          <t>golden</t>
        </is>
      </c>
      <c r="V18" t="inlineStr">
        <is>
          <t>Weak</t>
        </is>
      </c>
      <c r="W18" t="n">
        <v>1</v>
      </c>
      <c r="X18" t="inlineStr">
        <is>
          <t>ORL/Round</t>
        </is>
      </c>
      <c r="Y18" t="inlineStr">
        <is>
          <t>strong bearish close</t>
        </is>
      </c>
      <c r="Z18" t="n">
        <v>0.49</v>
      </c>
      <c r="AA18" t="inlineStr">
        <is>
          <t>No</t>
        </is>
      </c>
      <c r="AB18" t="inlineStr">
        <is>
          <t>Yes</t>
        </is>
      </c>
    </row>
    <row r="19">
      <c r="A19" t="inlineStr">
        <is>
          <t>2026-08-12</t>
        </is>
      </c>
      <c r="B19" t="inlineStr">
        <is>
          <t>11:32</t>
        </is>
      </c>
      <c r="C19" t="inlineStr">
        <is>
          <t>MNQ</t>
        </is>
      </c>
      <c r="D19" t="inlineStr">
        <is>
          <t>Long</t>
        </is>
      </c>
      <c r="E19" t="n">
        <v>-136.5</v>
      </c>
      <c r="F19" t="inlineStr">
        <is>
          <t>up</t>
        </is>
      </c>
      <c r="G19" t="inlineStr">
        <is>
          <t>up</t>
        </is>
      </c>
      <c r="H19" t="inlineStr">
        <is>
          <t>up</t>
        </is>
      </c>
      <c r="I19" t="inlineStr">
        <is>
          <t>down</t>
        </is>
      </c>
      <c r="J19" t="n">
        <v>42.1</v>
      </c>
      <c r="K19" t="inlineStr">
        <is>
          <t>bear</t>
        </is>
      </c>
      <c r="L19" t="inlineStr">
        <is>
          <t>-</t>
        </is>
      </c>
      <c r="M19" t="n">
        <v>21.8</v>
      </c>
      <c r="N19" t="n">
        <v>45.45</v>
      </c>
      <c r="O19" t="n">
        <v>29898.09</v>
      </c>
      <c r="P19" t="inlineStr">
        <is>
          <t>below</t>
        </is>
      </c>
      <c r="Q19" t="n">
        <v>29908.09</v>
      </c>
      <c r="R19" t="n">
        <v>0.87</v>
      </c>
      <c r="S19" t="n">
        <v>-16809</v>
      </c>
      <c r="T19" t="n">
        <v>58</v>
      </c>
      <c r="U19" t="inlineStr">
        <is>
          <t>golden</t>
        </is>
      </c>
      <c r="V19" t="inlineStr">
        <is>
          <t>Good</t>
        </is>
      </c>
      <c r="W19" t="n">
        <v>2</v>
      </c>
      <c r="X19" t="inlineStr">
        <is>
          <t>ORL/Round</t>
        </is>
      </c>
      <c r="Y19" t="inlineStr">
        <is>
          <t>bearish engulfing</t>
        </is>
      </c>
      <c r="Z19" t="n">
        <v>0.82</v>
      </c>
      <c r="AA19" t="inlineStr">
        <is>
          <t>No</t>
        </is>
      </c>
      <c r="AB19" t="inlineStr">
        <is>
          <t>Yes</t>
        </is>
      </c>
    </row>
    <row r="20">
      <c r="A20" t="inlineStr">
        <is>
          <t>2026-08-12</t>
        </is>
      </c>
      <c r="B20" t="inlineStr">
        <is>
          <t>11:57</t>
        </is>
      </c>
      <c r="C20" t="inlineStr">
        <is>
          <t>MNQ</t>
        </is>
      </c>
      <c r="D20" t="inlineStr">
        <is>
          <t>Short</t>
        </is>
      </c>
      <c r="E20" t="n">
        <v>-144</v>
      </c>
      <c r="F20" t="inlineStr">
        <is>
          <t>up</t>
        </is>
      </c>
      <c r="G20" t="inlineStr">
        <is>
          <t>up</t>
        </is>
      </c>
      <c r="H20" t="inlineStr">
        <is>
          <t>up</t>
        </is>
      </c>
      <c r="I20" t="inlineStr">
        <is>
          <t>down</t>
        </is>
      </c>
      <c r="J20" t="n">
        <v>42.8</v>
      </c>
      <c r="K20" t="inlineStr">
        <is>
          <t>bear</t>
        </is>
      </c>
      <c r="L20" t="inlineStr">
        <is>
          <t>-</t>
        </is>
      </c>
      <c r="M20" t="n">
        <v>27</v>
      </c>
      <c r="N20" t="n">
        <v>38.28</v>
      </c>
      <c r="O20" t="n">
        <v>29893.68</v>
      </c>
      <c r="P20" t="inlineStr">
        <is>
          <t>below</t>
        </is>
      </c>
      <c r="Q20" t="n">
        <v>29939.9</v>
      </c>
      <c r="R20" t="n">
        <v>0.64</v>
      </c>
      <c r="S20" t="n">
        <v>-20548</v>
      </c>
      <c r="T20" t="n">
        <v>11</v>
      </c>
      <c r="U20" t="inlineStr">
        <is>
          <t>extended (no pullback)</t>
        </is>
      </c>
      <c r="V20" t="inlineStr">
        <is>
          <t>No setup</t>
        </is>
      </c>
      <c r="W20" t="n">
        <v>0</v>
      </c>
      <c r="X20" t="inlineStr">
        <is>
          <t>ORL/Round</t>
        </is>
      </c>
      <c r="Y20" t="inlineStr">
        <is>
          <t>strong bearish close</t>
        </is>
      </c>
      <c r="Z20" t="n">
        <v>0.47</v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2026-08-12</t>
        </is>
      </c>
      <c r="B21" t="inlineStr">
        <is>
          <t>14:12</t>
        </is>
      </c>
      <c r="C21" t="inlineStr">
        <is>
          <t>MGC</t>
        </is>
      </c>
      <c r="D21" t="inlineStr">
        <is>
          <t>Short</t>
        </is>
      </c>
      <c r="E21" t="n">
        <v>-195</v>
      </c>
      <c r="F21" t="inlineStr">
        <is>
          <t>up</t>
        </is>
      </c>
      <c r="G21" t="inlineStr">
        <is>
          <t>up</t>
        </is>
      </c>
      <c r="H21" t="inlineStr">
        <is>
          <t>up</t>
        </is>
      </c>
      <c r="I21" t="inlineStr">
        <is>
          <t>down</t>
        </is>
      </c>
      <c r="J21" t="n">
        <v>47.1</v>
      </c>
      <c r="K21" t="inlineStr">
        <is>
          <t>bear</t>
        </is>
      </c>
      <c r="L21" t="inlineStr">
        <is>
          <t>+</t>
        </is>
      </c>
      <c r="M21" t="n">
        <v>22.7</v>
      </c>
      <c r="N21" t="n">
        <v>5.09</v>
      </c>
      <c r="O21" t="n">
        <v>4478.13</v>
      </c>
      <c r="P21" t="inlineStr">
        <is>
          <t>below</t>
        </is>
      </c>
      <c r="Q21" t="n">
        <v>4479.5</v>
      </c>
      <c r="R21" t="n">
        <v>0.74</v>
      </c>
      <c r="S21" t="n">
        <v>-2057</v>
      </c>
      <c r="T21" t="n">
        <v>22</v>
      </c>
      <c r="U21" t="inlineStr">
        <is>
          <t>shallow</t>
        </is>
      </c>
      <c r="V21" t="inlineStr">
        <is>
          <t>Weak</t>
        </is>
      </c>
      <c r="W21" t="n">
        <v>1</v>
      </c>
      <c r="X21" t="inlineStr">
        <is>
          <t>No</t>
        </is>
      </c>
      <c r="Y21" t="inlineStr">
        <is>
          <t>strong bullish close</t>
        </is>
      </c>
      <c r="Z21" t="n">
        <v>0.39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2026-08-13</t>
        </is>
      </c>
      <c r="B22" t="inlineStr">
        <is>
          <t>08:50</t>
        </is>
      </c>
      <c r="C22" t="inlineStr">
        <is>
          <t>MGC</t>
        </is>
      </c>
      <c r="D22" t="inlineStr">
        <is>
          <t>Long</t>
        </is>
      </c>
      <c r="E22" t="n">
        <v>-57</v>
      </c>
      <c r="F22" t="inlineStr">
        <is>
          <t>up</t>
        </is>
      </c>
      <c r="G22" t="inlineStr">
        <is>
          <t>down</t>
        </is>
      </c>
      <c r="H22" t="inlineStr">
        <is>
          <t>up</t>
        </is>
      </c>
      <c r="I22" t="inlineStr">
        <is>
          <t>up</t>
        </is>
      </c>
      <c r="J22" t="n">
        <v>61.3</v>
      </c>
      <c r="K22" t="inlineStr">
        <is>
          <t>bull</t>
        </is>
      </c>
      <c r="L22" t="inlineStr">
        <is>
          <t>+</t>
        </is>
      </c>
      <c r="M22" t="n">
        <v>26</v>
      </c>
      <c r="N22" t="n">
        <v>5.68</v>
      </c>
      <c r="O22" t="n">
        <v>4465.02</v>
      </c>
      <c r="P22" t="inlineStr">
        <is>
          <t>below</t>
        </is>
      </c>
      <c r="Q22" t="n">
        <v>4479.13</v>
      </c>
      <c r="R22" t="n">
        <v>0.38</v>
      </c>
      <c r="S22" t="n">
        <v>-878</v>
      </c>
      <c r="T22" t="n">
        <v>23</v>
      </c>
      <c r="U22" t="inlineStr">
        <is>
          <t>shallow</t>
        </is>
      </c>
      <c r="V22" t="inlineStr">
        <is>
          <t>Good</t>
        </is>
      </c>
      <c r="W22" t="n">
        <v>2</v>
      </c>
      <c r="X22" t="inlineStr">
        <is>
          <t>Round</t>
        </is>
      </c>
      <c r="Z22" t="n">
        <v>0.61</v>
      </c>
      <c r="AA22" t="inlineStr">
        <is>
          <t>No</t>
        </is>
      </c>
      <c r="AB22" t="inlineStr">
        <is>
          <t>Yes</t>
        </is>
      </c>
    </row>
    <row r="23">
      <c r="A23" t="inlineStr">
        <is>
          <t>2026-08-13</t>
        </is>
      </c>
      <c r="B23" t="inlineStr">
        <is>
          <t>09:46</t>
        </is>
      </c>
      <c r="C23" t="inlineStr">
        <is>
          <t>MNQ</t>
        </is>
      </c>
      <c r="D23" t="inlineStr">
        <is>
          <t>Long</t>
        </is>
      </c>
      <c r="E23" t="n">
        <v>375</v>
      </c>
      <c r="F23" t="inlineStr">
        <is>
          <t>up</t>
        </is>
      </c>
      <c r="G23" t="inlineStr">
        <is>
          <t>up</t>
        </is>
      </c>
      <c r="H23" t="inlineStr">
        <is>
          <t>up</t>
        </is>
      </c>
      <c r="I23" t="inlineStr">
        <is>
          <t>up</t>
        </is>
      </c>
      <c r="J23" t="n">
        <v>83.90000000000001</v>
      </c>
      <c r="K23" t="inlineStr">
        <is>
          <t>bull</t>
        </is>
      </c>
      <c r="L23" t="inlineStr">
        <is>
          <t>+</t>
        </is>
      </c>
      <c r="M23" t="n">
        <v>32.8</v>
      </c>
      <c r="N23" t="n">
        <v>39.34</v>
      </c>
      <c r="O23" t="n">
        <v>29997.05</v>
      </c>
      <c r="P23" t="inlineStr">
        <is>
          <t>above</t>
        </is>
      </c>
      <c r="Q23" t="n">
        <v>29902.34</v>
      </c>
      <c r="R23" t="n">
        <v>1.07</v>
      </c>
      <c r="S23" t="n">
        <v>33318</v>
      </c>
      <c r="T23" t="n">
        <v>17</v>
      </c>
      <c r="U23" t="inlineStr">
        <is>
          <t>shallow</t>
        </is>
      </c>
      <c r="V23" t="inlineStr">
        <is>
          <t>Weak</t>
        </is>
      </c>
      <c r="W23" t="n">
        <v>1</v>
      </c>
      <c r="X23" t="inlineStr">
        <is>
          <t>Round</t>
        </is>
      </c>
      <c r="Y23" t="inlineStr">
        <is>
          <t>bullish engulfing</t>
        </is>
      </c>
      <c r="Z23" t="n">
        <v>4.26</v>
      </c>
      <c r="AA23" t="inlineStr">
        <is>
          <t>Yes</t>
        </is>
      </c>
      <c r="AB23" t="inlineStr">
        <is>
          <t>Yes</t>
        </is>
      </c>
    </row>
    <row r="24">
      <c r="A24" t="inlineStr">
        <is>
          <t>2026-08-13</t>
        </is>
      </c>
      <c r="B24" t="inlineStr">
        <is>
          <t>11:24</t>
        </is>
      </c>
      <c r="C24" t="inlineStr">
        <is>
          <t>MGC</t>
        </is>
      </c>
      <c r="D24" t="inlineStr">
        <is>
          <t>Short</t>
        </is>
      </c>
      <c r="E24" t="n">
        <v>285</v>
      </c>
      <c r="F24" t="inlineStr">
        <is>
          <t>flat</t>
        </is>
      </c>
      <c r="G24" t="inlineStr">
        <is>
          <t>down</t>
        </is>
      </c>
      <c r="H24" t="inlineStr">
        <is>
          <t>down</t>
        </is>
      </c>
      <c r="I24" t="inlineStr">
        <is>
          <t>down</t>
        </is>
      </c>
      <c r="J24" t="n">
        <v>41.8</v>
      </c>
      <c r="K24" t="inlineStr">
        <is>
          <t>bear</t>
        </is>
      </c>
      <c r="L24" t="inlineStr">
        <is>
          <t>-</t>
        </is>
      </c>
      <c r="M24" t="n">
        <v>29.6</v>
      </c>
      <c r="N24" t="n">
        <v>7.33</v>
      </c>
      <c r="O24" t="n">
        <v>4431.96</v>
      </c>
      <c r="P24" t="inlineStr">
        <is>
          <t>below</t>
        </is>
      </c>
      <c r="Q24" t="n">
        <v>4430.89</v>
      </c>
      <c r="R24" t="n">
        <v>1.02</v>
      </c>
      <c r="S24" t="n">
        <v>1803</v>
      </c>
      <c r="T24" t="n">
        <v>36</v>
      </c>
      <c r="U24" t="inlineStr">
        <is>
          <t>shallow</t>
        </is>
      </c>
      <c r="V24" t="inlineStr">
        <is>
          <t>Weak</t>
        </is>
      </c>
      <c r="W24" t="n">
        <v>1</v>
      </c>
      <c r="X24" t="inlineStr">
        <is>
          <t>ORL/Round</t>
        </is>
      </c>
      <c r="Y24" t="inlineStr">
        <is>
          <t>bullish engulfing</t>
        </is>
      </c>
      <c r="Z24" t="n">
        <v>0.8</v>
      </c>
      <c r="AA24" t="inlineStr">
        <is>
          <t>Yes</t>
        </is>
      </c>
      <c r="AB24" t="inlineStr">
        <is>
          <t>No</t>
        </is>
      </c>
    </row>
    <row r="25">
      <c r="A25" t="inlineStr">
        <is>
          <t>2026-08-13</t>
        </is>
      </c>
      <c r="B25" t="inlineStr">
        <is>
          <t>22:50</t>
        </is>
      </c>
      <c r="C25" t="inlineStr">
        <is>
          <t>MGC</t>
        </is>
      </c>
      <c r="D25" t="inlineStr">
        <is>
          <t>Long</t>
        </is>
      </c>
      <c r="E25" t="n">
        <v>-66</v>
      </c>
      <c r="F25" t="inlineStr">
        <is>
          <t>down</t>
        </is>
      </c>
      <c r="G25" t="inlineStr">
        <is>
          <t>down</t>
        </is>
      </c>
      <c r="H25" t="inlineStr">
        <is>
          <t>down</t>
        </is>
      </c>
      <c r="I25" t="inlineStr">
        <is>
          <t>down</t>
        </is>
      </c>
      <c r="J25" t="n">
        <v>40</v>
      </c>
      <c r="K25" t="inlineStr">
        <is>
          <t>bear</t>
        </is>
      </c>
      <c r="L25" t="inlineStr">
        <is>
          <t>+</t>
        </is>
      </c>
      <c r="M25" t="n">
        <v>53.2</v>
      </c>
      <c r="N25" t="n">
        <v>5.88</v>
      </c>
      <c r="O25" t="n">
        <v>4413.25</v>
      </c>
      <c r="P25" t="inlineStr">
        <is>
          <t>below</t>
        </is>
      </c>
      <c r="Q25" t="n">
        <v>4431.23</v>
      </c>
      <c r="R25" t="n">
        <v>0.5600000000000001</v>
      </c>
      <c r="S25" t="n">
        <v>-5048</v>
      </c>
      <c r="T25" t="n">
        <v>50</v>
      </c>
      <c r="U25" t="inlineStr">
        <is>
          <t>golden</t>
        </is>
      </c>
      <c r="V25" t="inlineStr">
        <is>
          <t>Weak</t>
        </is>
      </c>
      <c r="W25" t="n">
        <v>1</v>
      </c>
      <c r="X25" t="inlineStr">
        <is>
          <t>Round</t>
        </is>
      </c>
      <c r="Y25" t="inlineStr">
        <is>
          <t>strong bearish close</t>
        </is>
      </c>
      <c r="Z25" t="n">
        <v>0.31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2026-08-13</t>
        </is>
      </c>
      <c r="B26" t="inlineStr">
        <is>
          <t>22:59</t>
        </is>
      </c>
      <c r="C26" t="inlineStr">
        <is>
          <t>MGC</t>
        </is>
      </c>
      <c r="D26" t="inlineStr">
        <is>
          <t>Short</t>
        </is>
      </c>
      <c r="E26" t="n">
        <v>-195</v>
      </c>
      <c r="F26" t="inlineStr">
        <is>
          <t>down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39.9</v>
      </c>
      <c r="K26" t="inlineStr">
        <is>
          <t>bear</t>
        </is>
      </c>
      <c r="L26" t="inlineStr">
        <is>
          <t>+</t>
        </is>
      </c>
      <c r="M26" t="n">
        <v>53.4</v>
      </c>
      <c r="N26" t="n">
        <v>5.72</v>
      </c>
      <c r="O26" t="n">
        <v>4413.12</v>
      </c>
      <c r="P26" t="inlineStr">
        <is>
          <t>below</t>
        </is>
      </c>
      <c r="Q26" t="n">
        <v>4431.23</v>
      </c>
      <c r="R26" t="n">
        <v>1</v>
      </c>
      <c r="S26" t="n">
        <v>-4888</v>
      </c>
      <c r="T26" t="n">
        <v>9</v>
      </c>
      <c r="U26" t="inlineStr">
        <is>
          <t>extended (no pullback)</t>
        </is>
      </c>
      <c r="V26" t="inlineStr">
        <is>
          <t>Weak</t>
        </is>
      </c>
      <c r="W26" t="n">
        <v>1</v>
      </c>
      <c r="X26" t="inlineStr">
        <is>
          <t>Round</t>
        </is>
      </c>
      <c r="Y26" t="inlineStr">
        <is>
          <t>bullish pin/hammer</t>
        </is>
      </c>
      <c r="Z26" t="n">
        <v>0.48</v>
      </c>
      <c r="AA26" t="inlineStr">
        <is>
          <t>Yes</t>
        </is>
      </c>
      <c r="AB26" t="inlineStr">
        <is>
          <t>Yes</t>
        </is>
      </c>
    </row>
    <row r="27">
      <c r="A27" t="inlineStr">
        <is>
          <t>2026-08-14</t>
        </is>
      </c>
      <c r="B27" t="inlineStr">
        <is>
          <t>09:47</t>
        </is>
      </c>
      <c r="C27" t="inlineStr">
        <is>
          <t>MNQ</t>
        </is>
      </c>
      <c r="D27" t="inlineStr">
        <is>
          <t>Long</t>
        </is>
      </c>
      <c r="E27" t="n">
        <v>136.5</v>
      </c>
      <c r="F27" t="inlineStr">
        <is>
          <t>up</t>
        </is>
      </c>
      <c r="G27" t="inlineStr">
        <is>
          <t>up</t>
        </is>
      </c>
      <c r="H27" t="inlineStr">
        <is>
          <t>up</t>
        </is>
      </c>
      <c r="I27" t="inlineStr">
        <is>
          <t>down</t>
        </is>
      </c>
      <c r="J27" t="n">
        <v>46.8</v>
      </c>
      <c r="K27" t="inlineStr">
        <is>
          <t>bear</t>
        </is>
      </c>
      <c r="L27" t="inlineStr">
        <is>
          <t>-</t>
        </is>
      </c>
      <c r="M27" t="n">
        <v>18</v>
      </c>
      <c r="N27" t="n">
        <v>27.53</v>
      </c>
      <c r="O27" t="n">
        <v>30230.3</v>
      </c>
      <c r="P27" t="inlineStr">
        <is>
          <t>above</t>
        </is>
      </c>
      <c r="Q27" t="n">
        <v>30237.58</v>
      </c>
      <c r="R27" t="n">
        <v>0.98</v>
      </c>
      <c r="S27" t="n">
        <v>896</v>
      </c>
      <c r="T27" t="n">
        <v>43</v>
      </c>
      <c r="U27" t="inlineStr">
        <is>
          <t>golden</t>
        </is>
      </c>
      <c r="V27" t="inlineStr">
        <is>
          <t>Weak</t>
        </is>
      </c>
      <c r="W27" t="n">
        <v>1</v>
      </c>
      <c r="X27" t="inlineStr">
        <is>
          <t>No</t>
        </is>
      </c>
      <c r="Y27" t="inlineStr">
        <is>
          <t>strong bearish close</t>
        </is>
      </c>
      <c r="Z27" t="n">
        <v>4.21</v>
      </c>
      <c r="AA27" t="inlineStr">
        <is>
          <t>No</t>
        </is>
      </c>
      <c r="AB27" t="inlineStr">
        <is>
          <t>Yes</t>
        </is>
      </c>
    </row>
    <row r="28">
      <c r="A28" t="inlineStr">
        <is>
          <t>2026-08-14</t>
        </is>
      </c>
      <c r="B28" t="inlineStr">
        <is>
          <t>09:57</t>
        </is>
      </c>
      <c r="C28" t="inlineStr">
        <is>
          <t>MNQ</t>
        </is>
      </c>
      <c r="D28" t="inlineStr">
        <is>
          <t>Long</t>
        </is>
      </c>
      <c r="E28" t="n">
        <v>27</v>
      </c>
      <c r="F28" t="inlineStr">
        <is>
          <t>up</t>
        </is>
      </c>
      <c r="G28" t="inlineStr">
        <is>
          <t>up</t>
        </is>
      </c>
      <c r="H28" t="inlineStr">
        <is>
          <t>up</t>
        </is>
      </c>
      <c r="I28" t="inlineStr">
        <is>
          <t>down</t>
        </is>
      </c>
      <c r="J28" t="n">
        <v>43.8</v>
      </c>
      <c r="K28" t="inlineStr">
        <is>
          <t>bear</t>
        </is>
      </c>
      <c r="L28" t="inlineStr">
        <is>
          <t>-</t>
        </is>
      </c>
      <c r="M28" t="n">
        <v>17</v>
      </c>
      <c r="N28" t="n">
        <v>29.86</v>
      </c>
      <c r="O28" t="n">
        <v>30231.85</v>
      </c>
      <c r="P28" t="inlineStr">
        <is>
          <t>below</t>
        </is>
      </c>
      <c r="Q28" t="n">
        <v>30229.28</v>
      </c>
      <c r="R28" t="n">
        <v>0.6899999999999999</v>
      </c>
      <c r="S28" t="n">
        <v>-759</v>
      </c>
      <c r="T28" t="n">
        <v>54</v>
      </c>
      <c r="U28" t="inlineStr">
        <is>
          <t>golden</t>
        </is>
      </c>
      <c r="V28" t="inlineStr">
        <is>
          <t>Weak</t>
        </is>
      </c>
      <c r="W28" t="n">
        <v>1</v>
      </c>
      <c r="X28" t="inlineStr">
        <is>
          <t>No</t>
        </is>
      </c>
      <c r="Y28" t="inlineStr">
        <is>
          <t>bearish engulfing</t>
        </is>
      </c>
      <c r="Z28" t="n">
        <v>1.7</v>
      </c>
      <c r="AA28" t="inlineStr">
        <is>
          <t>No</t>
        </is>
      </c>
      <c r="AB28" t="inlineStr">
        <is>
          <t>Yes</t>
        </is>
      </c>
    </row>
    <row r="29">
      <c r="A29" t="inlineStr">
        <is>
          <t>2026-08-14</t>
        </is>
      </c>
      <c r="B29" t="inlineStr">
        <is>
          <t>11:58</t>
        </is>
      </c>
      <c r="C29" t="inlineStr">
        <is>
          <t>MNQ</t>
        </is>
      </c>
      <c r="D29" t="inlineStr">
        <is>
          <t>Short</t>
        </is>
      </c>
      <c r="E29" t="n">
        <v>-162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36.8</v>
      </c>
      <c r="K29" t="inlineStr">
        <is>
          <t>bear</t>
        </is>
      </c>
      <c r="L29" t="inlineStr">
        <is>
          <t>-</t>
        </is>
      </c>
      <c r="M29" t="n">
        <v>42.4</v>
      </c>
      <c r="N29" t="n">
        <v>32.23</v>
      </c>
      <c r="O29" t="n">
        <v>30166.8</v>
      </c>
      <c r="P29" t="inlineStr">
        <is>
          <t>below</t>
        </is>
      </c>
      <c r="Q29" t="n">
        <v>30239.55</v>
      </c>
      <c r="R29" t="n">
        <v>1.02</v>
      </c>
      <c r="S29" t="n">
        <v>-24836</v>
      </c>
      <c r="T29" t="n">
        <v>17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No</t>
        </is>
      </c>
      <c r="Z29" t="n">
        <v>0.68</v>
      </c>
      <c r="AA29" t="inlineStr">
        <is>
          <t>Yes</t>
        </is>
      </c>
      <c r="AB29" t="inlineStr">
        <is>
          <t>No</t>
        </is>
      </c>
    </row>
    <row r="30">
      <c r="A30" t="inlineStr">
        <is>
          <t>2026-08-14</t>
        </is>
      </c>
      <c r="B30" t="inlineStr">
        <is>
          <t>12:41</t>
        </is>
      </c>
      <c r="C30" t="inlineStr">
        <is>
          <t>MNQ</t>
        </is>
      </c>
      <c r="D30" t="inlineStr">
        <is>
          <t>Short</t>
        </is>
      </c>
      <c r="E30" t="n">
        <v>27</v>
      </c>
      <c r="F30" t="inlineStr">
        <is>
          <t>up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41.4</v>
      </c>
      <c r="K30" t="inlineStr">
        <is>
          <t>bear</t>
        </is>
      </c>
      <c r="L30" t="inlineStr">
        <is>
          <t>+</t>
        </is>
      </c>
      <c r="M30" t="n">
        <v>35</v>
      </c>
      <c r="N30" t="n">
        <v>27.31</v>
      </c>
      <c r="O30" t="n">
        <v>30155.18</v>
      </c>
      <c r="P30" t="inlineStr">
        <is>
          <t>below</t>
        </is>
      </c>
      <c r="Q30" t="n">
        <v>30239.55</v>
      </c>
      <c r="R30" t="n">
        <v>0.74</v>
      </c>
      <c r="S30" t="n">
        <v>-26489</v>
      </c>
      <c r="T30" t="n">
        <v>16</v>
      </c>
      <c r="U30" t="inlineStr">
        <is>
          <t>shallow</t>
        </is>
      </c>
      <c r="V30" t="inlineStr">
        <is>
          <t>No setup</t>
        </is>
      </c>
      <c r="W30" t="n">
        <v>0</v>
      </c>
      <c r="X30" t="inlineStr">
        <is>
          <t>No</t>
        </is>
      </c>
      <c r="Y30" t="inlineStr">
        <is>
          <t>strong bearish close</t>
        </is>
      </c>
      <c r="Z30" t="n">
        <v>0.55</v>
      </c>
      <c r="AA30" t="inlineStr">
        <is>
          <t>Yes</t>
        </is>
      </c>
      <c r="AB30" t="inlineStr">
        <is>
          <t>No</t>
        </is>
      </c>
    </row>
    <row r="31">
      <c r="A31" t="inlineStr">
        <is>
          <t>2026-08-14</t>
        </is>
      </c>
      <c r="B31" t="inlineStr">
        <is>
          <t>12:46</t>
        </is>
      </c>
      <c r="C31" t="inlineStr">
        <is>
          <t>MNQ</t>
        </is>
      </c>
      <c r="D31" t="inlineStr">
        <is>
          <t>Long</t>
        </is>
      </c>
      <c r="E31" t="n">
        <v>42.5</v>
      </c>
      <c r="F31" t="inlineStr">
        <is>
          <t>up</t>
        </is>
      </c>
      <c r="G31" t="inlineStr">
        <is>
          <t>down</t>
        </is>
      </c>
      <c r="H31" t="inlineStr">
        <is>
          <t>down</t>
        </is>
      </c>
      <c r="I31" t="inlineStr">
        <is>
          <t>down</t>
        </is>
      </c>
      <c r="J31" t="n">
        <v>43.5</v>
      </c>
      <c r="K31" t="inlineStr">
        <is>
          <t>bear</t>
        </is>
      </c>
      <c r="L31" t="inlineStr">
        <is>
          <t>+</t>
        </is>
      </c>
      <c r="M31" t="n">
        <v>34.7</v>
      </c>
      <c r="N31" t="n">
        <v>26.45</v>
      </c>
      <c r="O31" t="n">
        <v>30154.3</v>
      </c>
      <c r="P31" t="inlineStr">
        <is>
          <t>below</t>
        </is>
      </c>
      <c r="Q31" t="n">
        <v>30239.55</v>
      </c>
      <c r="R31" t="n">
        <v>0.74</v>
      </c>
      <c r="S31" t="n">
        <v>-24912</v>
      </c>
      <c r="T31" t="n">
        <v>51</v>
      </c>
      <c r="U31" t="inlineStr">
        <is>
          <t>golden</t>
        </is>
      </c>
      <c r="V31" t="inlineStr">
        <is>
          <t>Good</t>
        </is>
      </c>
      <c r="W31" t="n">
        <v>2</v>
      </c>
      <c r="X31" t="inlineStr">
        <is>
          <t>No</t>
        </is>
      </c>
      <c r="Y31" t="inlineStr">
        <is>
          <t>strong bullish close</t>
        </is>
      </c>
      <c r="Z31" t="n">
        <v>0.57</v>
      </c>
      <c r="AA31" t="inlineStr">
        <is>
          <t>No</t>
        </is>
      </c>
      <c r="AB31" t="inlineStr">
        <is>
          <t>Yes</t>
        </is>
      </c>
    </row>
    <row r="32">
      <c r="A32" t="inlineStr">
        <is>
          <t>2026-08-14</t>
        </is>
      </c>
      <c r="B32" t="inlineStr">
        <is>
          <t>12:50</t>
        </is>
      </c>
      <c r="C32" t="inlineStr">
        <is>
          <t>MNQ</t>
        </is>
      </c>
      <c r="D32" t="inlineStr">
        <is>
          <t>Long</t>
        </is>
      </c>
      <c r="E32" t="n">
        <v>35</v>
      </c>
      <c r="F32" t="inlineStr">
        <is>
          <t>up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40.7</v>
      </c>
      <c r="K32" t="inlineStr">
        <is>
          <t>bear</t>
        </is>
      </c>
      <c r="L32" t="inlineStr">
        <is>
          <t>+</t>
        </is>
      </c>
      <c r="M32" t="n">
        <v>34.6</v>
      </c>
      <c r="N32" t="n">
        <v>25.9</v>
      </c>
      <c r="O32" t="n">
        <v>30153.36</v>
      </c>
      <c r="P32" t="inlineStr">
        <is>
          <t>below</t>
        </is>
      </c>
      <c r="Q32" t="n">
        <v>30239.55</v>
      </c>
      <c r="R32" t="n">
        <v>0.77</v>
      </c>
      <c r="S32" t="n">
        <v>-25695</v>
      </c>
      <c r="T32" t="n">
        <v>55</v>
      </c>
      <c r="U32" t="inlineStr">
        <is>
          <t>golden</t>
        </is>
      </c>
      <c r="V32" t="inlineStr">
        <is>
          <t>Good</t>
        </is>
      </c>
      <c r="W32" t="n">
        <v>2</v>
      </c>
      <c r="X32" t="inlineStr">
        <is>
          <t>No</t>
        </is>
      </c>
      <c r="Z32" t="n">
        <v>0.61</v>
      </c>
      <c r="AA32" t="inlineStr">
        <is>
          <t>No</t>
        </is>
      </c>
      <c r="AB32" t="inlineStr">
        <is>
          <t>Yes</t>
        </is>
      </c>
    </row>
    <row r="33">
      <c r="A33" t="inlineStr">
        <is>
          <t>2026-08-17</t>
        </is>
      </c>
      <c r="B33" t="inlineStr">
        <is>
          <t>09:55</t>
        </is>
      </c>
      <c r="C33" t="inlineStr">
        <is>
          <t>MNQ</t>
        </is>
      </c>
      <c r="D33" t="inlineStr">
        <is>
          <t>Long</t>
        </is>
      </c>
      <c r="E33" t="n">
        <v>-124.5</v>
      </c>
      <c r="F33" t="inlineStr">
        <is>
          <t>up</t>
        </is>
      </c>
      <c r="G33" t="inlineStr">
        <is>
          <t>up</t>
        </is>
      </c>
      <c r="H33" t="inlineStr">
        <is>
          <t>down</t>
        </is>
      </c>
      <c r="I33" t="inlineStr">
        <is>
          <t>down</t>
        </is>
      </c>
      <c r="J33" t="n">
        <v>50.9</v>
      </c>
      <c r="K33" t="inlineStr">
        <is>
          <t>bear</t>
        </is>
      </c>
      <c r="L33" t="inlineStr">
        <is>
          <t>+</t>
        </is>
      </c>
      <c r="M33" t="n">
        <v>25.6</v>
      </c>
      <c r="N33" t="n">
        <v>32.47</v>
      </c>
      <c r="O33" t="n">
        <v>30212.48</v>
      </c>
      <c r="P33" t="inlineStr">
        <is>
          <t>above</t>
        </is>
      </c>
      <c r="Q33" t="n">
        <v>30201.93</v>
      </c>
      <c r="R33" t="n">
        <v>0.63</v>
      </c>
      <c r="S33" t="n">
        <v>-10161</v>
      </c>
      <c r="T33" t="n">
        <v>15</v>
      </c>
      <c r="U33" t="inlineStr">
        <is>
          <t>shallow</t>
        </is>
      </c>
      <c r="V33" t="inlineStr">
        <is>
          <t>A+</t>
        </is>
      </c>
      <c r="W33" t="n">
        <v>3</v>
      </c>
      <c r="X33" t="inlineStr">
        <is>
          <t>Round</t>
        </is>
      </c>
      <c r="Z33" t="n">
        <v>1.59</v>
      </c>
      <c r="AA33" t="inlineStr">
        <is>
          <t>No</t>
        </is>
      </c>
      <c r="AB33" t="inlineStr">
        <is>
          <t>Yes</t>
        </is>
      </c>
    </row>
    <row r="34">
      <c r="A34" t="inlineStr">
        <is>
          <t>2026-08-17</t>
        </is>
      </c>
      <c r="B34" t="inlineStr">
        <is>
          <t>10:09</t>
        </is>
      </c>
      <c r="C34" t="inlineStr">
        <is>
          <t>MGC</t>
        </is>
      </c>
      <c r="D34" t="inlineStr">
        <is>
          <t>Long</t>
        </is>
      </c>
      <c r="E34" t="n">
        <v>240</v>
      </c>
      <c r="F34" t="inlineStr">
        <is>
          <t>up</t>
        </is>
      </c>
      <c r="G34" t="inlineStr">
        <is>
          <t>up</t>
        </is>
      </c>
      <c r="H34" t="inlineStr">
        <is>
          <t>up</t>
        </is>
      </c>
      <c r="I34" t="inlineStr">
        <is>
          <t>up</t>
        </is>
      </c>
      <c r="J34" t="n">
        <v>64.8</v>
      </c>
      <c r="K34" t="inlineStr">
        <is>
          <t>bull</t>
        </is>
      </c>
      <c r="L34" t="inlineStr">
        <is>
          <t>+</t>
        </is>
      </c>
      <c r="M34" t="n">
        <v>27.7</v>
      </c>
      <c r="N34" t="n">
        <v>6.23</v>
      </c>
      <c r="O34" t="n">
        <v>4456.85</v>
      </c>
      <c r="P34" t="inlineStr">
        <is>
          <t>above</t>
        </is>
      </c>
      <c r="Q34" t="n">
        <v>4457.35</v>
      </c>
      <c r="R34" t="n">
        <v>0.57</v>
      </c>
      <c r="S34" t="n">
        <v>733</v>
      </c>
      <c r="T34" t="n">
        <v>29</v>
      </c>
      <c r="U34" t="inlineStr">
        <is>
          <t>shallow</t>
        </is>
      </c>
      <c r="V34" t="inlineStr">
        <is>
          <t>Weak</t>
        </is>
      </c>
      <c r="W34" t="n">
        <v>1</v>
      </c>
      <c r="X34" t="inlineStr">
        <is>
          <t>Round</t>
        </is>
      </c>
      <c r="Y34" t="inlineStr">
        <is>
          <t>strong bearish close</t>
        </is>
      </c>
      <c r="Z34" t="n">
        <v>0.64</v>
      </c>
      <c r="AA34" t="inlineStr">
        <is>
          <t>Yes</t>
        </is>
      </c>
      <c r="AB34" t="inlineStr">
        <is>
          <t>Yes</t>
        </is>
      </c>
    </row>
    <row r="35">
      <c r="A35" t="inlineStr">
        <is>
          <t>2026-08-17</t>
        </is>
      </c>
      <c r="B35" t="inlineStr">
        <is>
          <t>11:51</t>
        </is>
      </c>
      <c r="C35" t="inlineStr">
        <is>
          <t>MNQ</t>
        </is>
      </c>
      <c r="D35" t="inlineStr">
        <is>
          <t>Short</t>
        </is>
      </c>
      <c r="E35" t="n">
        <v>97.5</v>
      </c>
      <c r="F35" t="inlineStr">
        <is>
          <t>up</t>
        </is>
      </c>
      <c r="G35" t="inlineStr">
        <is>
          <t>up</t>
        </is>
      </c>
      <c r="H35" t="inlineStr">
        <is>
          <t>down</t>
        </is>
      </c>
      <c r="I35" t="inlineStr">
        <is>
          <t>up</t>
        </is>
      </c>
      <c r="J35" t="n">
        <v>52.7</v>
      </c>
      <c r="K35" t="inlineStr">
        <is>
          <t>bull</t>
        </is>
      </c>
      <c r="L35" t="inlineStr">
        <is>
          <t>-</t>
        </is>
      </c>
      <c r="M35" t="n">
        <v>17.1</v>
      </c>
      <c r="N35" t="n">
        <v>29.13</v>
      </c>
      <c r="O35" t="n">
        <v>30219.99</v>
      </c>
      <c r="P35" t="inlineStr">
        <is>
          <t>above</t>
        </is>
      </c>
      <c r="Q35" t="n">
        <v>30203.19</v>
      </c>
      <c r="R35" t="n">
        <v>0.91</v>
      </c>
      <c r="S35" t="n">
        <v>-4114</v>
      </c>
      <c r="T35" t="n">
        <v>49</v>
      </c>
      <c r="U35" t="inlineStr">
        <is>
          <t>golden</t>
        </is>
      </c>
      <c r="V35" t="inlineStr">
        <is>
          <t>Good</t>
        </is>
      </c>
      <c r="W35" t="n">
        <v>2</v>
      </c>
      <c r="X35" t="inlineStr">
        <is>
          <t>Round</t>
        </is>
      </c>
      <c r="Y35" t="inlineStr">
        <is>
          <t>bullish engulfing</t>
        </is>
      </c>
      <c r="Z35" t="n">
        <v>0.86</v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2026-08-18</t>
        </is>
      </c>
      <c r="B36" t="inlineStr">
        <is>
          <t>10:00</t>
        </is>
      </c>
      <c r="C36" t="inlineStr">
        <is>
          <t>MGC</t>
        </is>
      </c>
      <c r="D36" t="inlineStr">
        <is>
          <t>Short</t>
        </is>
      </c>
      <c r="E36" t="n">
        <v>-159</v>
      </c>
      <c r="F36" t="inlineStr">
        <is>
          <t>flat</t>
        </is>
      </c>
      <c r="G36" t="inlineStr">
        <is>
          <t>down</t>
        </is>
      </c>
      <c r="H36" t="inlineStr">
        <is>
          <t>down</t>
        </is>
      </c>
      <c r="I36" t="inlineStr">
        <is>
          <t>up</t>
        </is>
      </c>
      <c r="J36" t="n">
        <v>59.5</v>
      </c>
      <c r="K36" t="inlineStr">
        <is>
          <t>bull</t>
        </is>
      </c>
      <c r="L36" t="inlineStr">
        <is>
          <t>+</t>
        </is>
      </c>
      <c r="M36" t="n">
        <v>19.5</v>
      </c>
      <c r="N36" t="n">
        <v>7.37</v>
      </c>
      <c r="O36" t="n">
        <v>4452.09</v>
      </c>
      <c r="P36" t="inlineStr">
        <is>
          <t>above</t>
        </is>
      </c>
      <c r="Q36" t="n">
        <v>4442.54</v>
      </c>
      <c r="R36" t="n">
        <v>1.54</v>
      </c>
      <c r="S36" t="n">
        <v>5145</v>
      </c>
      <c r="T36" t="n">
        <v>53</v>
      </c>
      <c r="U36" t="inlineStr">
        <is>
          <t>golden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strong bullish close</t>
        </is>
      </c>
      <c r="Z36" t="n">
        <v>2.6</v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2026-08-18</t>
        </is>
      </c>
      <c r="B37" t="inlineStr">
        <is>
          <t>10:08</t>
        </is>
      </c>
      <c r="C37" t="inlineStr">
        <is>
          <t>MGC</t>
        </is>
      </c>
      <c r="D37" t="inlineStr">
        <is>
          <t>Long</t>
        </is>
      </c>
      <c r="E37" t="n">
        <v>-180</v>
      </c>
      <c r="F37" t="inlineStr">
        <is>
          <t>flat</t>
        </is>
      </c>
      <c r="G37" t="inlineStr">
        <is>
          <t>down</t>
        </is>
      </c>
      <c r="H37" t="inlineStr">
        <is>
          <t>down</t>
        </is>
      </c>
      <c r="I37" t="inlineStr">
        <is>
          <t>up</t>
        </is>
      </c>
      <c r="J37" t="n">
        <v>53.3</v>
      </c>
      <c r="K37" t="inlineStr">
        <is>
          <t>bull</t>
        </is>
      </c>
      <c r="L37" t="inlineStr">
        <is>
          <t>+</t>
        </is>
      </c>
      <c r="M37" t="n">
        <v>18.5</v>
      </c>
      <c r="N37" t="n">
        <v>7.33</v>
      </c>
      <c r="O37" t="n">
        <v>4452.41</v>
      </c>
      <c r="P37" t="inlineStr">
        <is>
          <t>above</t>
        </is>
      </c>
      <c r="Q37" t="n">
        <v>4442.54</v>
      </c>
      <c r="R37" t="n">
        <v>0.87</v>
      </c>
      <c r="S37" t="n">
        <v>4442</v>
      </c>
      <c r="T37" t="n">
        <v>27</v>
      </c>
      <c r="U37" t="inlineStr">
        <is>
          <t>shallow</t>
        </is>
      </c>
      <c r="V37" t="inlineStr">
        <is>
          <t>Weak</t>
        </is>
      </c>
      <c r="W37" t="n">
        <v>1</v>
      </c>
      <c r="X37" t="inlineStr">
        <is>
          <t>No</t>
        </is>
      </c>
      <c r="Y37" t="inlineStr">
        <is>
          <t>strong bearish close</t>
        </is>
      </c>
      <c r="Z37" t="n">
        <v>0.75</v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2026-08-18</t>
        </is>
      </c>
      <c r="B38" t="inlineStr">
        <is>
          <t>10:16</t>
        </is>
      </c>
      <c r="C38" t="inlineStr">
        <is>
          <t>MNQ</t>
        </is>
      </c>
      <c r="D38" t="inlineStr">
        <is>
          <t>Short</t>
        </is>
      </c>
      <c r="E38" t="n">
        <v>-80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38.3</v>
      </c>
      <c r="K38" t="inlineStr">
        <is>
          <t>bear</t>
        </is>
      </c>
      <c r="L38" t="inlineStr">
        <is>
          <t>-</t>
        </is>
      </c>
      <c r="M38" t="n">
        <v>11.7</v>
      </c>
      <c r="N38" t="n">
        <v>45.4</v>
      </c>
      <c r="O38" t="n">
        <v>29665.83</v>
      </c>
      <c r="P38" t="inlineStr">
        <is>
          <t>below</t>
        </is>
      </c>
      <c r="Q38" t="n">
        <v>29691.77</v>
      </c>
      <c r="R38" t="n">
        <v>1.22</v>
      </c>
      <c r="S38" t="n">
        <v>-16698</v>
      </c>
      <c r="T38" t="n">
        <v>21</v>
      </c>
      <c r="U38" t="inlineStr">
        <is>
          <t>shallow</t>
        </is>
      </c>
      <c r="V38" t="inlineStr">
        <is>
          <t>No setup</t>
        </is>
      </c>
      <c r="W38" t="n">
        <v>0</v>
      </c>
      <c r="X38" t="inlineStr">
        <is>
          <t>ORL/Round</t>
        </is>
      </c>
      <c r="Y38" t="inlineStr">
        <is>
          <t>bullish engulfing</t>
        </is>
      </c>
      <c r="Z38" t="n">
        <v>1.44</v>
      </c>
      <c r="AA38" t="inlineStr">
        <is>
          <t>Yes</t>
        </is>
      </c>
      <c r="AB38" t="inlineStr">
        <is>
          <t>Yes</t>
        </is>
      </c>
    </row>
    <row r="39">
      <c r="A39" t="inlineStr">
        <is>
          <t>2026-08-18</t>
        </is>
      </c>
      <c r="B39" t="inlineStr">
        <is>
          <t>10:21</t>
        </is>
      </c>
      <c r="C39" t="inlineStr">
        <is>
          <t>MNQ</t>
        </is>
      </c>
      <c r="D39" t="inlineStr">
        <is>
          <t>Short</t>
        </is>
      </c>
      <c r="E39" t="n">
        <v>-295.5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43.2</v>
      </c>
      <c r="K39" t="inlineStr">
        <is>
          <t>bear</t>
        </is>
      </c>
      <c r="L39" t="inlineStr">
        <is>
          <t>-</t>
        </is>
      </c>
      <c r="M39" t="n">
        <v>11.2</v>
      </c>
      <c r="N39" t="n">
        <v>47.03</v>
      </c>
      <c r="O39" t="n">
        <v>29663.28</v>
      </c>
      <c r="P39" t="inlineStr">
        <is>
          <t>below</t>
        </is>
      </c>
      <c r="Q39" t="n">
        <v>29691.77</v>
      </c>
      <c r="R39" t="n">
        <v>1.36</v>
      </c>
      <c r="S39" t="n">
        <v>-12869</v>
      </c>
      <c r="T39" t="n">
        <v>18</v>
      </c>
      <c r="U39" t="inlineStr">
        <is>
          <t>shallow</t>
        </is>
      </c>
      <c r="V39" t="inlineStr">
        <is>
          <t>No setup</t>
        </is>
      </c>
      <c r="W39" t="n">
        <v>0</v>
      </c>
      <c r="X39" t="inlineStr">
        <is>
          <t>ORL/Round</t>
        </is>
      </c>
      <c r="Y39" t="inlineStr">
        <is>
          <t>strong bullish close</t>
        </is>
      </c>
      <c r="Z39" t="n">
        <v>1.34</v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2026-08-18</t>
        </is>
      </c>
      <c r="B40" t="inlineStr">
        <is>
          <t>10:48</t>
        </is>
      </c>
      <c r="C40" t="inlineStr">
        <is>
          <t>MGC</t>
        </is>
      </c>
      <c r="D40" t="inlineStr">
        <is>
          <t>Short</t>
        </is>
      </c>
      <c r="E40" t="n">
        <v>194</v>
      </c>
      <c r="F40" t="inlineStr">
        <is>
          <t>flat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45</v>
      </c>
      <c r="K40" t="inlineStr">
        <is>
          <t>bear</t>
        </is>
      </c>
      <c r="L40" t="inlineStr">
        <is>
          <t>-</t>
        </is>
      </c>
      <c r="M40" t="n">
        <v>17.3</v>
      </c>
      <c r="N40" t="n">
        <v>8</v>
      </c>
      <c r="O40" t="n">
        <v>4449.95</v>
      </c>
      <c r="P40" t="inlineStr">
        <is>
          <t>below</t>
        </is>
      </c>
      <c r="Q40" t="n">
        <v>4442.54</v>
      </c>
      <c r="R40" t="n">
        <v>1</v>
      </c>
      <c r="S40" t="n">
        <v>2379</v>
      </c>
      <c r="T40" t="n">
        <v>35</v>
      </c>
      <c r="U40" t="inlineStr">
        <is>
          <t>shallow</t>
        </is>
      </c>
      <c r="V40" t="inlineStr">
        <is>
          <t>Good</t>
        </is>
      </c>
      <c r="W40" t="n">
        <v>2</v>
      </c>
      <c r="X40" t="inlineStr">
        <is>
          <t>ONL</t>
        </is>
      </c>
      <c r="Y40" t="inlineStr">
        <is>
          <t>bullish engulfing</t>
        </is>
      </c>
      <c r="Z40" t="n">
        <v>0.64</v>
      </c>
      <c r="AA40" t="inlineStr">
        <is>
          <t>Yes</t>
        </is>
      </c>
      <c r="AB40" t="inlineStr">
        <is>
          <t>No</t>
        </is>
      </c>
    </row>
    <row r="41">
      <c r="A41" t="inlineStr">
        <is>
          <t>2026-08-19</t>
        </is>
      </c>
      <c r="B41" t="inlineStr">
        <is>
          <t>09:43</t>
        </is>
      </c>
      <c r="C41" t="inlineStr">
        <is>
          <t>MNQ</t>
        </is>
      </c>
      <c r="D41" t="inlineStr">
        <is>
          <t>Short</t>
        </is>
      </c>
      <c r="E41" t="n">
        <v>427.5</v>
      </c>
      <c r="F41" t="inlineStr">
        <is>
          <t>down</t>
        </is>
      </c>
      <c r="G41" t="inlineStr">
        <is>
          <t>up</t>
        </is>
      </c>
      <c r="H41" t="inlineStr">
        <is>
          <t>up</t>
        </is>
      </c>
      <c r="I41" t="inlineStr">
        <is>
          <t>down</t>
        </is>
      </c>
      <c r="J41" t="n">
        <v>45.7</v>
      </c>
      <c r="K41" t="inlineStr">
        <is>
          <t>bull</t>
        </is>
      </c>
      <c r="L41" t="inlineStr">
        <is>
          <t>-</t>
        </is>
      </c>
      <c r="M41" t="n">
        <v>35.4</v>
      </c>
      <c r="N41" t="n">
        <v>44.56</v>
      </c>
      <c r="O41" t="n">
        <v>29645.48</v>
      </c>
      <c r="P41" t="inlineStr">
        <is>
          <t>below</t>
        </is>
      </c>
      <c r="Q41" t="n">
        <v>29694.91</v>
      </c>
      <c r="R41" t="n">
        <v>1.37</v>
      </c>
      <c r="S41" t="n">
        <v>-16521</v>
      </c>
      <c r="T41" t="n">
        <v>28</v>
      </c>
      <c r="U41" t="inlineStr">
        <is>
          <t>shallow</t>
        </is>
      </c>
      <c r="V41" t="inlineStr">
        <is>
          <t>Good</t>
        </is>
      </c>
      <c r="W41" t="n">
        <v>2</v>
      </c>
      <c r="X41" t="inlineStr">
        <is>
          <t>Round</t>
        </is>
      </c>
      <c r="Y41" t="inlineStr">
        <is>
          <t>strong bullish close</t>
        </is>
      </c>
      <c r="Z41" t="n">
        <v>3.73</v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2026-08-19</t>
        </is>
      </c>
      <c r="B42" t="inlineStr">
        <is>
          <t>12:33</t>
        </is>
      </c>
      <c r="C42" t="inlineStr">
        <is>
          <t>MNQ</t>
        </is>
      </c>
      <c r="D42" t="inlineStr">
        <is>
          <t>Short</t>
        </is>
      </c>
      <c r="E42" t="n">
        <v>46.5</v>
      </c>
      <c r="F42" t="inlineStr">
        <is>
          <t>down</t>
        </is>
      </c>
      <c r="G42" t="inlineStr">
        <is>
          <t>up</t>
        </is>
      </c>
      <c r="H42" t="inlineStr">
        <is>
          <t>down</t>
        </is>
      </c>
      <c r="I42" t="inlineStr">
        <is>
          <t>up</t>
        </is>
      </c>
      <c r="J42" t="n">
        <v>52.1</v>
      </c>
      <c r="K42" t="inlineStr">
        <is>
          <t>bull</t>
        </is>
      </c>
      <c r="L42" t="inlineStr">
        <is>
          <t>+</t>
        </is>
      </c>
      <c r="M42" t="n">
        <v>14</v>
      </c>
      <c r="N42" t="n">
        <v>39.1</v>
      </c>
      <c r="O42" t="n">
        <v>29547.53</v>
      </c>
      <c r="P42" t="inlineStr">
        <is>
          <t>above</t>
        </is>
      </c>
      <c r="Q42" t="n">
        <v>29591.36</v>
      </c>
      <c r="R42" t="n">
        <v>0.72</v>
      </c>
      <c r="S42" t="n">
        <v>-19271</v>
      </c>
      <c r="T42" t="n">
        <v>63</v>
      </c>
      <c r="U42" t="inlineStr">
        <is>
          <t>deep</t>
        </is>
      </c>
      <c r="V42" t="inlineStr">
        <is>
          <t>Weak</t>
        </is>
      </c>
      <c r="W42" t="n">
        <v>1</v>
      </c>
      <c r="X42" t="inlineStr">
        <is>
          <t>Round</t>
        </is>
      </c>
      <c r="Y42" t="inlineStr">
        <is>
          <t>strong bullish close</t>
        </is>
      </c>
      <c r="Z42" t="n">
        <v>0.6899999999999999</v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2026-08-19</t>
        </is>
      </c>
      <c r="B43" t="inlineStr">
        <is>
          <t>14:34</t>
        </is>
      </c>
      <c r="C43" t="inlineStr">
        <is>
          <t>MGC</t>
        </is>
      </c>
      <c r="D43" t="inlineStr">
        <is>
          <t>Short</t>
        </is>
      </c>
      <c r="E43" t="n">
        <v>-207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down</t>
        </is>
      </c>
      <c r="J43" t="n">
        <v>42.1</v>
      </c>
      <c r="K43" t="inlineStr">
        <is>
          <t>bear</t>
        </is>
      </c>
      <c r="L43" t="inlineStr">
        <is>
          <t>-</t>
        </is>
      </c>
      <c r="M43" t="n">
        <v>16.9</v>
      </c>
      <c r="N43" t="n">
        <v>5.75</v>
      </c>
      <c r="O43" t="n">
        <v>4537.68</v>
      </c>
      <c r="P43" t="inlineStr">
        <is>
          <t>above</t>
        </is>
      </c>
      <c r="Q43" t="n">
        <v>4542.69</v>
      </c>
      <c r="R43" t="n">
        <v>10.78</v>
      </c>
      <c r="S43" t="n">
        <v>7624</v>
      </c>
      <c r="T43" t="n">
        <v>34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Round</t>
        </is>
      </c>
      <c r="Y43" t="inlineStr">
        <is>
          <t>strong bullish close</t>
        </is>
      </c>
      <c r="Z43" t="n">
        <v>3.11</v>
      </c>
      <c r="AA43" t="inlineStr">
        <is>
          <t>No</t>
        </is>
      </c>
      <c r="AB43" t="inlineStr">
        <is>
          <t>No</t>
        </is>
      </c>
    </row>
    <row r="44">
      <c r="A44" t="inlineStr">
        <is>
          <t>2026-08-19</t>
        </is>
      </c>
      <c r="B44" t="inlineStr">
        <is>
          <t>15:00</t>
        </is>
      </c>
      <c r="C44" t="inlineStr">
        <is>
          <t>MNQ</t>
        </is>
      </c>
      <c r="D44" t="inlineStr">
        <is>
          <t>Short</t>
        </is>
      </c>
      <c r="E44" t="n">
        <v>-120</v>
      </c>
      <c r="F44" t="inlineStr">
        <is>
          <t>down</t>
        </is>
      </c>
      <c r="G44" t="inlineStr">
        <is>
          <t>up</t>
        </is>
      </c>
      <c r="H44" t="inlineStr">
        <is>
          <t>down</t>
        </is>
      </c>
      <c r="I44" t="inlineStr">
        <is>
          <t>down</t>
        </is>
      </c>
      <c r="J44" t="n">
        <v>47.9</v>
      </c>
      <c r="K44" t="inlineStr">
        <is>
          <t>bear</t>
        </is>
      </c>
      <c r="L44" t="inlineStr">
        <is>
          <t>+</t>
        </is>
      </c>
      <c r="M44" t="n">
        <v>14.6</v>
      </c>
      <c r="N44" t="n">
        <v>29.16</v>
      </c>
      <c r="O44" t="n">
        <v>29547.31</v>
      </c>
      <c r="P44" t="inlineStr">
        <is>
          <t>below</t>
        </is>
      </c>
      <c r="Q44" t="n">
        <v>29545.49</v>
      </c>
      <c r="R44" t="n">
        <v>0.86</v>
      </c>
      <c r="S44" t="n">
        <v>-30960</v>
      </c>
      <c r="T44" t="n">
        <v>30</v>
      </c>
      <c r="U44" t="inlineStr">
        <is>
          <t>shallow</t>
        </is>
      </c>
      <c r="V44" t="inlineStr">
        <is>
          <t>Weak</t>
        </is>
      </c>
      <c r="W44" t="n">
        <v>1</v>
      </c>
      <c r="X44" t="inlineStr">
        <is>
          <t>Round</t>
        </is>
      </c>
      <c r="Z44" t="n">
        <v>0.93</v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2026-08-20</t>
        </is>
      </c>
      <c r="B45" t="inlineStr">
        <is>
          <t>09:51</t>
        </is>
      </c>
      <c r="C45" t="inlineStr">
        <is>
          <t>MGC</t>
        </is>
      </c>
      <c r="D45" t="inlineStr">
        <is>
          <t>Long</t>
        </is>
      </c>
      <c r="E45" t="n">
        <v>656</v>
      </c>
      <c r="F45" t="inlineStr">
        <is>
          <t>up</t>
        </is>
      </c>
      <c r="G45" t="inlineStr">
        <is>
          <t>up</t>
        </is>
      </c>
      <c r="H45" t="inlineStr">
        <is>
          <t>up</t>
        </is>
      </c>
      <c r="I45" t="inlineStr">
        <is>
          <t>up</t>
        </is>
      </c>
      <c r="J45" t="n">
        <v>59.8</v>
      </c>
      <c r="K45" t="inlineStr">
        <is>
          <t>bull</t>
        </is>
      </c>
      <c r="L45" t="inlineStr">
        <is>
          <t>+</t>
        </is>
      </c>
      <c r="M45" t="n">
        <v>23.6</v>
      </c>
      <c r="N45" t="n">
        <v>7.27</v>
      </c>
      <c r="O45" t="n">
        <v>4535.72</v>
      </c>
      <c r="P45" t="inlineStr">
        <is>
          <t>above</t>
        </is>
      </c>
      <c r="Q45" t="n">
        <v>4535.01</v>
      </c>
      <c r="R45" t="n">
        <v>0.95</v>
      </c>
      <c r="S45" t="n">
        <v>3823</v>
      </c>
      <c r="T45" t="n">
        <v>15</v>
      </c>
      <c r="U45" t="inlineStr">
        <is>
          <t>extended (no pullback)</t>
        </is>
      </c>
      <c r="V45" t="inlineStr">
        <is>
          <t>Good</t>
        </is>
      </c>
      <c r="W45" t="n">
        <v>2</v>
      </c>
      <c r="X45" t="inlineStr">
        <is>
          <t>Round</t>
        </is>
      </c>
      <c r="Y45" t="inlineStr">
        <is>
          <t>strong bullish close</t>
        </is>
      </c>
      <c r="Z45" t="n">
        <v>0.89</v>
      </c>
      <c r="AA45" t="inlineStr">
        <is>
          <t>Yes</t>
        </is>
      </c>
      <c r="AB45" t="inlineStr">
        <is>
          <t>Yes</t>
        </is>
      </c>
    </row>
    <row r="46">
      <c r="A46" t="inlineStr">
        <is>
          <t>2026-08-20</t>
        </is>
      </c>
      <c r="B46" t="inlineStr">
        <is>
          <t>10:05</t>
        </is>
      </c>
      <c r="C46" t="inlineStr">
        <is>
          <t>MNQ</t>
        </is>
      </c>
      <c r="D46" t="inlineStr">
        <is>
          <t>Long</t>
        </is>
      </c>
      <c r="E46" t="n">
        <v>-25</v>
      </c>
      <c r="F46" t="inlineStr">
        <is>
          <t>down</t>
        </is>
      </c>
      <c r="G46" t="inlineStr">
        <is>
          <t>down</t>
        </is>
      </c>
      <c r="H46" t="inlineStr">
        <is>
          <t>up</t>
        </is>
      </c>
      <c r="I46" t="inlineStr">
        <is>
          <t>up</t>
        </is>
      </c>
      <c r="J46" t="n">
        <v>53.1</v>
      </c>
      <c r="K46" t="inlineStr">
        <is>
          <t>bull</t>
        </is>
      </c>
      <c r="L46" t="inlineStr">
        <is>
          <t>+</t>
        </is>
      </c>
      <c r="M46" t="n">
        <v>23.5</v>
      </c>
      <c r="N46" t="n">
        <v>54.47</v>
      </c>
      <c r="O46" t="n">
        <v>29386.98</v>
      </c>
      <c r="P46" t="inlineStr">
        <is>
          <t>below</t>
        </is>
      </c>
      <c r="Q46" t="n">
        <v>29355.18</v>
      </c>
      <c r="R46" t="n">
        <v>1.07</v>
      </c>
      <c r="S46" t="n">
        <v>16090</v>
      </c>
      <c r="T46" t="n">
        <v>61</v>
      </c>
      <c r="U46" t="inlineStr">
        <is>
          <t>golden</t>
        </is>
      </c>
      <c r="V46" t="inlineStr">
        <is>
          <t>Weak</t>
        </is>
      </c>
      <c r="W46" t="n">
        <v>1</v>
      </c>
      <c r="X46" t="inlineStr">
        <is>
          <t>ORL/Round</t>
        </is>
      </c>
      <c r="Y46" t="inlineStr">
        <is>
          <t>bullish engulfing</t>
        </is>
      </c>
      <c r="Z46" t="n">
        <v>1.51</v>
      </c>
      <c r="AA46" t="inlineStr">
        <is>
          <t>No</t>
        </is>
      </c>
      <c r="AB46" t="inlineStr">
        <is>
          <t>No</t>
        </is>
      </c>
    </row>
    <row r="47">
      <c r="A47" t="inlineStr">
        <is>
          <t>2026-08-21</t>
        </is>
      </c>
      <c r="B47" t="inlineStr">
        <is>
          <t>09:52</t>
        </is>
      </c>
      <c r="C47" t="inlineStr">
        <is>
          <t>MGC</t>
        </is>
      </c>
      <c r="D47" t="inlineStr">
        <is>
          <t>Long</t>
        </is>
      </c>
      <c r="E47" t="n">
        <v>542</v>
      </c>
      <c r="F47" t="inlineStr">
        <is>
          <t>up</t>
        </is>
      </c>
      <c r="G47" t="inlineStr">
        <is>
          <t>up</t>
        </is>
      </c>
      <c r="H47" t="inlineStr">
        <is>
          <t>up</t>
        </is>
      </c>
      <c r="I47" t="inlineStr">
        <is>
          <t>down</t>
        </is>
      </c>
      <c r="J47" t="n">
        <v>47</v>
      </c>
      <c r="K47" t="inlineStr">
        <is>
          <t>bear</t>
        </is>
      </c>
      <c r="L47" t="inlineStr">
        <is>
          <t>+</t>
        </is>
      </c>
      <c r="M47" t="n">
        <v>22.9</v>
      </c>
      <c r="N47" t="n">
        <v>8.48</v>
      </c>
      <c r="O47" t="n">
        <v>4641.08</v>
      </c>
      <c r="P47" t="inlineStr">
        <is>
          <t>below</t>
        </is>
      </c>
      <c r="Q47" t="n">
        <v>4638.84</v>
      </c>
      <c r="R47" t="n">
        <v>1.4</v>
      </c>
      <c r="S47" t="n">
        <v>247</v>
      </c>
      <c r="T47" t="n">
        <v>39</v>
      </c>
      <c r="U47" t="inlineStr">
        <is>
          <t>golden</t>
        </is>
      </c>
      <c r="V47" t="inlineStr">
        <is>
          <t>Good</t>
        </is>
      </c>
      <c r="W47" t="n">
        <v>2</v>
      </c>
      <c r="X47" t="inlineStr">
        <is>
          <t>Round</t>
        </is>
      </c>
      <c r="Z47" t="n">
        <v>1.35</v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2026-08-23</t>
        </is>
      </c>
      <c r="B48" t="inlineStr">
        <is>
          <t>19:35</t>
        </is>
      </c>
      <c r="C48" t="inlineStr">
        <is>
          <t>MGC</t>
        </is>
      </c>
      <c r="D48" t="inlineStr">
        <is>
          <t>Long</t>
        </is>
      </c>
      <c r="E48" t="n">
        <v>-62</v>
      </c>
      <c r="F48" t="inlineStr">
        <is>
          <t>up</t>
        </is>
      </c>
      <c r="G48" t="inlineStr">
        <is>
          <t>up</t>
        </is>
      </c>
      <c r="H48" t="inlineStr">
        <is>
          <t>up</t>
        </is>
      </c>
      <c r="I48" t="inlineStr">
        <is>
          <t>up</t>
        </is>
      </c>
      <c r="J48" t="n">
        <v>51.3</v>
      </c>
      <c r="K48" t="inlineStr">
        <is>
          <t>bear</t>
        </is>
      </c>
      <c r="L48" t="inlineStr">
        <is>
          <t>+</t>
        </is>
      </c>
      <c r="M48" t="n">
        <v>17.6</v>
      </c>
      <c r="N48" t="n">
        <v>4.28</v>
      </c>
      <c r="O48" t="n">
        <v>4671.8</v>
      </c>
      <c r="P48" t="inlineStr">
        <is>
          <t>below</t>
        </is>
      </c>
      <c r="Q48" t="n">
        <v>4676.31</v>
      </c>
      <c r="R48" t="n">
        <v>2.21</v>
      </c>
      <c r="S48" t="n">
        <v>-749</v>
      </c>
      <c r="T48" t="n">
        <v>203</v>
      </c>
      <c r="U48" t="inlineStr">
        <is>
          <t>broke the leg (reversal risk)</t>
        </is>
      </c>
      <c r="V48" t="inlineStr">
        <is>
          <t>No setup</t>
        </is>
      </c>
      <c r="W48" t="n">
        <v>0</v>
      </c>
      <c r="X48" t="inlineStr">
        <is>
          <t>Round</t>
        </is>
      </c>
      <c r="Y48" t="inlineStr">
        <is>
          <t>strong bearish close</t>
        </is>
      </c>
      <c r="Z48" t="n">
        <v>1.17</v>
      </c>
      <c r="AA48" t="inlineStr">
        <is>
          <t>Yes</t>
        </is>
      </c>
      <c r="AB48" t="inlineStr">
        <is>
          <t>Yes</t>
        </is>
      </c>
    </row>
    <row r="49">
      <c r="A49" t="inlineStr">
        <is>
          <t>2026-08-23</t>
        </is>
      </c>
      <c r="B49" t="inlineStr">
        <is>
          <t>19:46</t>
        </is>
      </c>
      <c r="C49" t="inlineStr">
        <is>
          <t>MGC</t>
        </is>
      </c>
      <c r="D49" t="inlineStr">
        <is>
          <t>Long</t>
        </is>
      </c>
      <c r="E49" t="n">
        <v>120</v>
      </c>
      <c r="F49" t="inlineStr">
        <is>
          <t>up</t>
        </is>
      </c>
      <c r="G49" t="inlineStr">
        <is>
          <t>up</t>
        </is>
      </c>
      <c r="H49" t="inlineStr">
        <is>
          <t>up</t>
        </is>
      </c>
      <c r="I49" t="inlineStr">
        <is>
          <t>up</t>
        </is>
      </c>
      <c r="J49" t="n">
        <v>53</v>
      </c>
      <c r="K49" t="inlineStr">
        <is>
          <t>bear</t>
        </is>
      </c>
      <c r="L49" t="inlineStr">
        <is>
          <t>+</t>
        </is>
      </c>
      <c r="M49" t="n">
        <v>15.3</v>
      </c>
      <c r="N49" t="n">
        <v>4.64</v>
      </c>
      <c r="O49" t="n">
        <v>4671.43</v>
      </c>
      <c r="P49" t="inlineStr">
        <is>
          <t>below</t>
        </is>
      </c>
      <c r="Q49" t="n">
        <v>4676.31</v>
      </c>
      <c r="R49" t="n">
        <v>1.73</v>
      </c>
      <c r="S49" t="n">
        <v>-780</v>
      </c>
      <c r="T49" t="n">
        <v>253</v>
      </c>
      <c r="U49" t="inlineStr">
        <is>
          <t>broke the leg (reversal risk)</t>
        </is>
      </c>
      <c r="V49" t="inlineStr">
        <is>
          <t>No setup</t>
        </is>
      </c>
      <c r="W49" t="n">
        <v>0</v>
      </c>
      <c r="X49" t="inlineStr">
        <is>
          <t>Round</t>
        </is>
      </c>
      <c r="Y49" t="inlineStr">
        <is>
          <t>strong bullish close</t>
        </is>
      </c>
      <c r="Z49" t="n">
        <v>1.06</v>
      </c>
      <c r="AA49" t="inlineStr">
        <is>
          <t>Yes</t>
        </is>
      </c>
      <c r="AB49" t="inlineStr">
        <is>
          <t>Yes</t>
        </is>
      </c>
    </row>
    <row r="50">
      <c r="A50" t="inlineStr">
        <is>
          <t>2026-08-23</t>
        </is>
      </c>
      <c r="B50" t="inlineStr">
        <is>
          <t>20:23</t>
        </is>
      </c>
      <c r="C50" t="inlineStr">
        <is>
          <t>MGC</t>
        </is>
      </c>
      <c r="D50" t="inlineStr">
        <is>
          <t>Long</t>
        </is>
      </c>
      <c r="E50" t="n">
        <v>-61</v>
      </c>
      <c r="F50" t="inlineStr">
        <is>
          <t>up</t>
        </is>
      </c>
      <c r="G50" t="inlineStr">
        <is>
          <t>up</t>
        </is>
      </c>
      <c r="H50" t="inlineStr">
        <is>
          <t>up</t>
        </is>
      </c>
      <c r="I50" t="inlineStr">
        <is>
          <t>down</t>
        </is>
      </c>
      <c r="J50" t="n">
        <v>45.7</v>
      </c>
      <c r="K50" t="inlineStr">
        <is>
          <t>bull</t>
        </is>
      </c>
      <c r="L50" t="inlineStr">
        <is>
          <t>+</t>
        </is>
      </c>
      <c r="M50" t="n">
        <v>21.8</v>
      </c>
      <c r="N50" t="n">
        <v>6.88</v>
      </c>
      <c r="O50" t="n">
        <v>4678.24</v>
      </c>
      <c r="P50" t="inlineStr">
        <is>
          <t>below</t>
        </is>
      </c>
      <c r="Q50" t="n">
        <v>4676.12</v>
      </c>
      <c r="R50" t="n">
        <v>3.05</v>
      </c>
      <c r="S50" t="n">
        <v>-872</v>
      </c>
      <c r="T50" t="n">
        <v>150</v>
      </c>
      <c r="U50" t="inlineStr">
        <is>
          <t>broke the leg (reversal risk)</t>
        </is>
      </c>
      <c r="V50" t="inlineStr">
        <is>
          <t>Weak</t>
        </is>
      </c>
      <c r="W50" t="n">
        <v>1</v>
      </c>
      <c r="X50" t="inlineStr">
        <is>
          <t>Round</t>
        </is>
      </c>
      <c r="Y50" t="inlineStr">
        <is>
          <t>strong bearish close</t>
        </is>
      </c>
      <c r="Z50" t="n">
        <v>2.77</v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2026-08-23</t>
        </is>
      </c>
      <c r="B51" t="inlineStr">
        <is>
          <t>20:28</t>
        </is>
      </c>
      <c r="C51" t="inlineStr">
        <is>
          <t>MGC</t>
        </is>
      </c>
      <c r="D51" t="inlineStr">
        <is>
          <t>Long</t>
        </is>
      </c>
      <c r="E51" t="n">
        <v>229</v>
      </c>
      <c r="F51" t="inlineStr">
        <is>
          <t>up</t>
        </is>
      </c>
      <c r="G51" t="inlineStr">
        <is>
          <t>up</t>
        </is>
      </c>
      <c r="H51" t="inlineStr">
        <is>
          <t>up</t>
        </is>
      </c>
      <c r="I51" t="inlineStr">
        <is>
          <t>down</t>
        </is>
      </c>
      <c r="J51" t="n">
        <v>39.7</v>
      </c>
      <c r="K51" t="inlineStr">
        <is>
          <t>bull</t>
        </is>
      </c>
      <c r="L51" t="inlineStr">
        <is>
          <t>-</t>
        </is>
      </c>
      <c r="M51" t="n">
        <v>22.2</v>
      </c>
      <c r="N51" t="n">
        <v>7.73</v>
      </c>
      <c r="O51" t="n">
        <v>4676.43</v>
      </c>
      <c r="P51" t="inlineStr">
        <is>
          <t>below</t>
        </is>
      </c>
      <c r="Q51" t="n">
        <v>4676.95</v>
      </c>
      <c r="R51" t="n">
        <v>3.53</v>
      </c>
      <c r="S51" t="n">
        <v>-764</v>
      </c>
      <c r="V51" t="inlineStr">
        <is>
          <t>Weak</t>
        </is>
      </c>
      <c r="W51" t="n">
        <v>1</v>
      </c>
      <c r="X51" t="inlineStr">
        <is>
          <t>Round</t>
        </is>
      </c>
      <c r="Z51" t="n">
        <v>3.79</v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2026-08-23</t>
        </is>
      </c>
      <c r="B52" t="inlineStr">
        <is>
          <t>22:57</t>
        </is>
      </c>
      <c r="C52" t="inlineStr">
        <is>
          <t>MGC</t>
        </is>
      </c>
      <c r="D52" t="inlineStr">
        <is>
          <t>Long</t>
        </is>
      </c>
      <c r="E52" t="n">
        <v>-63</v>
      </c>
      <c r="F52" t="inlineStr">
        <is>
          <t>up</t>
        </is>
      </c>
      <c r="G52" t="inlineStr">
        <is>
          <t>up</t>
        </is>
      </c>
      <c r="H52" t="inlineStr">
        <is>
          <t>up</t>
        </is>
      </c>
      <c r="I52" t="inlineStr">
        <is>
          <t>down</t>
        </is>
      </c>
      <c r="J52" t="n">
        <v>57.5</v>
      </c>
      <c r="K52" t="inlineStr">
        <is>
          <t>bull</t>
        </is>
      </c>
      <c r="L52" t="inlineStr">
        <is>
          <t>-</t>
        </is>
      </c>
      <c r="M52" t="n">
        <v>20.3</v>
      </c>
      <c r="N52" t="n">
        <v>8.4</v>
      </c>
      <c r="O52" t="n">
        <v>4682.74</v>
      </c>
      <c r="P52" t="inlineStr">
        <is>
          <t>below</t>
        </is>
      </c>
      <c r="Q52" t="n">
        <v>4675.82</v>
      </c>
      <c r="R52" t="n">
        <v>1.84</v>
      </c>
      <c r="S52" t="n">
        <v>961</v>
      </c>
      <c r="T52" t="n">
        <v>81</v>
      </c>
      <c r="U52" t="inlineStr">
        <is>
          <t>broke the leg (reversal risk)</t>
        </is>
      </c>
      <c r="V52" t="inlineStr">
        <is>
          <t>Weak</t>
        </is>
      </c>
      <c r="W52" t="n">
        <v>1</v>
      </c>
      <c r="X52" t="inlineStr">
        <is>
          <t>Round</t>
        </is>
      </c>
      <c r="Y52" t="inlineStr">
        <is>
          <t>strong bullish close</t>
        </is>
      </c>
      <c r="Z52" t="n">
        <v>0.77</v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2026-08-24</t>
        </is>
      </c>
      <c r="B53" t="inlineStr">
        <is>
          <t>00:18</t>
        </is>
      </c>
      <c r="C53" t="inlineStr">
        <is>
          <t>MGC</t>
        </is>
      </c>
      <c r="D53" t="inlineStr">
        <is>
          <t>Long</t>
        </is>
      </c>
      <c r="E53" t="n">
        <v>16</v>
      </c>
      <c r="F53" t="inlineStr">
        <is>
          <t>up</t>
        </is>
      </c>
      <c r="G53" t="inlineStr">
        <is>
          <t>up</t>
        </is>
      </c>
      <c r="H53" t="inlineStr">
        <is>
          <t>up</t>
        </is>
      </c>
      <c r="I53" t="inlineStr">
        <is>
          <t>down</t>
        </is>
      </c>
      <c r="J53" t="n">
        <v>50.7</v>
      </c>
      <c r="K53" t="inlineStr">
        <is>
          <t>bull</t>
        </is>
      </c>
      <c r="L53" t="inlineStr">
        <is>
          <t>-</t>
        </is>
      </c>
      <c r="M53" t="n">
        <v>12.8</v>
      </c>
      <c r="N53" t="n">
        <v>6.16</v>
      </c>
      <c r="O53" t="n">
        <v>4684.49</v>
      </c>
      <c r="P53" t="inlineStr">
        <is>
          <t>above</t>
        </is>
      </c>
      <c r="Q53" t="n">
        <v>4675.82</v>
      </c>
      <c r="R53" t="n">
        <v>0.92</v>
      </c>
      <c r="S53" t="n">
        <v>473</v>
      </c>
      <c r="T53" t="n">
        <v>30</v>
      </c>
      <c r="U53" t="inlineStr">
        <is>
          <t>shallow</t>
        </is>
      </c>
      <c r="V53" t="inlineStr">
        <is>
          <t>Weak</t>
        </is>
      </c>
      <c r="W53" t="n">
        <v>1</v>
      </c>
      <c r="X53" t="inlineStr">
        <is>
          <t>No</t>
        </is>
      </c>
      <c r="Y53" t="inlineStr">
        <is>
          <t>strong bullish close</t>
        </is>
      </c>
      <c r="Z53" t="n">
        <v>0.52</v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2026-08-24</t>
        </is>
      </c>
      <c r="B54" t="inlineStr">
        <is>
          <t>09:39</t>
        </is>
      </c>
      <c r="C54" t="inlineStr">
        <is>
          <t>MGC</t>
        </is>
      </c>
      <c r="D54" t="inlineStr">
        <is>
          <t>Long</t>
        </is>
      </c>
      <c r="E54" t="n">
        <v>-120</v>
      </c>
      <c r="F54" t="inlineStr">
        <is>
          <t>up</t>
        </is>
      </c>
      <c r="G54" t="inlineStr">
        <is>
          <t>up</t>
        </is>
      </c>
      <c r="H54" t="inlineStr">
        <is>
          <t>up</t>
        </is>
      </c>
      <c r="I54" t="inlineStr">
        <is>
          <t>up</t>
        </is>
      </c>
      <c r="J54" t="n">
        <v>53.2</v>
      </c>
      <c r="K54" t="inlineStr">
        <is>
          <t>bull</t>
        </is>
      </c>
      <c r="L54" t="inlineStr">
        <is>
          <t>+</t>
        </is>
      </c>
      <c r="M54" t="n">
        <v>23.4</v>
      </c>
      <c r="N54" t="n">
        <v>8.32</v>
      </c>
      <c r="T54" t="n">
        <v>27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No</t>
        </is>
      </c>
      <c r="Y54" t="inlineStr">
        <is>
          <t>bearish engulfing</t>
        </is>
      </c>
      <c r="Z54" t="n">
        <v>2.06</v>
      </c>
      <c r="AA54" t="inlineStr">
        <is>
          <t>Yes</t>
        </is>
      </c>
      <c r="AB54" t="inlineStr">
        <is>
          <t>Yes</t>
        </is>
      </c>
    </row>
    <row r="55">
      <c r="A55" t="inlineStr">
        <is>
          <t>2026-08-24</t>
        </is>
      </c>
      <c r="B55" t="inlineStr">
        <is>
          <t>10:58</t>
        </is>
      </c>
      <c r="C55" t="inlineStr">
        <is>
          <t>MNQ</t>
        </is>
      </c>
      <c r="D55" t="inlineStr">
        <is>
          <t>Long</t>
        </is>
      </c>
      <c r="E55" t="n">
        <v>-106.5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48.7</v>
      </c>
      <c r="K55" t="inlineStr">
        <is>
          <t>bear</t>
        </is>
      </c>
      <c r="L55" t="inlineStr">
        <is>
          <t>+</t>
        </is>
      </c>
      <c r="M55" t="n">
        <v>24.6</v>
      </c>
      <c r="N55" t="n">
        <v>44.21</v>
      </c>
      <c r="O55" t="n">
        <v>29047.93</v>
      </c>
      <c r="P55" t="inlineStr">
        <is>
          <t>above</t>
        </is>
      </c>
      <c r="Q55" t="n">
        <v>29002.3</v>
      </c>
      <c r="R55" t="n">
        <v>0.83</v>
      </c>
      <c r="S55" t="n">
        <v>-22771</v>
      </c>
      <c r="T55" t="n">
        <v>18</v>
      </c>
      <c r="U55" t="inlineStr">
        <is>
          <t>shallow</t>
        </is>
      </c>
      <c r="V55" t="inlineStr">
        <is>
          <t>Weak</t>
        </is>
      </c>
      <c r="W55" t="n">
        <v>1</v>
      </c>
      <c r="X55" t="inlineStr">
        <is>
          <t>Round</t>
        </is>
      </c>
      <c r="Y55" t="inlineStr">
        <is>
          <t>strong bearish close</t>
        </is>
      </c>
      <c r="Z55" t="n">
        <v>0.59</v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2026-08-24</t>
        </is>
      </c>
      <c r="B56" t="inlineStr">
        <is>
          <t>11:13</t>
        </is>
      </c>
      <c r="C56" t="inlineStr">
        <is>
          <t>MNQ</t>
        </is>
      </c>
      <c r="D56" t="inlineStr">
        <is>
          <t>Short</t>
        </is>
      </c>
      <c r="E56" t="n">
        <v>-240</v>
      </c>
      <c r="F56" t="inlineStr">
        <is>
          <t>down</t>
        </is>
      </c>
      <c r="G56" t="inlineStr">
        <is>
          <t>down</t>
        </is>
      </c>
      <c r="H56" t="inlineStr">
        <is>
          <t>down</t>
        </is>
      </c>
      <c r="I56" t="inlineStr">
        <is>
          <t>down</t>
        </is>
      </c>
      <c r="J56" t="n">
        <v>43</v>
      </c>
      <c r="K56" t="inlineStr">
        <is>
          <t>bear</t>
        </is>
      </c>
      <c r="L56" t="inlineStr">
        <is>
          <t>+</t>
        </is>
      </c>
      <c r="M56" t="n">
        <v>22.1</v>
      </c>
      <c r="N56" t="n">
        <v>42.16</v>
      </c>
      <c r="O56" t="n">
        <v>29049.15</v>
      </c>
      <c r="P56" t="inlineStr">
        <is>
          <t>above</t>
        </is>
      </c>
      <c r="Q56" t="n">
        <v>29002.3</v>
      </c>
      <c r="R56" t="n">
        <v>0.91</v>
      </c>
      <c r="S56" t="n">
        <v>-28547</v>
      </c>
      <c r="T56" t="n">
        <v>36</v>
      </c>
      <c r="U56" t="inlineStr">
        <is>
          <t>shallow</t>
        </is>
      </c>
      <c r="V56" t="inlineStr">
        <is>
          <t>Good</t>
        </is>
      </c>
      <c r="W56" t="n">
        <v>2</v>
      </c>
      <c r="X56" t="inlineStr">
        <is>
          <t>Round</t>
        </is>
      </c>
      <c r="Y56" t="inlineStr">
        <is>
          <t>strong bearish close</t>
        </is>
      </c>
      <c r="Z56" t="n">
        <v>0.46</v>
      </c>
      <c r="AA56" t="inlineStr">
        <is>
          <t>Yes</t>
        </is>
      </c>
      <c r="AB56" t="inlineStr">
        <is>
          <t>Yes</t>
        </is>
      </c>
    </row>
    <row r="57">
      <c r="A57" t="inlineStr">
        <is>
          <t>2026-08-25</t>
        </is>
      </c>
      <c r="B57" t="inlineStr">
        <is>
          <t>09:50</t>
        </is>
      </c>
      <c r="C57" t="inlineStr">
        <is>
          <t>MGC</t>
        </is>
      </c>
      <c r="D57" t="inlineStr">
        <is>
          <t>Short</t>
        </is>
      </c>
      <c r="E57" t="n">
        <v>-225</v>
      </c>
      <c r="F57" t="inlineStr">
        <is>
          <t>flat</t>
        </is>
      </c>
      <c r="G57" t="inlineStr">
        <is>
          <t>down</t>
        </is>
      </c>
      <c r="H57" t="inlineStr">
        <is>
          <t>down</t>
        </is>
      </c>
      <c r="I57" t="inlineStr">
        <is>
          <t>down</t>
        </is>
      </c>
      <c r="J57" t="n">
        <v>33.4</v>
      </c>
      <c r="K57" t="inlineStr">
        <is>
          <t>bear</t>
        </is>
      </c>
      <c r="L57" t="inlineStr">
        <is>
          <t>-</t>
        </is>
      </c>
      <c r="M57" t="n">
        <v>29</v>
      </c>
      <c r="N57" t="n">
        <v>8.199999999999999</v>
      </c>
      <c r="O57" t="n">
        <v>4667.8</v>
      </c>
      <c r="P57" t="inlineStr">
        <is>
          <t>below</t>
        </is>
      </c>
      <c r="Q57" t="n">
        <v>4671.26</v>
      </c>
      <c r="R57" t="n">
        <v>1.07</v>
      </c>
      <c r="S57" t="n">
        <v>-1228</v>
      </c>
      <c r="T57" t="n">
        <v>10</v>
      </c>
      <c r="U57" t="inlineStr">
        <is>
          <t>extended (no pullback)</t>
        </is>
      </c>
      <c r="V57" t="inlineStr">
        <is>
          <t>Weak</t>
        </is>
      </c>
      <c r="W57" t="n">
        <v>1</v>
      </c>
      <c r="X57" t="inlineStr">
        <is>
          <t>ONL/Round</t>
        </is>
      </c>
      <c r="Y57" t="inlineStr">
        <is>
          <t>bearish pin</t>
        </is>
      </c>
      <c r="Z57" t="n">
        <v>1.35</v>
      </c>
      <c r="AA57" t="inlineStr">
        <is>
          <t>Yes</t>
        </is>
      </c>
      <c r="AB57" t="inlineStr">
        <is>
          <t>No</t>
        </is>
      </c>
    </row>
    <row r="58">
      <c r="A58" t="inlineStr">
        <is>
          <t>2026-08-25</t>
        </is>
      </c>
      <c r="B58" t="inlineStr">
        <is>
          <t>10:22</t>
        </is>
      </c>
      <c r="C58" t="inlineStr">
        <is>
          <t>MNQ</t>
        </is>
      </c>
      <c r="D58" t="inlineStr">
        <is>
          <t>Long</t>
        </is>
      </c>
      <c r="E58" t="n">
        <v>-90</v>
      </c>
      <c r="F58" t="inlineStr">
        <is>
          <t>down</t>
        </is>
      </c>
      <c r="G58" t="inlineStr">
        <is>
          <t>up</t>
        </is>
      </c>
      <c r="H58" t="inlineStr">
        <is>
          <t>down</t>
        </is>
      </c>
      <c r="I58" t="inlineStr">
        <is>
          <t>down</t>
        </is>
      </c>
      <c r="J58" t="n">
        <v>34.9</v>
      </c>
      <c r="K58" t="inlineStr">
        <is>
          <t>bear</t>
        </is>
      </c>
      <c r="L58" t="inlineStr">
        <is>
          <t>-</t>
        </is>
      </c>
      <c r="M58" t="n">
        <v>20.8</v>
      </c>
      <c r="N58" t="n">
        <v>41.2</v>
      </c>
      <c r="O58" t="n">
        <v>29315.35</v>
      </c>
      <c r="P58" t="inlineStr">
        <is>
          <t>below</t>
        </is>
      </c>
      <c r="Q58" t="n">
        <v>29329.98</v>
      </c>
      <c r="R58" t="n">
        <v>1.01</v>
      </c>
      <c r="S58" t="n">
        <v>-12925</v>
      </c>
      <c r="V58" t="inlineStr">
        <is>
          <t>No setup</t>
        </is>
      </c>
      <c r="W58" t="n">
        <v>0</v>
      </c>
      <c r="X58" t="inlineStr">
        <is>
          <t>Round</t>
        </is>
      </c>
      <c r="Z58" t="n">
        <v>1.31</v>
      </c>
      <c r="AA58" t="inlineStr">
        <is>
          <t>No</t>
        </is>
      </c>
      <c r="AB58" t="inlineStr">
        <is>
          <t>No</t>
        </is>
      </c>
    </row>
    <row r="59">
      <c r="A59" t="inlineStr">
        <is>
          <t>2026-08-25</t>
        </is>
      </c>
      <c r="B59" t="inlineStr">
        <is>
          <t>10:32</t>
        </is>
      </c>
      <c r="C59" t="inlineStr">
        <is>
          <t>MNQ</t>
        </is>
      </c>
      <c r="D59" t="inlineStr">
        <is>
          <t>Short</t>
        </is>
      </c>
      <c r="E59" t="n">
        <v>96.5</v>
      </c>
      <c r="F59" t="inlineStr">
        <is>
          <t>down</t>
        </is>
      </c>
      <c r="G59" t="inlineStr">
        <is>
          <t>up</t>
        </is>
      </c>
      <c r="H59" t="inlineStr">
        <is>
          <t>down</t>
        </is>
      </c>
      <c r="I59" t="inlineStr">
        <is>
          <t>down</t>
        </is>
      </c>
      <c r="J59" t="n">
        <v>32.3</v>
      </c>
      <c r="K59" t="inlineStr">
        <is>
          <t>bear</t>
        </is>
      </c>
      <c r="L59" t="inlineStr">
        <is>
          <t>-</t>
        </is>
      </c>
      <c r="M59" t="n">
        <v>24.2</v>
      </c>
      <c r="N59" t="n">
        <v>46.07</v>
      </c>
      <c r="O59" t="n">
        <v>29300.24</v>
      </c>
      <c r="P59" t="inlineStr">
        <is>
          <t>below</t>
        </is>
      </c>
      <c r="Q59" t="n">
        <v>29342.1</v>
      </c>
      <c r="R59" t="n">
        <v>1.74</v>
      </c>
      <c r="S59" t="n">
        <v>-15569</v>
      </c>
      <c r="T59" t="n">
        <v>37</v>
      </c>
      <c r="U59" t="inlineStr">
        <is>
          <t>shallow</t>
        </is>
      </c>
      <c r="V59" t="inlineStr">
        <is>
          <t>Weak</t>
        </is>
      </c>
      <c r="W59" t="n">
        <v>1</v>
      </c>
      <c r="X59" t="inlineStr">
        <is>
          <t>Round</t>
        </is>
      </c>
      <c r="Z59" t="n">
        <v>1.96</v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2026-08-25</t>
        </is>
      </c>
      <c r="B60" t="inlineStr">
        <is>
          <t>12:32</t>
        </is>
      </c>
      <c r="C60" t="inlineStr">
        <is>
          <t>MGC</t>
        </is>
      </c>
      <c r="D60" t="inlineStr">
        <is>
          <t>Short</t>
        </is>
      </c>
      <c r="E60" t="n">
        <v>9</v>
      </c>
      <c r="F60" t="inlineStr">
        <is>
          <t>up</t>
        </is>
      </c>
      <c r="G60" t="inlineStr">
        <is>
          <t>down</t>
        </is>
      </c>
      <c r="H60" t="inlineStr">
        <is>
          <t>up</t>
        </is>
      </c>
      <c r="I60" t="inlineStr">
        <is>
          <t>up</t>
        </is>
      </c>
      <c r="J60" t="n">
        <v>48.3</v>
      </c>
      <c r="K60" t="inlineStr">
        <is>
          <t>bull</t>
        </is>
      </c>
      <c r="L60" t="inlineStr">
        <is>
          <t>-</t>
        </is>
      </c>
      <c r="M60" t="n">
        <v>15.2</v>
      </c>
      <c r="N60" t="n">
        <v>6.07</v>
      </c>
      <c r="O60" t="n">
        <v>4687.7</v>
      </c>
      <c r="P60" t="inlineStr">
        <is>
          <t>above</t>
        </is>
      </c>
      <c r="Q60" t="n">
        <v>4677.28</v>
      </c>
      <c r="R60" t="n">
        <v>1</v>
      </c>
      <c r="S60" t="n">
        <v>4023</v>
      </c>
      <c r="T60" t="n">
        <v>22</v>
      </c>
      <c r="U60" t="inlineStr">
        <is>
          <t>shallow</t>
        </is>
      </c>
      <c r="V60" t="inlineStr">
        <is>
          <t>Weak</t>
        </is>
      </c>
      <c r="W60" t="n">
        <v>1</v>
      </c>
      <c r="X60" t="inlineStr">
        <is>
          <t>Round</t>
        </is>
      </c>
      <c r="Y60" t="inlineStr">
        <is>
          <t>strong bearish close</t>
        </is>
      </c>
      <c r="Z60" t="n">
        <v>0.76</v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2026-08-25</t>
        </is>
      </c>
      <c r="B61" t="inlineStr">
        <is>
          <t>23:19</t>
        </is>
      </c>
      <c r="C61" t="inlineStr">
        <is>
          <t>MGC</t>
        </is>
      </c>
      <c r="D61" t="inlineStr">
        <is>
          <t>Short</t>
        </is>
      </c>
      <c r="E61" t="n">
        <v>35</v>
      </c>
      <c r="F61" t="inlineStr">
        <is>
          <t>up</t>
        </is>
      </c>
      <c r="G61" t="inlineStr">
        <is>
          <t>down</t>
        </is>
      </c>
      <c r="H61" t="inlineStr">
        <is>
          <t>up</t>
        </is>
      </c>
      <c r="I61" t="inlineStr">
        <is>
          <t>down</t>
        </is>
      </c>
      <c r="J61" t="n">
        <v>38.5</v>
      </c>
      <c r="K61" t="inlineStr">
        <is>
          <t>bear</t>
        </is>
      </c>
      <c r="L61" t="inlineStr">
        <is>
          <t>-</t>
        </is>
      </c>
      <c r="M61" t="n">
        <v>24.2</v>
      </c>
      <c r="N61" t="n">
        <v>4.83</v>
      </c>
      <c r="O61" t="n">
        <v>4698.38</v>
      </c>
      <c r="P61" t="inlineStr">
        <is>
          <t>above</t>
        </is>
      </c>
      <c r="Q61" t="n">
        <v>4701.45</v>
      </c>
      <c r="R61" t="n">
        <v>1.14</v>
      </c>
      <c r="S61" t="n">
        <v>4291</v>
      </c>
      <c r="T61" t="n">
        <v>39</v>
      </c>
      <c r="U61" t="inlineStr">
        <is>
          <t>golden</t>
        </is>
      </c>
      <c r="V61" t="inlineStr">
        <is>
          <t>Good</t>
        </is>
      </c>
      <c r="W61" t="n">
        <v>2</v>
      </c>
      <c r="X61" t="inlineStr">
        <is>
          <t>No</t>
        </is>
      </c>
      <c r="Y61" t="inlineStr">
        <is>
          <t>bullish pin/hammer</t>
        </is>
      </c>
      <c r="Z61" t="n">
        <v>0.72</v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2026-08-26</t>
        </is>
      </c>
      <c r="B62" t="inlineStr">
        <is>
          <t>09:50</t>
        </is>
      </c>
      <c r="C62" t="inlineStr">
        <is>
          <t>MGC</t>
        </is>
      </c>
      <c r="D62" t="inlineStr">
        <is>
          <t>Long</t>
        </is>
      </c>
      <c r="E62" t="n">
        <v>21</v>
      </c>
      <c r="F62" t="inlineStr">
        <is>
          <t>flat</t>
        </is>
      </c>
      <c r="G62" t="inlineStr">
        <is>
          <t>down</t>
        </is>
      </c>
      <c r="H62" t="inlineStr">
        <is>
          <t>down</t>
        </is>
      </c>
      <c r="I62" t="inlineStr">
        <is>
          <t>down</t>
        </is>
      </c>
      <c r="J62" t="n">
        <v>56.2</v>
      </c>
      <c r="K62" t="inlineStr">
        <is>
          <t>bull</t>
        </is>
      </c>
      <c r="L62" t="inlineStr">
        <is>
          <t>+</t>
        </is>
      </c>
      <c r="M62" t="n">
        <v>31.7</v>
      </c>
      <c r="N62" t="n">
        <v>7.81</v>
      </c>
      <c r="O62" t="n">
        <v>4673.72</v>
      </c>
      <c r="P62" t="inlineStr">
        <is>
          <t>above</t>
        </is>
      </c>
      <c r="Q62" t="n">
        <v>4669.87</v>
      </c>
      <c r="R62" t="n">
        <v>1.02</v>
      </c>
      <c r="S62" t="n">
        <v>1062</v>
      </c>
      <c r="T62" t="n">
        <v>14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Round</t>
        </is>
      </c>
      <c r="Y62" t="inlineStr">
        <is>
          <t>strong bearish close</t>
        </is>
      </c>
      <c r="Z62" t="n">
        <v>1.02</v>
      </c>
      <c r="AA62" t="inlineStr">
        <is>
          <t>No</t>
        </is>
      </c>
      <c r="AB62" t="inlineStr">
        <is>
          <t>No</t>
        </is>
      </c>
    </row>
    <row r="63">
      <c r="A63" t="inlineStr">
        <is>
          <t>2026-08-26</t>
        </is>
      </c>
      <c r="B63" t="inlineStr">
        <is>
          <t>10:18</t>
        </is>
      </c>
      <c r="C63" t="inlineStr">
        <is>
          <t>MGC</t>
        </is>
      </c>
      <c r="D63" t="inlineStr">
        <is>
          <t>Short</t>
        </is>
      </c>
      <c r="E63" t="n">
        <v>96</v>
      </c>
      <c r="F63" t="inlineStr">
        <is>
          <t>flat</t>
        </is>
      </c>
      <c r="G63" t="inlineStr">
        <is>
          <t>down</t>
        </is>
      </c>
      <c r="H63" t="inlineStr">
        <is>
          <t>down</t>
        </is>
      </c>
      <c r="I63" t="inlineStr">
        <is>
          <t>down</t>
        </is>
      </c>
      <c r="J63" t="n">
        <v>53.5</v>
      </c>
      <c r="K63" t="inlineStr">
        <is>
          <t>bull</t>
        </is>
      </c>
      <c r="L63" t="inlineStr">
        <is>
          <t>+</t>
        </is>
      </c>
      <c r="M63" t="n">
        <v>24.4</v>
      </c>
      <c r="N63" t="n">
        <v>7.68</v>
      </c>
      <c r="O63" t="n">
        <v>4677.35</v>
      </c>
      <c r="P63" t="inlineStr">
        <is>
          <t>above</t>
        </is>
      </c>
      <c r="Q63" t="n">
        <v>4683.11</v>
      </c>
      <c r="R63" t="n">
        <v>0.62</v>
      </c>
      <c r="S63" t="n">
        <v>1237</v>
      </c>
      <c r="T63" t="n">
        <v>71</v>
      </c>
      <c r="U63" t="inlineStr">
        <is>
          <t>deep</t>
        </is>
      </c>
      <c r="V63" t="inlineStr">
        <is>
          <t>Weak</t>
        </is>
      </c>
      <c r="W63" t="n">
        <v>1</v>
      </c>
      <c r="X63" t="inlineStr">
        <is>
          <t>Round</t>
        </is>
      </c>
      <c r="Y63" t="inlineStr">
        <is>
          <t>strong bullish close</t>
        </is>
      </c>
      <c r="Z63" t="n">
        <v>0.48</v>
      </c>
      <c r="AA63" t="inlineStr">
        <is>
          <t>Yes</t>
        </is>
      </c>
      <c r="AB63" t="inlineStr">
        <is>
          <t>No</t>
        </is>
      </c>
    </row>
    <row r="64">
      <c r="A64" t="inlineStr">
        <is>
          <t>2026-08-26</t>
        </is>
      </c>
      <c r="B64" t="inlineStr">
        <is>
          <t>11:46</t>
        </is>
      </c>
      <c r="C64" t="inlineStr">
        <is>
          <t>MGC</t>
        </is>
      </c>
      <c r="D64" t="inlineStr">
        <is>
          <t>Long</t>
        </is>
      </c>
      <c r="E64" t="n">
        <v>-165</v>
      </c>
      <c r="F64" t="inlineStr">
        <is>
          <t>down</t>
        </is>
      </c>
      <c r="G64" t="inlineStr">
        <is>
          <t>down</t>
        </is>
      </c>
      <c r="H64" t="inlineStr">
        <is>
          <t>down</t>
        </is>
      </c>
      <c r="I64" t="inlineStr">
        <is>
          <t>down</t>
        </is>
      </c>
      <c r="J64" t="n">
        <v>50.6</v>
      </c>
      <c r="K64" t="inlineStr">
        <is>
          <t>bear</t>
        </is>
      </c>
      <c r="L64" t="inlineStr">
        <is>
          <t>+</t>
        </is>
      </c>
      <c r="M64" t="n">
        <v>27.1</v>
      </c>
      <c r="N64" t="n">
        <v>7.39</v>
      </c>
      <c r="O64" t="n">
        <v>4664.41</v>
      </c>
      <c r="P64" t="inlineStr">
        <is>
          <t>below</t>
        </is>
      </c>
      <c r="Q64" t="n">
        <v>4653.95</v>
      </c>
      <c r="R64" t="n">
        <v>1.54</v>
      </c>
      <c r="S64" t="n">
        <v>1823</v>
      </c>
      <c r="T64" t="n">
        <v>11</v>
      </c>
      <c r="U64" t="inlineStr">
        <is>
          <t>extended (no pullback)</t>
        </is>
      </c>
      <c r="V64" t="inlineStr">
        <is>
          <t>Good</t>
        </is>
      </c>
      <c r="W64" t="n">
        <v>2</v>
      </c>
      <c r="X64" t="inlineStr">
        <is>
          <t>Round</t>
        </is>
      </c>
      <c r="Y64" t="inlineStr">
        <is>
          <t>strong bullish close</t>
        </is>
      </c>
      <c r="Z64" t="n">
        <v>0.91</v>
      </c>
      <c r="AA64" t="inlineStr">
        <is>
          <t>No</t>
        </is>
      </c>
      <c r="AB64" t="inlineStr">
        <is>
          <t>No</t>
        </is>
      </c>
    </row>
    <row r="65">
      <c r="A65" t="inlineStr">
        <is>
          <t>2026-08-26</t>
        </is>
      </c>
      <c r="B65" t="inlineStr">
        <is>
          <t>11:55</t>
        </is>
      </c>
      <c r="C65" t="inlineStr">
        <is>
          <t>MGC</t>
        </is>
      </c>
      <c r="D65" t="inlineStr">
        <is>
          <t>Short</t>
        </is>
      </c>
      <c r="E65" t="n">
        <v>185</v>
      </c>
      <c r="F65" t="inlineStr">
        <is>
          <t>down</t>
        </is>
      </c>
      <c r="G65" t="inlineStr">
        <is>
          <t>down</t>
        </is>
      </c>
      <c r="H65" t="inlineStr">
        <is>
          <t>down</t>
        </is>
      </c>
      <c r="I65" t="inlineStr">
        <is>
          <t>down</t>
        </is>
      </c>
      <c r="J65" t="n">
        <v>40.2</v>
      </c>
      <c r="K65" t="inlineStr">
        <is>
          <t>bear</t>
        </is>
      </c>
      <c r="L65" t="inlineStr">
        <is>
          <t>+</t>
        </is>
      </c>
      <c r="M65" t="n">
        <v>26.2</v>
      </c>
      <c r="N65" t="n">
        <v>7.62</v>
      </c>
      <c r="O65" t="n">
        <v>4664.02</v>
      </c>
      <c r="P65" t="inlineStr">
        <is>
          <t>below</t>
        </is>
      </c>
      <c r="Q65" t="n">
        <v>4653.95</v>
      </c>
      <c r="R65" t="n">
        <v>1.21</v>
      </c>
      <c r="S65" t="n">
        <v>241</v>
      </c>
      <c r="T65" t="n">
        <v>34</v>
      </c>
      <c r="U65" t="inlineStr">
        <is>
          <t>shallow</t>
        </is>
      </c>
      <c r="V65" t="inlineStr">
        <is>
          <t>Good</t>
        </is>
      </c>
      <c r="W65" t="n">
        <v>2</v>
      </c>
      <c r="X65" t="inlineStr">
        <is>
          <t>ONL</t>
        </is>
      </c>
      <c r="Y65" t="inlineStr">
        <is>
          <t>strong bearish close</t>
        </is>
      </c>
      <c r="Z65" t="n">
        <v>0.67</v>
      </c>
      <c r="AA65" t="inlineStr">
        <is>
          <t>Yes</t>
        </is>
      </c>
      <c r="AB65" t="inlineStr">
        <is>
          <t>Yes</t>
        </is>
      </c>
    </row>
    <row r="66">
      <c r="A66" t="inlineStr">
        <is>
          <t>2026-08-26</t>
        </is>
      </c>
      <c r="B66" t="inlineStr">
        <is>
          <t>13:11</t>
        </is>
      </c>
      <c r="C66" t="inlineStr">
        <is>
          <t>MGC</t>
        </is>
      </c>
      <c r="D66" t="inlineStr">
        <is>
          <t>Short</t>
        </is>
      </c>
      <c r="E66" t="n">
        <v>-255</v>
      </c>
      <c r="F66" t="inlineStr">
        <is>
          <t>down</t>
        </is>
      </c>
      <c r="G66" t="inlineStr">
        <is>
          <t>down</t>
        </is>
      </c>
      <c r="H66" t="inlineStr">
        <is>
          <t>down</t>
        </is>
      </c>
      <c r="I66" t="inlineStr">
        <is>
          <t>down</t>
        </is>
      </c>
      <c r="J66" t="n">
        <v>46</v>
      </c>
      <c r="K66" t="inlineStr">
        <is>
          <t>bear</t>
        </is>
      </c>
      <c r="L66" t="inlineStr">
        <is>
          <t>+</t>
        </is>
      </c>
      <c r="M66" t="n">
        <v>25.2</v>
      </c>
      <c r="N66" t="n">
        <v>5.81</v>
      </c>
      <c r="O66" t="n">
        <v>4660.6</v>
      </c>
      <c r="P66" t="inlineStr">
        <is>
          <t>below</t>
        </is>
      </c>
      <c r="Q66" t="n">
        <v>4653.95</v>
      </c>
      <c r="R66" t="n">
        <v>0.6899999999999999</v>
      </c>
      <c r="S66" t="n">
        <v>1646</v>
      </c>
      <c r="T66" t="n">
        <v>21</v>
      </c>
      <c r="U66" t="inlineStr">
        <is>
          <t>shallow</t>
        </is>
      </c>
      <c r="V66" t="inlineStr">
        <is>
          <t>Good</t>
        </is>
      </c>
      <c r="W66" t="n">
        <v>2</v>
      </c>
      <c r="X66" t="inlineStr">
        <is>
          <t>Round</t>
        </is>
      </c>
      <c r="Y66" t="inlineStr">
        <is>
          <t>strong bullish close</t>
        </is>
      </c>
      <c r="Z66" t="n">
        <v>0.35</v>
      </c>
      <c r="AA66" t="inlineStr">
        <is>
          <t>Yes</t>
        </is>
      </c>
      <c r="AB66" t="inlineStr">
        <is>
          <t>Yes</t>
        </is>
      </c>
    </row>
    <row r="67">
      <c r="A67" t="inlineStr">
        <is>
          <t>2026-08-26</t>
        </is>
      </c>
      <c r="B67" t="inlineStr">
        <is>
          <t>19:54</t>
        </is>
      </c>
      <c r="C67" t="inlineStr">
        <is>
          <t>MNQ</t>
        </is>
      </c>
      <c r="D67" t="inlineStr">
        <is>
          <t>Long</t>
        </is>
      </c>
      <c r="E67" t="n">
        <v>81.5</v>
      </c>
      <c r="F67" t="inlineStr">
        <is>
          <t>up</t>
        </is>
      </c>
      <c r="G67" t="inlineStr">
        <is>
          <t>up</t>
        </is>
      </c>
      <c r="H67" t="inlineStr">
        <is>
          <t>up</t>
        </is>
      </c>
      <c r="I67" t="inlineStr">
        <is>
          <t>up</t>
        </is>
      </c>
      <c r="J67" t="n">
        <v>72.59999999999999</v>
      </c>
      <c r="K67" t="inlineStr">
        <is>
          <t>bull</t>
        </is>
      </c>
      <c r="L67" t="inlineStr">
        <is>
          <t>-</t>
        </is>
      </c>
      <c r="M67" t="n">
        <v>52.8</v>
      </c>
      <c r="N67" t="n">
        <v>21.3</v>
      </c>
      <c r="O67" t="n">
        <v>29282.24</v>
      </c>
      <c r="P67" t="inlineStr">
        <is>
          <t>above</t>
        </is>
      </c>
      <c r="Q67" t="n">
        <v>29245.2</v>
      </c>
      <c r="R67" t="n">
        <v>0.97</v>
      </c>
      <c r="S67" t="n">
        <v>19153</v>
      </c>
      <c r="T67" t="n">
        <v>4</v>
      </c>
      <c r="U67" t="inlineStr">
        <is>
          <t>extended (no pullback)</t>
        </is>
      </c>
      <c r="V67" t="inlineStr">
        <is>
          <t>Weak</t>
        </is>
      </c>
      <c r="W67" t="n">
        <v>1</v>
      </c>
      <c r="X67" t="inlineStr">
        <is>
          <t>No</t>
        </is>
      </c>
      <c r="Z67" t="n">
        <v>0.74</v>
      </c>
      <c r="AA67" t="inlineStr">
        <is>
          <t>Yes</t>
        </is>
      </c>
      <c r="AB67" t="inlineStr">
        <is>
          <t>Yes</t>
        </is>
      </c>
    </row>
    <row r="68">
      <c r="A68" t="inlineStr">
        <is>
          <t>2026-08-26</t>
        </is>
      </c>
      <c r="B68" t="inlineStr">
        <is>
          <t>20:04</t>
        </is>
      </c>
      <c r="C68" t="inlineStr">
        <is>
          <t>MNQ</t>
        </is>
      </c>
      <c r="D68" t="inlineStr">
        <is>
          <t>Long</t>
        </is>
      </c>
      <c r="E68" t="n">
        <v>-81</v>
      </c>
      <c r="F68" t="inlineStr">
        <is>
          <t>up</t>
        </is>
      </c>
      <c r="G68" t="inlineStr">
        <is>
          <t>up</t>
        </is>
      </c>
      <c r="H68" t="inlineStr">
        <is>
          <t>up</t>
        </is>
      </c>
      <c r="I68" t="inlineStr">
        <is>
          <t>up</t>
        </is>
      </c>
      <c r="J68" t="n">
        <v>64.40000000000001</v>
      </c>
      <c r="K68" t="inlineStr">
        <is>
          <t>bull</t>
        </is>
      </c>
      <c r="L68" t="inlineStr">
        <is>
          <t>-</t>
        </is>
      </c>
      <c r="M68" t="n">
        <v>55</v>
      </c>
      <c r="N68" t="n">
        <v>23.81</v>
      </c>
      <c r="O68" t="n">
        <v>29284.87</v>
      </c>
      <c r="P68" t="inlineStr">
        <is>
          <t>above</t>
        </is>
      </c>
      <c r="Q68" t="n">
        <v>29225.22</v>
      </c>
      <c r="R68" t="n">
        <v>1.07</v>
      </c>
      <c r="S68" t="n">
        <v>18721</v>
      </c>
      <c r="T68" t="n">
        <v>11</v>
      </c>
      <c r="U68" t="inlineStr">
        <is>
          <t>extended (no pullback)</t>
        </is>
      </c>
      <c r="V68" t="inlineStr">
        <is>
          <t>Weak</t>
        </is>
      </c>
      <c r="W68" t="n">
        <v>1</v>
      </c>
      <c r="X68" t="inlineStr">
        <is>
          <t>No</t>
        </is>
      </c>
      <c r="Y68" t="inlineStr">
        <is>
          <t>bearish engulfing</t>
        </is>
      </c>
      <c r="Z68" t="n">
        <v>2.38</v>
      </c>
      <c r="AA68" t="inlineStr">
        <is>
          <t>Yes</t>
        </is>
      </c>
      <c r="AB68" t="inlineStr">
        <is>
          <t>Yes</t>
        </is>
      </c>
    </row>
    <row r="69">
      <c r="A69" t="inlineStr">
        <is>
          <t>2026-08-26</t>
        </is>
      </c>
      <c r="B69" t="inlineStr">
        <is>
          <t>21:05</t>
        </is>
      </c>
      <c r="C69" t="inlineStr">
        <is>
          <t>MNQ</t>
        </is>
      </c>
      <c r="D69" t="inlineStr">
        <is>
          <t>Long</t>
        </is>
      </c>
      <c r="E69" t="n">
        <v>-120</v>
      </c>
      <c r="F69" t="inlineStr">
        <is>
          <t>up</t>
        </is>
      </c>
      <c r="G69" t="inlineStr">
        <is>
          <t>up</t>
        </is>
      </c>
      <c r="H69" t="inlineStr">
        <is>
          <t>down</t>
        </is>
      </c>
      <c r="I69" t="inlineStr">
        <is>
          <t>down</t>
        </is>
      </c>
      <c r="J69" t="n">
        <v>39</v>
      </c>
      <c r="K69" t="inlineStr">
        <is>
          <t>bear</t>
        </is>
      </c>
      <c r="L69" t="inlineStr">
        <is>
          <t>-</t>
        </is>
      </c>
      <c r="M69" t="n">
        <v>39.4</v>
      </c>
      <c r="N69" t="n">
        <v>28.02</v>
      </c>
      <c r="O69" t="n">
        <v>29295.47</v>
      </c>
      <c r="P69" t="inlineStr">
        <is>
          <t>above</t>
        </is>
      </c>
      <c r="Q69" t="n">
        <v>29225.22</v>
      </c>
      <c r="R69" t="n">
        <v>1</v>
      </c>
      <c r="S69" t="n">
        <v>14869</v>
      </c>
      <c r="T69" t="n">
        <v>50</v>
      </c>
      <c r="U69" t="inlineStr">
        <is>
          <t>golden</t>
        </is>
      </c>
      <c r="V69" t="inlineStr">
        <is>
          <t>Good</t>
        </is>
      </c>
      <c r="W69" t="n">
        <v>2</v>
      </c>
      <c r="X69" t="inlineStr">
        <is>
          <t>No</t>
        </is>
      </c>
      <c r="Y69" t="inlineStr">
        <is>
          <t>strong bullish close</t>
        </is>
      </c>
      <c r="Z69" t="n">
        <v>0.61</v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2026-08-26</t>
        </is>
      </c>
      <c r="B70" t="inlineStr">
        <is>
          <t>21:16</t>
        </is>
      </c>
      <c r="C70" t="inlineStr">
        <is>
          <t>MNQ</t>
        </is>
      </c>
      <c r="D70" t="inlineStr">
        <is>
          <t>Long</t>
        </is>
      </c>
      <c r="E70" t="n">
        <v>302.5</v>
      </c>
      <c r="F70" t="inlineStr">
        <is>
          <t>up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41.8</v>
      </c>
      <c r="K70" t="inlineStr">
        <is>
          <t>bear</t>
        </is>
      </c>
      <c r="L70" t="inlineStr">
        <is>
          <t>-</t>
        </is>
      </c>
      <c r="M70" t="n">
        <v>37.7</v>
      </c>
      <c r="N70" t="n">
        <v>29.13</v>
      </c>
      <c r="O70" t="n">
        <v>29296.6</v>
      </c>
      <c r="P70" t="inlineStr">
        <is>
          <t>above</t>
        </is>
      </c>
      <c r="Q70" t="n">
        <v>29225.22</v>
      </c>
      <c r="R70" t="n">
        <v>1.27</v>
      </c>
      <c r="S70" t="n">
        <v>14789</v>
      </c>
      <c r="T70" t="n">
        <v>46</v>
      </c>
      <c r="U70" t="inlineStr">
        <is>
          <t>golden</t>
        </is>
      </c>
      <c r="V70" t="inlineStr">
        <is>
          <t>Good</t>
        </is>
      </c>
      <c r="W70" t="n">
        <v>2</v>
      </c>
      <c r="X70" t="inlineStr">
        <is>
          <t>No</t>
        </is>
      </c>
      <c r="Y70" t="inlineStr">
        <is>
          <t>bullish engulfing</t>
        </is>
      </c>
      <c r="Z70" t="n">
        <v>0.78</v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2026-08-26</t>
        </is>
      </c>
      <c r="B71" t="inlineStr">
        <is>
          <t>21:27</t>
        </is>
      </c>
      <c r="C71" t="inlineStr">
        <is>
          <t>MNQ</t>
        </is>
      </c>
      <c r="D71" t="inlineStr">
        <is>
          <t>Long</t>
        </is>
      </c>
      <c r="E71" t="n">
        <v>42</v>
      </c>
      <c r="F71" t="inlineStr">
        <is>
          <t>up</t>
        </is>
      </c>
      <c r="G71" t="inlineStr">
        <is>
          <t>up</t>
        </is>
      </c>
      <c r="H71" t="inlineStr">
        <is>
          <t>down</t>
        </is>
      </c>
      <c r="I71" t="inlineStr">
        <is>
          <t>down</t>
        </is>
      </c>
      <c r="J71" t="n">
        <v>46.9</v>
      </c>
      <c r="K71" t="inlineStr">
        <is>
          <t>bear</t>
        </is>
      </c>
      <c r="L71" t="inlineStr">
        <is>
          <t>-</t>
        </is>
      </c>
      <c r="M71" t="n">
        <v>34</v>
      </c>
      <c r="N71" t="n">
        <v>27.73</v>
      </c>
      <c r="O71" t="n">
        <v>29297.38</v>
      </c>
      <c r="P71" t="inlineStr">
        <is>
          <t>above</t>
        </is>
      </c>
      <c r="Q71" t="n">
        <v>29225.22</v>
      </c>
      <c r="R71" t="n">
        <v>1.13</v>
      </c>
      <c r="S71" t="n">
        <v>15723</v>
      </c>
      <c r="T71" t="n">
        <v>40</v>
      </c>
      <c r="U71" t="inlineStr">
        <is>
          <t>golden</t>
        </is>
      </c>
      <c r="V71" t="inlineStr">
        <is>
          <t>Good</t>
        </is>
      </c>
      <c r="W71" t="n">
        <v>2</v>
      </c>
      <c r="X71" t="inlineStr">
        <is>
          <t>Round</t>
        </is>
      </c>
      <c r="Z71" t="n">
        <v>0.58</v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2026-08-26</t>
        </is>
      </c>
      <c r="B72" t="inlineStr">
        <is>
          <t>21:35</t>
        </is>
      </c>
      <c r="C72" t="inlineStr">
        <is>
          <t>MNQ</t>
        </is>
      </c>
      <c r="D72" t="inlineStr">
        <is>
          <t>Long</t>
        </is>
      </c>
      <c r="E72" t="n">
        <v>88.5</v>
      </c>
      <c r="F72" t="inlineStr">
        <is>
          <t>up</t>
        </is>
      </c>
      <c r="G72" t="inlineStr">
        <is>
          <t>up</t>
        </is>
      </c>
      <c r="H72" t="inlineStr">
        <is>
          <t>down</t>
        </is>
      </c>
      <c r="I72" t="inlineStr">
        <is>
          <t>down</t>
        </is>
      </c>
      <c r="J72" t="n">
        <v>52.9</v>
      </c>
      <c r="K72" t="inlineStr">
        <is>
          <t>bear</t>
        </is>
      </c>
      <c r="L72" t="inlineStr">
        <is>
          <t>+</t>
        </is>
      </c>
      <c r="M72" t="n">
        <v>29.8</v>
      </c>
      <c r="N72" t="n">
        <v>27.15</v>
      </c>
      <c r="O72" t="n">
        <v>29298.36</v>
      </c>
      <c r="P72" t="inlineStr">
        <is>
          <t>above</t>
        </is>
      </c>
      <c r="Q72" t="n">
        <v>29225.22</v>
      </c>
      <c r="R72" t="n">
        <v>1.27</v>
      </c>
      <c r="S72" t="n">
        <v>16639</v>
      </c>
      <c r="T72" t="n">
        <v>37</v>
      </c>
      <c r="U72" t="inlineStr">
        <is>
          <t>shallow</t>
        </is>
      </c>
      <c r="V72" t="inlineStr">
        <is>
          <t>A+</t>
        </is>
      </c>
      <c r="W72" t="n">
        <v>3</v>
      </c>
      <c r="X72" t="inlineStr">
        <is>
          <t>No</t>
        </is>
      </c>
      <c r="Y72" t="inlineStr">
        <is>
          <t>strong bullish close</t>
        </is>
      </c>
      <c r="Z72" t="n">
        <v>0.6</v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2026-08-26</t>
        </is>
      </c>
      <c r="B73" t="inlineStr">
        <is>
          <t>22:22</t>
        </is>
      </c>
      <c r="C73" t="inlineStr">
        <is>
          <t>MNQ</t>
        </is>
      </c>
      <c r="D73" t="inlineStr">
        <is>
          <t>Short</t>
        </is>
      </c>
      <c r="E73" t="n">
        <v>50</v>
      </c>
      <c r="F73" t="inlineStr">
        <is>
          <t>up</t>
        </is>
      </c>
      <c r="G73" t="inlineStr">
        <is>
          <t>up</t>
        </is>
      </c>
      <c r="H73" t="inlineStr">
        <is>
          <t>down</t>
        </is>
      </c>
      <c r="I73" t="inlineStr">
        <is>
          <t>up</t>
        </is>
      </c>
      <c r="J73" t="n">
        <v>51.8</v>
      </c>
      <c r="K73" t="inlineStr">
        <is>
          <t>bull</t>
        </is>
      </c>
      <c r="L73" t="inlineStr">
        <is>
          <t>+</t>
        </is>
      </c>
      <c r="M73" t="n">
        <v>16.6</v>
      </c>
      <c r="N73" t="n">
        <v>24.8</v>
      </c>
      <c r="O73" t="n">
        <v>29301.87</v>
      </c>
      <c r="P73" t="inlineStr">
        <is>
          <t>above</t>
        </is>
      </c>
      <c r="Q73" t="n">
        <v>29225.22</v>
      </c>
      <c r="R73" t="n">
        <v>0.51</v>
      </c>
      <c r="S73" t="n">
        <v>17858</v>
      </c>
      <c r="T73" t="n">
        <v>46</v>
      </c>
      <c r="U73" t="inlineStr">
        <is>
          <t>golden</t>
        </is>
      </c>
      <c r="V73" t="inlineStr">
        <is>
          <t>Weak</t>
        </is>
      </c>
      <c r="W73" t="n">
        <v>1</v>
      </c>
      <c r="X73" t="inlineStr">
        <is>
          <t>No</t>
        </is>
      </c>
      <c r="Z73" t="n">
        <v>0.23</v>
      </c>
      <c r="AA73" t="inlineStr">
        <is>
          <t>No</t>
        </is>
      </c>
      <c r="AB73" t="inlineStr">
        <is>
          <t>No</t>
        </is>
      </c>
    </row>
    <row r="74">
      <c r="A74" t="inlineStr">
        <is>
          <t>2026-08-27</t>
        </is>
      </c>
      <c r="B74" t="inlineStr">
        <is>
          <t>09:43</t>
        </is>
      </c>
      <c r="C74" t="inlineStr">
        <is>
          <t>MGC</t>
        </is>
      </c>
      <c r="D74" t="inlineStr">
        <is>
          <t>Short</t>
        </is>
      </c>
      <c r="E74" t="n">
        <v>360</v>
      </c>
      <c r="F74" t="inlineStr">
        <is>
          <t>down</t>
        </is>
      </c>
      <c r="G74" t="inlineStr">
        <is>
          <t>down</t>
        </is>
      </c>
      <c r="H74" t="inlineStr">
        <is>
          <t>down</t>
        </is>
      </c>
      <c r="I74" t="inlineStr">
        <is>
          <t>down</t>
        </is>
      </c>
      <c r="J74" t="n">
        <v>36.9</v>
      </c>
      <c r="K74" t="inlineStr">
        <is>
          <t>bear</t>
        </is>
      </c>
      <c r="L74" t="inlineStr">
        <is>
          <t>-</t>
        </is>
      </c>
      <c r="M74" t="n">
        <v>24.3</v>
      </c>
      <c r="N74" t="n">
        <v>6.47</v>
      </c>
      <c r="O74" t="n">
        <v>4632.87</v>
      </c>
      <c r="P74" t="inlineStr">
        <is>
          <t>above</t>
        </is>
      </c>
      <c r="Q74" t="n">
        <v>4630.68</v>
      </c>
      <c r="R74" t="n">
        <v>0.92</v>
      </c>
      <c r="S74" t="n">
        <v>-2558</v>
      </c>
      <c r="T74" t="n">
        <v>40</v>
      </c>
      <c r="U74" t="inlineStr">
        <is>
          <t>golden</t>
        </is>
      </c>
      <c r="V74" t="inlineStr">
        <is>
          <t>Good</t>
        </is>
      </c>
      <c r="W74" t="n">
        <v>2</v>
      </c>
      <c r="X74" t="inlineStr">
        <is>
          <t>No</t>
        </is>
      </c>
      <c r="Y74" t="inlineStr">
        <is>
          <t>bullish engulfing</t>
        </is>
      </c>
      <c r="Z74" t="n">
        <v>1.7</v>
      </c>
      <c r="AA74" t="inlineStr">
        <is>
          <t>Yes</t>
        </is>
      </c>
      <c r="AB74" t="inlineStr">
        <is>
          <t>Yes</t>
        </is>
      </c>
    </row>
    <row r="75">
      <c r="A75" t="inlineStr">
        <is>
          <t>2026-08-27</t>
        </is>
      </c>
      <c r="B75" t="inlineStr">
        <is>
          <t>10:17</t>
        </is>
      </c>
      <c r="C75" t="inlineStr">
        <is>
          <t>MGC</t>
        </is>
      </c>
      <c r="D75" t="inlineStr">
        <is>
          <t>Short</t>
        </is>
      </c>
      <c r="E75" t="n">
        <v>54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down</t>
        </is>
      </c>
      <c r="J75" t="n">
        <v>46</v>
      </c>
      <c r="K75" t="inlineStr">
        <is>
          <t>bear</t>
        </is>
      </c>
      <c r="L75" t="inlineStr">
        <is>
          <t>-</t>
        </is>
      </c>
      <c r="M75" t="n">
        <v>29.7</v>
      </c>
      <c r="N75" t="n">
        <v>7.41</v>
      </c>
      <c r="O75" t="n">
        <v>4629.45</v>
      </c>
      <c r="P75" t="inlineStr">
        <is>
          <t>above</t>
        </is>
      </c>
      <c r="Q75" t="n">
        <v>4630.62</v>
      </c>
      <c r="R75" t="n">
        <v>0.7</v>
      </c>
      <c r="S75" t="n">
        <v>-1346</v>
      </c>
      <c r="T75" t="n">
        <v>50</v>
      </c>
      <c r="U75" t="inlineStr">
        <is>
          <t>golden</t>
        </is>
      </c>
      <c r="V75" t="inlineStr">
        <is>
          <t>Good</t>
        </is>
      </c>
      <c r="W75" t="n">
        <v>2</v>
      </c>
      <c r="X75" t="inlineStr">
        <is>
          <t>No</t>
        </is>
      </c>
      <c r="Y75" t="inlineStr">
        <is>
          <t>bullish engulfing</t>
        </is>
      </c>
      <c r="Z75" t="n">
        <v>0.72</v>
      </c>
      <c r="AA75" t="inlineStr">
        <is>
          <t>Yes</t>
        </is>
      </c>
      <c r="AB75" t="inlineStr">
        <is>
          <t>Yes</t>
        </is>
      </c>
    </row>
    <row r="76">
      <c r="A76" t="inlineStr">
        <is>
          <t>2026-08-28</t>
        </is>
      </c>
      <c r="B76" t="inlineStr">
        <is>
          <t>10:09</t>
        </is>
      </c>
      <c r="C76" t="inlineStr">
        <is>
          <t>MGC</t>
        </is>
      </c>
      <c r="D76" t="inlineStr">
        <is>
          <t>Short</t>
        </is>
      </c>
      <c r="E76" t="n">
        <v>426</v>
      </c>
      <c r="F76" t="inlineStr">
        <is>
          <t>down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27.3</v>
      </c>
      <c r="K76" t="inlineStr">
        <is>
          <t>bear</t>
        </is>
      </c>
      <c r="L76" t="inlineStr">
        <is>
          <t>-</t>
        </is>
      </c>
      <c r="M76" t="n">
        <v>22.3</v>
      </c>
      <c r="N76" t="n">
        <v>12.36</v>
      </c>
      <c r="O76" t="n">
        <v>4643.29</v>
      </c>
      <c r="P76" t="inlineStr">
        <is>
          <t>below</t>
        </is>
      </c>
      <c r="Q76" t="n">
        <v>4656.24</v>
      </c>
      <c r="R76" t="n">
        <v>9.59</v>
      </c>
      <c r="S76" t="n">
        <v>-4681</v>
      </c>
      <c r="T76" t="n">
        <v>33</v>
      </c>
      <c r="U76" t="inlineStr">
        <is>
          <t>shallow</t>
        </is>
      </c>
      <c r="V76" t="inlineStr">
        <is>
          <t>Good</t>
        </is>
      </c>
      <c r="W76" t="n">
        <v>2</v>
      </c>
      <c r="X76" t="inlineStr">
        <is>
          <t>Round</t>
        </is>
      </c>
      <c r="Y76" t="inlineStr">
        <is>
          <t>bullish pin/hammer</t>
        </is>
      </c>
      <c r="Z76" t="n">
        <v>7.85</v>
      </c>
      <c r="AA76" t="inlineStr">
        <is>
          <t>Yes</t>
        </is>
      </c>
      <c r="AB76" t="inlineStr">
        <is>
          <t>Yes</t>
        </is>
      </c>
    </row>
    <row r="77">
      <c r="A77" t="inlineStr">
        <is>
          <t>2026-08-28</t>
        </is>
      </c>
      <c r="B77" t="inlineStr">
        <is>
          <t>10:25</t>
        </is>
      </c>
      <c r="C77" t="inlineStr">
        <is>
          <t>MNQ</t>
        </is>
      </c>
      <c r="D77" t="inlineStr">
        <is>
          <t>Short</t>
        </is>
      </c>
      <c r="E77" t="n">
        <v>134</v>
      </c>
      <c r="F77" t="inlineStr">
        <is>
          <t>up</t>
        </is>
      </c>
      <c r="G77" t="inlineStr">
        <is>
          <t>up</t>
        </is>
      </c>
      <c r="H77" t="inlineStr">
        <is>
          <t>down</t>
        </is>
      </c>
      <c r="I77" t="inlineStr">
        <is>
          <t>down</t>
        </is>
      </c>
      <c r="J77" t="n">
        <v>53.9</v>
      </c>
      <c r="K77" t="inlineStr">
        <is>
          <t>bear</t>
        </is>
      </c>
      <c r="L77" t="inlineStr">
        <is>
          <t>-</t>
        </is>
      </c>
      <c r="M77" t="n">
        <v>15</v>
      </c>
      <c r="N77" t="n">
        <v>48.7</v>
      </c>
      <c r="O77" t="n">
        <v>29621.34</v>
      </c>
      <c r="P77" t="inlineStr">
        <is>
          <t>above</t>
        </is>
      </c>
      <c r="Q77" t="n">
        <v>29597.96</v>
      </c>
      <c r="R77" t="n">
        <v>1.34</v>
      </c>
      <c r="S77" t="n">
        <v>-1405</v>
      </c>
      <c r="T77" t="n">
        <v>68</v>
      </c>
      <c r="U77" t="inlineStr">
        <is>
          <t>deep</t>
        </is>
      </c>
      <c r="V77" t="inlineStr">
        <is>
          <t>Weak</t>
        </is>
      </c>
      <c r="W77" t="n">
        <v>1</v>
      </c>
      <c r="X77" t="inlineStr">
        <is>
          <t>Round</t>
        </is>
      </c>
      <c r="Y77" t="inlineStr">
        <is>
          <t>bullish pin/hammer</t>
        </is>
      </c>
      <c r="Z77" t="n">
        <v>1.44</v>
      </c>
      <c r="AA77" t="inlineStr">
        <is>
          <t>No</t>
        </is>
      </c>
      <c r="AB77" t="inlineStr">
        <is>
          <t>No</t>
        </is>
      </c>
    </row>
    <row r="78">
      <c r="A78" t="inlineStr">
        <is>
          <t>2026-08-28</t>
        </is>
      </c>
      <c r="B78" t="inlineStr">
        <is>
          <t>10:40</t>
        </is>
      </c>
      <c r="C78" t="inlineStr">
        <is>
          <t>MNQ</t>
        </is>
      </c>
      <c r="D78" t="inlineStr">
        <is>
          <t>Short</t>
        </is>
      </c>
      <c r="E78" t="n">
        <v>-102</v>
      </c>
      <c r="F78" t="inlineStr">
        <is>
          <t>up</t>
        </is>
      </c>
      <c r="G78" t="inlineStr">
        <is>
          <t>up</t>
        </is>
      </c>
      <c r="H78" t="inlineStr">
        <is>
          <t>down</t>
        </is>
      </c>
      <c r="I78" t="inlineStr">
        <is>
          <t>up</t>
        </is>
      </c>
      <c r="J78" t="n">
        <v>64.59999999999999</v>
      </c>
      <c r="K78" t="inlineStr">
        <is>
          <t>bull</t>
        </is>
      </c>
      <c r="L78" t="inlineStr">
        <is>
          <t>+</t>
        </is>
      </c>
      <c r="M78" t="n">
        <v>16.3</v>
      </c>
      <c r="N78" t="n">
        <v>50.22</v>
      </c>
      <c r="O78" t="n">
        <v>29632.07</v>
      </c>
      <c r="P78" t="inlineStr">
        <is>
          <t>above</t>
        </is>
      </c>
      <c r="Q78" t="n">
        <v>29597.61</v>
      </c>
      <c r="R78" t="n">
        <v>1.62</v>
      </c>
      <c r="S78" t="n">
        <v>7992</v>
      </c>
      <c r="V78" t="inlineStr">
        <is>
          <t>No setup</t>
        </is>
      </c>
      <c r="W78" t="n">
        <v>0</v>
      </c>
      <c r="X78" t="inlineStr">
        <is>
          <t>PDH/ONH/ORH/Round</t>
        </is>
      </c>
      <c r="Y78" t="inlineStr">
        <is>
          <t>strong bullish close</t>
        </is>
      </c>
      <c r="Z78" t="n">
        <v>1.08</v>
      </c>
      <c r="AA78" t="inlineStr">
        <is>
          <t>No</t>
        </is>
      </c>
      <c r="AB78" t="inlineStr">
        <is>
          <t>No</t>
        </is>
      </c>
    </row>
    <row r="79">
      <c r="A79" t="inlineStr">
        <is>
          <t>2026-08-28</t>
        </is>
      </c>
      <c r="B79" t="inlineStr">
        <is>
          <t>11:12</t>
        </is>
      </c>
      <c r="C79" t="inlineStr">
        <is>
          <t>MNQ</t>
        </is>
      </c>
      <c r="D79" t="inlineStr">
        <is>
          <t>Short</t>
        </is>
      </c>
      <c r="E79" t="n">
        <v>-13.5</v>
      </c>
      <c r="F79" t="inlineStr">
        <is>
          <t>up</t>
        </is>
      </c>
      <c r="G79" t="inlineStr">
        <is>
          <t>up</t>
        </is>
      </c>
      <c r="H79" t="inlineStr">
        <is>
          <t>up</t>
        </is>
      </c>
      <c r="I79" t="inlineStr">
        <is>
          <t>up</t>
        </is>
      </c>
      <c r="J79" t="n">
        <v>60.3</v>
      </c>
      <c r="K79" t="inlineStr">
        <is>
          <t>bull</t>
        </is>
      </c>
      <c r="L79" t="inlineStr">
        <is>
          <t>+</t>
        </is>
      </c>
      <c r="M79" t="n">
        <v>22.7</v>
      </c>
      <c r="N79" t="n">
        <v>45.18</v>
      </c>
      <c r="O79" t="n">
        <v>29661.43</v>
      </c>
      <c r="P79" t="inlineStr">
        <is>
          <t>above</t>
        </is>
      </c>
      <c r="Q79" t="n">
        <v>29677.41</v>
      </c>
      <c r="R79" t="n">
        <v>1.43</v>
      </c>
      <c r="S79" t="n">
        <v>19065</v>
      </c>
      <c r="T79" t="n">
        <v>16</v>
      </c>
      <c r="U79" t="inlineStr">
        <is>
          <t>shallow</t>
        </is>
      </c>
      <c r="V79" t="inlineStr">
        <is>
          <t>No setup</t>
        </is>
      </c>
      <c r="W79" t="n">
        <v>0</v>
      </c>
      <c r="X79" t="inlineStr">
        <is>
          <t>Round</t>
        </is>
      </c>
      <c r="Z79" t="n">
        <v>0.62</v>
      </c>
      <c r="AA79" t="inlineStr">
        <is>
          <t>No</t>
        </is>
      </c>
      <c r="AB79" t="inlineStr">
        <is>
          <t>No</t>
        </is>
      </c>
    </row>
    <row r="80">
      <c r="A80" t="inlineStr">
        <is>
          <t>2026-08-28</t>
        </is>
      </c>
      <c r="B80" t="inlineStr">
        <is>
          <t>12:53</t>
        </is>
      </c>
      <c r="C80" t="inlineStr">
        <is>
          <t>MNQ</t>
        </is>
      </c>
      <c r="D80" t="inlineStr">
        <is>
          <t>Long</t>
        </is>
      </c>
      <c r="E80" t="n">
        <v>-162</v>
      </c>
      <c r="F80" t="inlineStr">
        <is>
          <t>flat</t>
        </is>
      </c>
      <c r="G80" t="inlineStr">
        <is>
          <t>up</t>
        </is>
      </c>
      <c r="H80" t="inlineStr">
        <is>
          <t>down</t>
        </is>
      </c>
      <c r="I80" t="inlineStr">
        <is>
          <t>down</t>
        </is>
      </c>
      <c r="J80" t="n">
        <v>39.7</v>
      </c>
      <c r="K80" t="inlineStr">
        <is>
          <t>bear</t>
        </is>
      </c>
      <c r="L80" t="inlineStr">
        <is>
          <t>-</t>
        </is>
      </c>
      <c r="M80" t="n">
        <v>31.6</v>
      </c>
      <c r="N80" t="n">
        <v>49.23</v>
      </c>
      <c r="O80" t="n">
        <v>29635.25</v>
      </c>
      <c r="P80" t="inlineStr">
        <is>
          <t>below</t>
        </is>
      </c>
      <c r="Q80" t="n">
        <v>29651.01</v>
      </c>
      <c r="R80" t="n">
        <v>1.55</v>
      </c>
      <c r="S80" t="n">
        <v>-22938</v>
      </c>
      <c r="T80" t="n">
        <v>14</v>
      </c>
      <c r="U80" t="inlineStr">
        <is>
          <t>extended (no pullback)</t>
        </is>
      </c>
      <c r="V80" t="inlineStr">
        <is>
          <t>No setup</t>
        </is>
      </c>
      <c r="W80" t="n">
        <v>0</v>
      </c>
      <c r="X80" t="inlineStr">
        <is>
          <t>Round</t>
        </is>
      </c>
      <c r="Y80" t="inlineStr">
        <is>
          <t>strong bearish close</t>
        </is>
      </c>
      <c r="Z80" t="n">
        <v>0.67</v>
      </c>
      <c r="AA80" t="inlineStr">
        <is>
          <t>No</t>
        </is>
      </c>
      <c r="AB80" t="inlineStr">
        <is>
          <t>No</t>
        </is>
      </c>
    </row>
    <row r="81">
      <c r="A81" t="inlineStr">
        <is>
          <t>2026-08-30</t>
        </is>
      </c>
      <c r="B81" t="inlineStr">
        <is>
          <t>18:03</t>
        </is>
      </c>
      <c r="C81" t="inlineStr">
        <is>
          <t>MGC</t>
        </is>
      </c>
      <c r="D81" t="inlineStr">
        <is>
          <t>Long</t>
        </is>
      </c>
      <c r="E81" t="n">
        <v>199</v>
      </c>
      <c r="F81" t="inlineStr">
        <is>
          <t>down</t>
        </is>
      </c>
      <c r="G81" t="inlineStr">
        <is>
          <t>down</t>
        </is>
      </c>
      <c r="H81" t="inlineStr">
        <is>
          <t>down</t>
        </is>
      </c>
      <c r="I81" t="inlineStr">
        <is>
          <t>down</t>
        </is>
      </c>
      <c r="J81" t="n">
        <v>41.4</v>
      </c>
      <c r="K81" t="inlineStr">
        <is>
          <t>bear</t>
        </is>
      </c>
      <c r="L81" t="inlineStr">
        <is>
          <t>+</t>
        </is>
      </c>
      <c r="M81" t="n">
        <v>41.8</v>
      </c>
      <c r="N81" t="n">
        <v>6.92</v>
      </c>
      <c r="T81" t="n">
        <v>87</v>
      </c>
      <c r="U81" t="inlineStr">
        <is>
          <t>broke the leg (reversal risk)</t>
        </is>
      </c>
      <c r="V81" t="inlineStr">
        <is>
          <t>No setup</t>
        </is>
      </c>
      <c r="W81" t="n">
        <v>0</v>
      </c>
      <c r="X81" t="inlineStr">
        <is>
          <t>Round</t>
        </is>
      </c>
      <c r="Z81" t="n">
        <v>0</v>
      </c>
      <c r="AA81" t="inlineStr">
        <is>
          <t>No</t>
        </is>
      </c>
      <c r="AB81" t="inlineStr">
        <is>
          <t>No</t>
        </is>
      </c>
    </row>
    <row r="82">
      <c r="A82" t="inlineStr">
        <is>
          <t>2026-08-30</t>
        </is>
      </c>
      <c r="B82" t="inlineStr">
        <is>
          <t>18:28</t>
        </is>
      </c>
      <c r="C82" t="inlineStr">
        <is>
          <t>MGC</t>
        </is>
      </c>
      <c r="D82" t="inlineStr">
        <is>
          <t>Short</t>
        </is>
      </c>
      <c r="E82" t="n">
        <v>25</v>
      </c>
      <c r="F82" t="inlineStr">
        <is>
          <t>down</t>
        </is>
      </c>
      <c r="G82" t="inlineStr">
        <is>
          <t>down</t>
        </is>
      </c>
      <c r="H82" t="inlineStr">
        <is>
          <t>down</t>
        </is>
      </c>
      <c r="I82" t="inlineStr">
        <is>
          <t>down</t>
        </is>
      </c>
      <c r="J82" t="n">
        <v>48.9</v>
      </c>
      <c r="K82" t="inlineStr">
        <is>
          <t>bear</t>
        </is>
      </c>
      <c r="L82" t="inlineStr">
        <is>
          <t>+</t>
        </is>
      </c>
      <c r="M82" t="n">
        <v>37.9</v>
      </c>
      <c r="N82" t="n">
        <v>6.88</v>
      </c>
      <c r="O82" t="n">
        <v>4508.79</v>
      </c>
      <c r="P82" t="inlineStr">
        <is>
          <t>above</t>
        </is>
      </c>
      <c r="Q82" t="n">
        <v>4507.59</v>
      </c>
      <c r="R82" t="n">
        <v>5.83</v>
      </c>
      <c r="S82" t="n">
        <v>1941</v>
      </c>
      <c r="T82" t="n">
        <v>32</v>
      </c>
      <c r="U82" t="inlineStr">
        <is>
          <t>shallow</t>
        </is>
      </c>
      <c r="V82" t="inlineStr">
        <is>
          <t>Good</t>
        </is>
      </c>
      <c r="W82" t="n">
        <v>2</v>
      </c>
      <c r="X82" t="inlineStr">
        <is>
          <t>Round</t>
        </is>
      </c>
      <c r="Y82" t="inlineStr">
        <is>
          <t>bearish engulfing</t>
        </is>
      </c>
      <c r="Z82" t="n">
        <v>1.74</v>
      </c>
      <c r="AA82" t="inlineStr">
        <is>
          <t>Yes</t>
        </is>
      </c>
      <c r="AB82" t="inlineStr">
        <is>
          <t>Yes</t>
        </is>
      </c>
    </row>
    <row r="83">
      <c r="A83" t="inlineStr">
        <is>
          <t>2026-08-30</t>
        </is>
      </c>
      <c r="B83" t="inlineStr">
        <is>
          <t>21:25</t>
        </is>
      </c>
      <c r="C83" t="inlineStr">
        <is>
          <t>MGC</t>
        </is>
      </c>
      <c r="D83" t="inlineStr">
        <is>
          <t>Short</t>
        </is>
      </c>
      <c r="E83" t="n">
        <v>42</v>
      </c>
      <c r="F83" t="inlineStr">
        <is>
          <t>down</t>
        </is>
      </c>
      <c r="G83" t="inlineStr">
        <is>
          <t>down</t>
        </is>
      </c>
      <c r="H83" t="inlineStr">
        <is>
          <t>down</t>
        </is>
      </c>
      <c r="I83" t="inlineStr">
        <is>
          <t>down</t>
        </is>
      </c>
      <c r="J83" t="n">
        <v>41.9</v>
      </c>
      <c r="K83" t="inlineStr">
        <is>
          <t>bear</t>
        </is>
      </c>
      <c r="L83" t="inlineStr">
        <is>
          <t>-</t>
        </is>
      </c>
      <c r="M83" t="n">
        <v>18.1</v>
      </c>
      <c r="N83" t="n">
        <v>9.199999999999999</v>
      </c>
      <c r="O83" t="n">
        <v>4505.22</v>
      </c>
      <c r="P83" t="inlineStr">
        <is>
          <t>below</t>
        </is>
      </c>
      <c r="Q83" t="n">
        <v>4507.43</v>
      </c>
      <c r="R83" t="n">
        <v>1.08</v>
      </c>
      <c r="S83" t="n">
        <v>4282</v>
      </c>
      <c r="T83" t="n">
        <v>23</v>
      </c>
      <c r="U83" t="inlineStr">
        <is>
          <t>shallow</t>
        </is>
      </c>
      <c r="V83" t="inlineStr">
        <is>
          <t>No setup</t>
        </is>
      </c>
      <c r="W83" t="n">
        <v>0</v>
      </c>
      <c r="X83" t="inlineStr">
        <is>
          <t>No</t>
        </is>
      </c>
      <c r="Y83" t="inlineStr">
        <is>
          <t>strong bearish close</t>
        </is>
      </c>
      <c r="Z83" t="n">
        <v>0.58</v>
      </c>
      <c r="AA83" t="inlineStr">
        <is>
          <t>Yes</t>
        </is>
      </c>
      <c r="AB83" t="inlineStr">
        <is>
          <t>Yes</t>
        </is>
      </c>
    </row>
    <row r="84">
      <c r="A84" t="inlineStr">
        <is>
          <t>2026-08-30</t>
        </is>
      </c>
      <c r="B84" t="inlineStr">
        <is>
          <t>23:30</t>
        </is>
      </c>
      <c r="C84" t="inlineStr">
        <is>
          <t>MGC</t>
        </is>
      </c>
      <c r="D84" t="inlineStr">
        <is>
          <t>Short</t>
        </is>
      </c>
      <c r="E84" t="n">
        <v>326</v>
      </c>
      <c r="F84" t="inlineStr">
        <is>
          <t>down</t>
        </is>
      </c>
      <c r="G84" t="inlineStr">
        <is>
          <t>down</t>
        </is>
      </c>
      <c r="H84" t="inlineStr">
        <is>
          <t>down</t>
        </is>
      </c>
      <c r="I84" t="inlineStr">
        <is>
          <t>down</t>
        </is>
      </c>
      <c r="J84" t="n">
        <v>43.7</v>
      </c>
      <c r="K84" t="inlineStr">
        <is>
          <t>bear</t>
        </is>
      </c>
      <c r="L84" t="inlineStr">
        <is>
          <t>-</t>
        </is>
      </c>
      <c r="M84" t="n">
        <v>37.5</v>
      </c>
      <c r="N84" t="n">
        <v>9.85</v>
      </c>
      <c r="O84" t="n">
        <v>4492.2</v>
      </c>
      <c r="P84" t="inlineStr">
        <is>
          <t>below</t>
        </is>
      </c>
      <c r="Q84" t="n">
        <v>4507.27</v>
      </c>
      <c r="R84" t="n">
        <v>1.24</v>
      </c>
      <c r="S84" t="n">
        <v>1730</v>
      </c>
      <c r="T84" t="n">
        <v>32</v>
      </c>
      <c r="U84" t="inlineStr">
        <is>
          <t>shallow</t>
        </is>
      </c>
      <c r="V84" t="inlineStr">
        <is>
          <t>Good</t>
        </is>
      </c>
      <c r="W84" t="n">
        <v>2</v>
      </c>
      <c r="X84" t="inlineStr">
        <is>
          <t>Round</t>
        </is>
      </c>
      <c r="Y84" t="inlineStr">
        <is>
          <t>strong bullish close</t>
        </is>
      </c>
      <c r="Z84" t="n">
        <v>0.29</v>
      </c>
      <c r="AA84" t="inlineStr">
        <is>
          <t>Yes</t>
        </is>
      </c>
      <c r="AB84" t="inlineStr">
        <is>
          <t>Yes</t>
        </is>
      </c>
    </row>
    <row r="85">
      <c r="A85" t="inlineStr">
        <is>
          <t>2026-08-31</t>
        </is>
      </c>
      <c r="B85" t="inlineStr">
        <is>
          <t>00:07</t>
        </is>
      </c>
      <c r="C85" t="inlineStr">
        <is>
          <t>MGC</t>
        </is>
      </c>
      <c r="D85" t="inlineStr">
        <is>
          <t>Short</t>
        </is>
      </c>
      <c r="E85" t="n">
        <v>47</v>
      </c>
      <c r="F85" t="inlineStr">
        <is>
          <t>down</t>
        </is>
      </c>
      <c r="G85" t="inlineStr">
        <is>
          <t>down</t>
        </is>
      </c>
      <c r="H85" t="inlineStr">
        <is>
          <t>down</t>
        </is>
      </c>
      <c r="I85" t="inlineStr">
        <is>
          <t>down</t>
        </is>
      </c>
      <c r="J85" t="n">
        <v>42.3</v>
      </c>
      <c r="K85" t="inlineStr">
        <is>
          <t>bear</t>
        </is>
      </c>
      <c r="L85" t="inlineStr">
        <is>
          <t>+</t>
        </is>
      </c>
      <c r="M85" t="n">
        <v>36.6</v>
      </c>
      <c r="N85" t="n">
        <v>8.94</v>
      </c>
      <c r="O85" t="n">
        <v>4491.95</v>
      </c>
      <c r="P85" t="inlineStr">
        <is>
          <t>below</t>
        </is>
      </c>
      <c r="Q85" t="n">
        <v>4507.27</v>
      </c>
      <c r="R85" t="n">
        <v>1.17</v>
      </c>
      <c r="S85" t="n">
        <v>1674</v>
      </c>
      <c r="T85" t="n">
        <v>30</v>
      </c>
      <c r="U85" t="inlineStr">
        <is>
          <t>shallow</t>
        </is>
      </c>
      <c r="V85" t="inlineStr">
        <is>
          <t>Weak</t>
        </is>
      </c>
      <c r="W85" t="n">
        <v>1</v>
      </c>
      <c r="X85" t="inlineStr">
        <is>
          <t>Round</t>
        </is>
      </c>
      <c r="Z85" t="n">
        <v>0.3</v>
      </c>
      <c r="AA85" t="inlineStr">
        <is>
          <t>Yes</t>
        </is>
      </c>
      <c r="AB8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2026-08-31T16:56:49Z</dcterms:modified>
  <cp:lastModifiedBy>Abdul Basit</cp:lastModifiedBy>
</cp:coreProperties>
</file>