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Indicators" sheetId="5" state="visible" r:id="rId5"/>
    <sheet xmlns:r="http://schemas.openxmlformats.org/officeDocument/2006/relationships" name="Economic News" sheetId="6" state="visible" r:id="rId6"/>
    <sheet xmlns:r="http://schemas.openxmlformats.org/officeDocument/2006/relationships" name="Analysis" sheetId="7" state="visible" r:id="rId7"/>
    <sheet xmlns:r="http://schemas.openxmlformats.org/officeDocument/2006/relationships" name="AI Sugges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92</v>
      </c>
      <c r="B87" s="22" t="n">
        <v>46265</v>
      </c>
      <c r="C87" s="10" t="n">
        <v>0.03986111111111111</v>
      </c>
      <c r="D87" s="5" t="inlineStr">
        <is>
          <t>MGC</t>
        </is>
      </c>
      <c r="E87" s="5" t="inlineStr">
        <is>
          <t>Long</t>
        </is>
      </c>
      <c r="F87" s="5" t="n">
        <v>4473.6</v>
      </c>
      <c r="G87" s="5" t="n">
        <v>4472.7</v>
      </c>
      <c r="H87" s="5" t="n">
        <v>3</v>
      </c>
      <c r="I87" s="5" t="n"/>
      <c r="J87" s="5" t="n"/>
      <c r="K87" s="8">
        <f>IF(AND(I87&lt;&gt;"",J87&lt;&gt;"",F87&lt;&gt;""), (J87-F87)/(F87-I87), "")</f>
        <v/>
      </c>
      <c r="L87" s="8">
        <f>IF(AND(F87&lt;&gt;"",G87&lt;&gt;"",I87&lt;&gt;""), (G87-F87)/(F87-I87), "")</f>
        <v/>
      </c>
      <c r="M87" s="5">
        <f>IF(N87&gt;0,"Win",IF(N87&lt;0,"Loss",""))</f>
        <v/>
      </c>
      <c r="N87" s="16">
        <f>IF(AND(F87&lt;&gt;"",G87&lt;&gt;"",H87&lt;&gt;"",D87&lt;&gt;""), IF(E87="Long", (G87-F87)*H87*VLOOKUP(D87,Multipliers!A:B,2,FALSE), (F87-G87)*H87*VLOOKUP(D87,Multipliers!A:B,2,FALSE)), "")</f>
        <v/>
      </c>
      <c r="O87" s="9">
        <f>IF(AND(N87&lt;&gt;"",F87&lt;&gt;"",H87&lt;&gt;"",D87&lt;&gt;""), N87/(F87*H87*VLOOKUP(D87,Multipliers!A:B,2,FALSE)), "")</f>
        <v/>
      </c>
      <c r="P87" s="5">
        <f>P86+N87</f>
        <v/>
      </c>
      <c r="Q87" s="5" t="inlineStr">
        <is>
          <t>Break and Retest</t>
        </is>
      </c>
      <c r="R87" s="5" t="inlineStr">
        <is>
          <t>Imported from Tradovate</t>
        </is>
      </c>
      <c r="S87" s="5" t="inlineStr">
        <is>
          <t>MGC</t>
        </is>
      </c>
      <c r="T87" s="5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93</v>
      </c>
      <c r="B88" s="22" t="n">
        <v>46265</v>
      </c>
      <c r="C88" s="10" t="n">
        <v>0.4046875</v>
      </c>
      <c r="D88" s="5" t="inlineStr">
        <is>
          <t>MNQ</t>
        </is>
      </c>
      <c r="E88" s="5" t="inlineStr">
        <is>
          <t>Short</t>
        </is>
      </c>
      <c r="F88" s="5" t="n">
        <v>29429</v>
      </c>
      <c r="G88" s="5" t="n">
        <v>29395.5</v>
      </c>
      <c r="H88" s="5" t="n">
        <v>2</v>
      </c>
      <c r="I88" s="5" t="n">
        <v>29454</v>
      </c>
      <c r="J88" s="5" t="n">
        <v>29395.5</v>
      </c>
      <c r="K88" s="8">
        <f>IF(AND(I88&lt;&gt;"",J88&lt;&gt;"",F88&lt;&gt;""), (J88-F88)/(F88-I88), "")</f>
        <v/>
      </c>
      <c r="L88" s="8">
        <f>IF(AND(F88&lt;&gt;"",G88&lt;&gt;"",I88&lt;&gt;""), (G88-F88)/(F88-I88), "")</f>
        <v/>
      </c>
      <c r="M88" s="5">
        <f>IF(N88&gt;0,"Win",IF(N88&lt;0,"Loss",""))</f>
        <v/>
      </c>
      <c r="N88" s="16">
        <f>IF(AND(F88&lt;&gt;"",G88&lt;&gt;"",H88&lt;&gt;"",D88&lt;&gt;""), IF(E88="Long", (G88-F88)*H88*VLOOKUP(D88,Multipliers!A:B,2,FALSE), (F88-G88)*H88*VLOOKUP(D88,Multipliers!A:B,2,FALSE)), "")</f>
        <v/>
      </c>
      <c r="O88" s="9">
        <f>IF(AND(N88&lt;&gt;"",F88&lt;&gt;"",H88&lt;&gt;"",D88&lt;&gt;""), N88/(F88*H88*VLOOKUP(D88,Multipliers!A:B,2,FALSE)), "")</f>
        <v/>
      </c>
      <c r="P88" s="5">
        <f>P87+N88</f>
        <v/>
      </c>
      <c r="Q88" s="5" t="inlineStr">
        <is>
          <t>Break and Retest</t>
        </is>
      </c>
      <c r="R88" s="5" t="inlineStr">
        <is>
          <t>Imported from Tradovate</t>
        </is>
      </c>
      <c r="S88" s="11" t="inlineStr">
        <is>
          <t>MNQ</t>
        </is>
      </c>
      <c r="T88" s="11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94</v>
      </c>
      <c r="B89" s="22" t="n">
        <v>46265</v>
      </c>
      <c r="C89" s="10" t="n">
        <v>0.4141898148148148</v>
      </c>
      <c r="D89" s="5" t="inlineStr">
        <is>
          <t>MNQ</t>
        </is>
      </c>
      <c r="E89" s="5" t="inlineStr">
        <is>
          <t>Long</t>
        </is>
      </c>
      <c r="F89" s="5" t="n">
        <v>29460.75</v>
      </c>
      <c r="G89" s="5" t="n">
        <v>29439.25</v>
      </c>
      <c r="H89" s="5" t="n">
        <v>3</v>
      </c>
      <c r="I89" s="5" t="n">
        <v>29439.25</v>
      </c>
      <c r="J89" s="5" t="n">
        <v>29468</v>
      </c>
      <c r="K89" s="8">
        <f>IF(AND(I89&lt;&gt;"",J89&lt;&gt;"",F89&lt;&gt;""), (J89-F89)/(F89-I89), "")</f>
        <v/>
      </c>
      <c r="L89" s="8">
        <f>IF(AND(F89&lt;&gt;"",G89&lt;&gt;"",I89&lt;&gt;""), (G89-F89)/(F89-I89), "")</f>
        <v/>
      </c>
      <c r="M89" s="5">
        <f>IF(N89&gt;0,"Win",IF(N89&lt;0,"Loss",""))</f>
        <v/>
      </c>
      <c r="N89" s="16">
        <f>IF(AND(F89&lt;&gt;"",G89&lt;&gt;"",H89&lt;&gt;"",D89&lt;&gt;""), IF(E89="Long", (G89-F89)*H89*VLOOKUP(D89,Multipliers!A:B,2,FALSE), (F89-G89)*H89*VLOOKUP(D89,Multipliers!A:B,2,FALSE)), "")</f>
        <v/>
      </c>
      <c r="O89" s="9">
        <f>IF(AND(N89&lt;&gt;"",F89&lt;&gt;"",H89&lt;&gt;"",D89&lt;&gt;""), N89/(F89*H89*VLOOKUP(D89,Multipliers!A:B,2,FALSE)), "")</f>
        <v/>
      </c>
      <c r="P89" s="5">
        <f>P88+N89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95</v>
      </c>
      <c r="B90" s="22" t="n">
        <v>46265</v>
      </c>
      <c r="C90" s="10" t="n">
        <v>0.424074074074074</v>
      </c>
      <c r="D90" s="5" t="inlineStr">
        <is>
          <t>MGC</t>
        </is>
      </c>
      <c r="E90" s="5" t="inlineStr">
        <is>
          <t>Long</t>
        </is>
      </c>
      <c r="F90" s="5" t="n">
        <v>4475.3</v>
      </c>
      <c r="G90" s="5" t="n">
        <v>4472.8</v>
      </c>
      <c r="H90" s="5" t="n">
        <v>3</v>
      </c>
      <c r="I90" s="5" t="n"/>
      <c r="J90" s="5" t="n"/>
      <c r="K90" s="8">
        <f>IF(AND(I90&lt;&gt;"",J90&lt;&gt;"",F90&lt;&gt;""), (J90-F90)/(F90-I90), "")</f>
        <v/>
      </c>
      <c r="L90" s="8">
        <f>IF(AND(F90&lt;&gt;"",G90&lt;&gt;"",I90&lt;&gt;""), (G90-F90)/(F90-I90), "")</f>
        <v/>
      </c>
      <c r="M90" s="5">
        <f>IF(N90&gt;0,"Win",IF(N90&lt;0,"Loss",""))</f>
        <v/>
      </c>
      <c r="N90" s="16">
        <f>IF(AND(F90&lt;&gt;"",G90&lt;&gt;"",H90&lt;&gt;"",D90&lt;&gt;""), IF(E90="Long", (G90-F90)*H90*VLOOKUP(D90,Multipliers!A:B,2,FALSE), (F90-G90)*H90*VLOOKUP(D90,Multipliers!A:B,2,FALSE)), "")</f>
        <v/>
      </c>
      <c r="O90" s="9">
        <f>IF(AND(N90&lt;&gt;"",F90&lt;&gt;"",H90&lt;&gt;"",D90&lt;&gt;""), N90/(F90*H90*VLOOKUP(D90,Multipliers!A:B,2,FALSE)), "")</f>
        <v/>
      </c>
      <c r="P90" s="5">
        <f>P89+N90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MGC</t>
        </is>
      </c>
      <c r="T90" s="5" t="n"/>
      <c r="U90" s="5" t="n"/>
      <c r="V90" s="5" t="inlineStr">
        <is>
          <t>Revenge trade, 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96</v>
      </c>
      <c r="B91" s="22" t="n">
        <v>46265</v>
      </c>
      <c r="C91" s="10" t="n">
        <v>0.4248032407407407</v>
      </c>
      <c r="D91" s="5" t="inlineStr">
        <is>
          <t>MNQ</t>
        </is>
      </c>
      <c r="E91" s="5" t="inlineStr">
        <is>
          <t>Short</t>
        </is>
      </c>
      <c r="F91" s="5" t="n">
        <v>29395</v>
      </c>
      <c r="G91" s="5" t="n">
        <v>29415</v>
      </c>
      <c r="H91" s="5" t="n">
        <v>3</v>
      </c>
      <c r="I91" s="5" t="n">
        <v>29415</v>
      </c>
      <c r="J91" s="5" t="n">
        <v>29394</v>
      </c>
      <c r="K91" s="8">
        <f>IF(AND(I91&lt;&gt;"",J91&lt;&gt;"",F91&lt;&gt;""), (J91-F91)/(F91-I91), "")</f>
        <v/>
      </c>
      <c r="L91" s="8">
        <f>IF(AND(F91&lt;&gt;"",G91&lt;&gt;"",I91&lt;&gt;""), (G91-F91)/(F91-I91), "")</f>
        <v/>
      </c>
      <c r="M91" s="5">
        <f>IF(N91&gt;0,"Win",IF(N91&lt;0,"Loss",""))</f>
        <v/>
      </c>
      <c r="N91" s="16">
        <f>IF(AND(F91&lt;&gt;"",G91&lt;&gt;"",H91&lt;&gt;"",D91&lt;&gt;""), IF(E91="Long", (G91-F91)*H91*VLOOKUP(D91,Multipliers!A:B,2,FALSE), (F91-G91)*H91*VLOOKUP(D91,Multipliers!A:B,2,FALSE)), "")</f>
        <v/>
      </c>
      <c r="O91" s="9">
        <f>IF(AND(N91&lt;&gt;"",F91&lt;&gt;"",H91&lt;&gt;"",D91&lt;&gt;""), N91/(F91*H91*VLOOKUP(D91,Multipliers!A:B,2,FALSE)), "")</f>
        <v/>
      </c>
      <c r="P91" s="5">
        <f>P90+N91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Revenge trade, 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97</v>
      </c>
      <c r="B92" s="22" t="n">
        <v>46265</v>
      </c>
      <c r="C92" s="10" t="n">
        <v>0.4452083333333333</v>
      </c>
      <c r="D92" s="5" t="inlineStr">
        <is>
          <t>MNQ</t>
        </is>
      </c>
      <c r="E92" s="5" t="inlineStr">
        <is>
          <t>Long</t>
        </is>
      </c>
      <c r="F92" s="5" t="n">
        <v>29410</v>
      </c>
      <c r="G92" s="5" t="n">
        <v>29435</v>
      </c>
      <c r="H92" s="5" t="n">
        <v>5</v>
      </c>
      <c r="I92" s="5" t="n">
        <v>29400</v>
      </c>
      <c r="J92" s="5" t="n">
        <v>29435</v>
      </c>
      <c r="K92" s="8">
        <f>IF(AND(I92&lt;&gt;"",J92&lt;&gt;"",F92&lt;&gt;""), (J92-F92)/(F92-I92), "")</f>
        <v/>
      </c>
      <c r="L92" s="8">
        <f>IF(AND(F92&lt;&gt;"",G92&lt;&gt;"",I92&lt;&gt;""), (G92-F92)/(F92-I92), "")</f>
        <v/>
      </c>
      <c r="M92" s="5">
        <f>IF(N92&gt;0,"Win",IF(N92&lt;0,"Loss",""))</f>
        <v/>
      </c>
      <c r="N92" s="16">
        <f>IF(AND(F92&lt;&gt;"",G92&lt;&gt;"",H92&lt;&gt;"",D92&lt;&gt;""), IF(E92="Long", (G92-F92)*H92*VLOOKUP(D92,Multipliers!A:B,2,FALSE), (F92-G92)*H92*VLOOKUP(D92,Multipliers!A:B,2,FALSE)), "")</f>
        <v/>
      </c>
      <c r="O92" s="9">
        <f>IF(AND(N92&lt;&gt;"",F92&lt;&gt;"",H92&lt;&gt;"",D92&lt;&gt;""), N92/(F92*H92*VLOOKUP(D92,Multipliers!A:B,2,FALSE)), "")</f>
        <v/>
      </c>
      <c r="P92" s="5">
        <f>P91+N92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98</v>
      </c>
      <c r="B93" s="22" t="n">
        <v>46265</v>
      </c>
      <c r="C93" s="10" t="n">
        <v>0.4496643518518518</v>
      </c>
      <c r="D93" s="5" t="inlineStr">
        <is>
          <t>MNQ</t>
        </is>
      </c>
      <c r="E93" s="5" t="inlineStr">
        <is>
          <t>Long</t>
        </is>
      </c>
      <c r="F93" s="5" t="n">
        <v>29408.5</v>
      </c>
      <c r="G93" s="5" t="n">
        <v>29399.75</v>
      </c>
      <c r="H93" s="5" t="n">
        <v>5</v>
      </c>
      <c r="I93" s="5" t="n">
        <v>29392.75</v>
      </c>
      <c r="J93" s="5" t="n">
        <v>29443.25</v>
      </c>
      <c r="K93" s="8">
        <f>IF(AND(I93&lt;&gt;"",J93&lt;&gt;"",F93&lt;&gt;""), (J93-F93)/(F93-I93), "")</f>
        <v/>
      </c>
      <c r="L93" s="8">
        <f>IF(AND(F93&lt;&gt;"",G93&lt;&gt;"",I93&lt;&gt;""), (G93-F93)/(F93-I93), "")</f>
        <v/>
      </c>
      <c r="M93" s="5">
        <f>IF(N93&gt;0,"Win",IF(N93&lt;0,"Loss",""))</f>
        <v/>
      </c>
      <c r="N93" s="16">
        <f>IF(AND(F93&lt;&gt;"",G93&lt;&gt;"",H93&lt;&gt;"",D93&lt;&gt;""), IF(E93="Long", (G93-F93)*H93*VLOOKUP(D93,Multipliers!A:B,2,FALSE), (F93-G93)*H93*VLOOKUP(D93,Multipliers!A:B,2,FALSE)), "")</f>
        <v/>
      </c>
      <c r="O93" s="9">
        <f>IF(AND(N93&lt;&gt;"",F93&lt;&gt;"",H93&lt;&gt;"",D93&lt;&gt;""), N93/(F93*H93*VLOOKUP(D93,Multipliers!A:B,2,FALSE)), "")</f>
        <v/>
      </c>
      <c r="P93" s="5">
        <f>P92+N93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MNQ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99</v>
      </c>
      <c r="B94" s="22" t="n">
        <v>46265</v>
      </c>
      <c r="C94" s="10" t="n">
        <v>0.4505324074074074</v>
      </c>
      <c r="D94" s="5" t="inlineStr">
        <is>
          <t>MNQ</t>
        </is>
      </c>
      <c r="E94" s="5" t="inlineStr">
        <is>
          <t>Long</t>
        </is>
      </c>
      <c r="F94" s="5" t="n">
        <v>29401.5</v>
      </c>
      <c r="G94" s="5" t="n">
        <v>29392</v>
      </c>
      <c r="H94" s="5" t="n">
        <v>3</v>
      </c>
      <c r="I94" s="5" t="n">
        <v>29392.75</v>
      </c>
      <c r="J94" s="5" t="n">
        <v>29443.25</v>
      </c>
      <c r="K94" s="8">
        <f>IF(AND(I94&lt;&gt;"",J94&lt;&gt;"",F94&lt;&gt;""), (J94-F94)/(F94-I94), "")</f>
        <v/>
      </c>
      <c r="L94" s="8">
        <f>IF(AND(F94&lt;&gt;"",G94&lt;&gt;"",I94&lt;&gt;""), (G94-F94)/(F94-I94), "")</f>
        <v/>
      </c>
      <c r="M94" s="5">
        <f>IF(N94&gt;0,"Win",IF(N94&lt;0,"Loss",""))</f>
        <v/>
      </c>
      <c r="N94" s="16">
        <f>IF(AND(F94&lt;&gt;"",G94&lt;&gt;"",H94&lt;&gt;"",D94&lt;&gt;""), IF(E94="Long", (G94-F94)*H94*VLOOKUP(D94,Multipliers!A:B,2,FALSE), (F94-G94)*H94*VLOOKUP(D94,Multipliers!A:B,2,FALSE)), "")</f>
        <v/>
      </c>
      <c r="O94" s="9">
        <f>IF(AND(N94&lt;&gt;"",F94&lt;&gt;"",H94&lt;&gt;"",D94&lt;&gt;""), N94/(F94*H94*VLOOKUP(D94,Multipliers!A:B,2,FALSE)), "")</f>
        <v/>
      </c>
      <c r="P94" s="5">
        <f>P93+N94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MNQ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>
        <v>100</v>
      </c>
      <c r="B95" s="22" t="n">
        <v>46265</v>
      </c>
      <c r="C95" s="10" t="n">
        <v>0.4174305555555556</v>
      </c>
      <c r="D95" s="5" t="inlineStr">
        <is>
          <t>MGC</t>
        </is>
      </c>
      <c r="E95" s="5" t="inlineStr">
        <is>
          <t>Short</t>
        </is>
      </c>
      <c r="F95" s="5" t="n">
        <v>4472.7</v>
      </c>
      <c r="G95" s="5" t="n">
        <v>4475.3</v>
      </c>
      <c r="H95" s="5" t="n">
        <v>3</v>
      </c>
      <c r="I95" s="5" t="n">
        <v>4479.7</v>
      </c>
      <c r="J95" s="5" t="n"/>
      <c r="K95" s="8">
        <f>IF(AND(I95&lt;&gt;"",J95&lt;&gt;"",F95&lt;&gt;""), (J95-F95)/(F95-I95), "")</f>
        <v/>
      </c>
      <c r="L95" s="8">
        <f>IF(AND(F95&lt;&gt;"",G95&lt;&gt;"",I95&lt;&gt;""), (G95-F95)/(F95-I95), "")</f>
        <v/>
      </c>
      <c r="M95" s="5">
        <f>IF(N95&gt;0,"Win",IF(N95&lt;0,"Loss",""))</f>
        <v/>
      </c>
      <c r="N95" s="16">
        <f>IF(AND(F95&lt;&gt;"",G95&lt;&gt;"",H95&lt;&gt;"",D95&lt;&gt;""), IF(E95="Long", (G95-F95)*H95*VLOOKUP(D95,Multipliers!A:B,2,FALSE), (F95-G95)*H95*VLOOKUP(D95,Multipliers!A:B,2,FALSE)), "")</f>
        <v/>
      </c>
      <c r="O95" s="9">
        <f>IF(AND(N95&lt;&gt;"",F95&lt;&gt;"",H95&lt;&gt;"",D95&lt;&gt;""), N95/(F95*H95*VLOOKUP(D95,Multipliers!A:B,2,FALSE)), "")</f>
        <v/>
      </c>
      <c r="P95" s="5">
        <f>P94+N95</f>
        <v/>
      </c>
      <c r="Q95" s="5" t="inlineStr"/>
      <c r="R95" s="5" t="inlineStr">
        <is>
          <t>Imported from Tradovate</t>
        </is>
      </c>
      <c r="S95" s="5" t="inlineStr">
        <is>
          <t>MGC</t>
        </is>
      </c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>
        <v>101</v>
      </c>
      <c r="B96" s="22" t="n">
        <v>46265</v>
      </c>
      <c r="C96" s="10" t="n">
        <v>0.4366087962962963</v>
      </c>
      <c r="D96" s="5" t="inlineStr">
        <is>
          <t>MGC</t>
        </is>
      </c>
      <c r="E96" s="5" t="inlineStr">
        <is>
          <t>Short</t>
        </is>
      </c>
      <c r="F96" s="5" t="n">
        <v>4472.8</v>
      </c>
      <c r="G96" s="5" t="n">
        <v>4477</v>
      </c>
      <c r="H96" s="5" t="n">
        <v>3</v>
      </c>
      <c r="I96" s="5" t="n">
        <v>4476.9</v>
      </c>
      <c r="J96" s="5" t="n">
        <v>4464.8</v>
      </c>
      <c r="K96" s="8">
        <f>IF(AND(I96&lt;&gt;"",J96&lt;&gt;"",F96&lt;&gt;""), (J96-F96)/(F96-I96), "")</f>
        <v/>
      </c>
      <c r="L96" s="8">
        <f>IF(AND(F96&lt;&gt;"",G96&lt;&gt;"",I96&lt;&gt;""), (G96-F96)/(F96-I96), "")</f>
        <v/>
      </c>
      <c r="M96" s="5">
        <f>IF(N96&gt;0,"Win",IF(N96&lt;0,"Loss",""))</f>
        <v/>
      </c>
      <c r="N96" s="16">
        <f>IF(AND(F96&lt;&gt;"",G96&lt;&gt;"",H96&lt;&gt;"",D96&lt;&gt;""), IF(E96="Long", (G96-F96)*H96*VLOOKUP(D96,Multipliers!A:B,2,FALSE), (F96-G96)*H96*VLOOKUP(D96,Multipliers!A:B,2,FALSE)), "")</f>
        <v/>
      </c>
      <c r="O96" s="9">
        <f>IF(AND(N96&lt;&gt;"",F96&lt;&gt;"",H96&lt;&gt;"",D96&lt;&gt;""), N96/(F96*H96*VLOOKUP(D96,Multipliers!A:B,2,FALSE)), "")</f>
        <v/>
      </c>
      <c r="P96" s="5">
        <f>P95+N96</f>
        <v/>
      </c>
      <c r="Q96" s="5" t="inlineStr"/>
      <c r="R96" s="5" t="inlineStr">
        <is>
          <t>Imported from Tradovate</t>
        </is>
      </c>
      <c r="S96" s="5" t="inlineStr">
        <is>
          <t>MGC</t>
        </is>
      </c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>
        <v>102</v>
      </c>
      <c r="B97" s="22" t="n">
        <v>46265</v>
      </c>
      <c r="C97" s="10" t="n">
        <v>0.4551273148148148</v>
      </c>
      <c r="D97" s="5" t="inlineStr">
        <is>
          <t>MGC</t>
        </is>
      </c>
      <c r="E97" s="5" t="inlineStr">
        <is>
          <t>Short</t>
        </is>
      </c>
      <c r="F97" s="5" t="n">
        <v>4483.6</v>
      </c>
      <c r="G97" s="5" t="n">
        <v>4478.2</v>
      </c>
      <c r="H97" s="5" t="n">
        <v>2</v>
      </c>
      <c r="I97" s="5" t="n">
        <v>4487.8</v>
      </c>
      <c r="J97" s="5" t="n">
        <v>4478.2</v>
      </c>
      <c r="K97" s="8">
        <f>IF(AND(I97&lt;&gt;"",J97&lt;&gt;"",F97&lt;&gt;""), (J97-F97)/(F97-I97), "")</f>
        <v/>
      </c>
      <c r="L97" s="8">
        <f>IF(AND(F97&lt;&gt;"",G97&lt;&gt;"",I97&lt;&gt;""), (G97-F97)/(F97-I97), "")</f>
        <v/>
      </c>
      <c r="M97" s="5">
        <f>IF(N97&gt;0,"Win",IF(N97&lt;0,"Loss",""))</f>
        <v/>
      </c>
      <c r="N97" s="16">
        <f>IF(AND(F97&lt;&gt;"",G97&lt;&gt;"",H97&lt;&gt;"",D97&lt;&gt;""), IF(E97="Long", (G97-F97)*H97*VLOOKUP(D97,Multipliers!A:B,2,FALSE), (F97-G97)*H97*VLOOKUP(D97,Multipliers!A:B,2,FALSE)), "")</f>
        <v/>
      </c>
      <c r="O97" s="9">
        <f>IF(AND(N97&lt;&gt;"",F97&lt;&gt;"",H97&lt;&gt;"",D97&lt;&gt;""), N97/(F97*H97*VLOOKUP(D97,Multipliers!A:B,2,FALSE)), "")</f>
        <v/>
      </c>
      <c r="P97" s="5">
        <f>P96+N97</f>
        <v/>
      </c>
      <c r="Q97" s="5" t="inlineStr"/>
      <c r="R97" s="5" t="inlineStr">
        <is>
          <t>Imported from Tradovate</t>
        </is>
      </c>
      <c r="S97" s="5" t="inlineStr">
        <is>
          <t>MGC</t>
        </is>
      </c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IF(AND(N124&lt;&gt;"",F124&lt;&gt;"",H124&lt;&gt;"",D124&lt;&gt;""), N124/(F124*H124*VLOOKUP(D124,Multipliers!A:B,2,FALSE)),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IF(AND(N125&lt;&gt;"",F125&lt;&gt;"",H125&lt;&gt;"",D125&lt;&gt;""), N125/(F125*H125*VLOOKUP(D125,Multipliers!A:B,2,FALSE)),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IF(AND(N126&lt;&gt;"",F126&lt;&gt;"",H126&lt;&gt;"",D126&lt;&gt;""), N126/(F126*H126*VLOOKUP(D126,Multipliers!A:B,2,FALSE)),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9">
        <f>IF(AND(N127&lt;&gt;"",F127&lt;&gt;"",H127&lt;&gt;"",D127&lt;&gt;""), N127/(F127*H127*VLOOKUP(D127,Multipliers!A:B,2,FALSE)), "")</f>
        <v/>
      </c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9">
        <f>IF(AND(N128&lt;&gt;"",F128&lt;&gt;"",H128&lt;&gt;"",D128&lt;&gt;""), N128/(F128*H128*VLOOKUP(D128,Multipliers!A:B,2,FALSE)), "")</f>
        <v/>
      </c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>
      <c r="A999" s="5" t="n"/>
      <c r="B999" s="6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8" t="n"/>
      <c r="L999" s="8" t="n"/>
      <c r="M999" s="5" t="n"/>
      <c r="N999" s="16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>
      <c r="A1000" s="5" t="n"/>
      <c r="B1000" s="6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8" t="n"/>
      <c r="L1000" s="8" t="n"/>
      <c r="M1000" s="5" t="n"/>
      <c r="N1000" s="16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1.53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1.33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1.94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1.17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0.8</v>
      </c>
      <c r="S13" t="n">
        <v>-21162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1.16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0.78</v>
      </c>
      <c r="S17" t="n">
        <v>-16673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-16919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0.87</v>
      </c>
      <c r="S19" t="n">
        <v>-16809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bearish engulfing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-20548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0.63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1.08</v>
      </c>
      <c r="S23" t="n">
        <v>33318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bullish engulfing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0.5600000000000001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896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4.21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0.6899999999999999</v>
      </c>
      <c r="S28" t="n">
        <v>-759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>
        <is>
          <t>bearish engulfing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1.02</v>
      </c>
      <c r="S29" t="n">
        <v>-24836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0.74</v>
      </c>
      <c r="S30" t="n">
        <v>-26489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0.74</v>
      </c>
      <c r="S31" t="n">
        <v>-24912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0.77</v>
      </c>
      <c r="S32" t="n">
        <v>-25695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0.67</v>
      </c>
      <c r="S33" t="n">
        <v>-10161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0.64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</v>
      </c>
      <c r="S35" t="n">
        <v>-4114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1.51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0.87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1.22</v>
      </c>
      <c r="S38" t="n">
        <v>-16698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1.44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1.36</v>
      </c>
      <c r="S39" t="n">
        <v>-12869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0.97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0.74</v>
      </c>
      <c r="S42" t="n">
        <v>-19271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0.86</v>
      </c>
      <c r="S44" t="n">
        <v>-30960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0.89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1.07</v>
      </c>
      <c r="S46" t="n">
        <v>16090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bearish close</t>
        </is>
      </c>
      <c r="Z48" t="n">
        <v>1.17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1.73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1.06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3.05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3.53</v>
      </c>
      <c r="S51" t="n">
        <v>-764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1.84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0.92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engulfing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0.83</v>
      </c>
      <c r="S55" t="n">
        <v>-22771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0.91</v>
      </c>
      <c r="S56" t="n">
        <v>-28547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1.35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1.16</v>
      </c>
      <c r="S58" t="n">
        <v>-12925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1.76</v>
      </c>
      <c r="S59" t="n">
        <v>-15569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0.62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1.15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19153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1.07</v>
      </c>
      <c r="S68" t="n">
        <v>18721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1</v>
      </c>
      <c r="S69" t="n">
        <v>14869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0.61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1.27</v>
      </c>
      <c r="S70" t="n">
        <v>14789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bullish engulfing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1.27</v>
      </c>
      <c r="S72" t="n">
        <v>16639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0.51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Y74" t="inlineStr">
        <is>
          <t>bullish engulfing</t>
        </is>
      </c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0.78</v>
      </c>
      <c r="S75" t="n">
        <v>-1346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9.59</v>
      </c>
      <c r="S76" t="n">
        <v>-4681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53.9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29621.34</v>
      </c>
      <c r="P77" t="inlineStr">
        <is>
          <t>above</t>
        </is>
      </c>
      <c r="Q77" t="n">
        <v>29597.96</v>
      </c>
      <c r="R77" t="n">
        <v>1.34</v>
      </c>
      <c r="S77" t="n">
        <v>-1405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64.59999999999999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29632.07</v>
      </c>
      <c r="P78" t="inlineStr">
        <is>
          <t>above</t>
        </is>
      </c>
      <c r="Q78" t="n">
        <v>29597.61</v>
      </c>
      <c r="R78" t="n">
        <v>1.62</v>
      </c>
      <c r="S78" t="n">
        <v>7992</v>
      </c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60.3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1.43</v>
      </c>
      <c r="S79" t="n">
        <v>19065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1.57</v>
      </c>
      <c r="S80" t="n">
        <v>-22938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down</t>
        </is>
      </c>
      <c r="J81" t="n">
        <v>41.4</v>
      </c>
      <c r="K81" t="inlineStr">
        <is>
          <t>bear</t>
        </is>
      </c>
      <c r="L81" t="inlineStr">
        <is>
          <t>+</t>
        </is>
      </c>
      <c r="M81" t="n">
        <v>41.8</v>
      </c>
      <c r="N81" t="n">
        <v>6.92</v>
      </c>
      <c r="T81" t="n">
        <v>87</v>
      </c>
      <c r="U81" t="inlineStr">
        <is>
          <t>broke the leg (reversal risk)</t>
        </is>
      </c>
      <c r="V81" t="inlineStr">
        <is>
          <t>No setup</t>
        </is>
      </c>
      <c r="W81" t="n">
        <v>0</v>
      </c>
      <c r="X81" t="inlineStr">
        <is>
          <t>Round</t>
        </is>
      </c>
      <c r="Z81" t="n">
        <v>0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down</t>
        </is>
      </c>
      <c r="J82" t="n">
        <v>48.9</v>
      </c>
      <c r="K82" t="inlineStr">
        <is>
          <t>bear</t>
        </is>
      </c>
      <c r="L82" t="inlineStr">
        <is>
          <t>+</t>
        </is>
      </c>
      <c r="M82" t="n">
        <v>37.9</v>
      </c>
      <c r="N82" t="n">
        <v>6.88</v>
      </c>
      <c r="O82" t="n">
        <v>4508.79</v>
      </c>
      <c r="P82" t="inlineStr">
        <is>
          <t>above</t>
        </is>
      </c>
      <c r="Q82" t="n">
        <v>4507.59</v>
      </c>
      <c r="R82" t="n">
        <v>5.83</v>
      </c>
      <c r="S82" t="n">
        <v>1941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1.74</v>
      </c>
      <c r="AA82" t="inlineStr">
        <is>
          <t>Yes</t>
        </is>
      </c>
      <c r="AB82" t="inlineStr">
        <is>
          <t>Yes</t>
        </is>
      </c>
    </row>
    <row r="83">
      <c r="A83" t="inlineStr">
        <is>
          <t>2026-08-30</t>
        </is>
      </c>
      <c r="B83" t="inlineStr">
        <is>
          <t>21:25</t>
        </is>
      </c>
      <c r="C83" t="inlineStr">
        <is>
          <t>MGC</t>
        </is>
      </c>
      <c r="D83" t="inlineStr">
        <is>
          <t>Short</t>
        </is>
      </c>
      <c r="E83" t="n">
        <v>42</v>
      </c>
      <c r="F83" t="inlineStr">
        <is>
          <t>down</t>
        </is>
      </c>
      <c r="G83" t="inlineStr">
        <is>
          <t>down</t>
        </is>
      </c>
      <c r="H83" t="inlineStr">
        <is>
          <t>down</t>
        </is>
      </c>
      <c r="I83" t="inlineStr">
        <is>
          <t>down</t>
        </is>
      </c>
      <c r="J83" t="n">
        <v>41.9</v>
      </c>
      <c r="K83" t="inlineStr">
        <is>
          <t>bear</t>
        </is>
      </c>
      <c r="L83" t="inlineStr">
        <is>
          <t>-</t>
        </is>
      </c>
      <c r="M83" t="n">
        <v>18.1</v>
      </c>
      <c r="N83" t="n">
        <v>9.199999999999999</v>
      </c>
      <c r="O83" t="n">
        <v>4505.22</v>
      </c>
      <c r="P83" t="inlineStr">
        <is>
          <t>below</t>
        </is>
      </c>
      <c r="Q83" t="n">
        <v>4507.43</v>
      </c>
      <c r="R83" t="n">
        <v>1.08</v>
      </c>
      <c r="S83" t="n">
        <v>4282</v>
      </c>
      <c r="T83" t="n">
        <v>23</v>
      </c>
      <c r="U83" t="inlineStr">
        <is>
          <t>shallow</t>
        </is>
      </c>
      <c r="V83" t="inlineStr">
        <is>
          <t>No setup</t>
        </is>
      </c>
      <c r="W83" t="n">
        <v>0</v>
      </c>
      <c r="X83" t="inlineStr">
        <is>
          <t>No</t>
        </is>
      </c>
      <c r="Y83" t="inlineStr">
        <is>
          <t>strong bearish close</t>
        </is>
      </c>
      <c r="Z83" t="n">
        <v>0.58</v>
      </c>
      <c r="AA83" t="inlineStr">
        <is>
          <t>Yes</t>
        </is>
      </c>
      <c r="AB83" t="inlineStr">
        <is>
          <t>Yes</t>
        </is>
      </c>
    </row>
    <row r="84">
      <c r="A84" t="inlineStr">
        <is>
          <t>2026-08-30</t>
        </is>
      </c>
      <c r="B84" t="inlineStr">
        <is>
          <t>23:30</t>
        </is>
      </c>
      <c r="C84" t="inlineStr">
        <is>
          <t>MGC</t>
        </is>
      </c>
      <c r="D84" t="inlineStr">
        <is>
          <t>Short</t>
        </is>
      </c>
      <c r="E84" t="n">
        <v>326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45.4</v>
      </c>
      <c r="K84" t="inlineStr">
        <is>
          <t>bear</t>
        </is>
      </c>
      <c r="L84" t="inlineStr">
        <is>
          <t>+</t>
        </is>
      </c>
      <c r="M84" t="n">
        <v>27.7</v>
      </c>
      <c r="N84" t="n">
        <v>7.94</v>
      </c>
      <c r="O84" t="n">
        <v>4490.93</v>
      </c>
      <c r="P84" t="inlineStr">
        <is>
          <t>below</t>
        </is>
      </c>
      <c r="Q84" t="n">
        <v>4507.27</v>
      </c>
      <c r="R84" t="n">
        <v>1.52</v>
      </c>
      <c r="S84" t="n">
        <v>232</v>
      </c>
      <c r="T84" t="n">
        <v>36</v>
      </c>
      <c r="U84" t="inlineStr">
        <is>
          <t>shallow</t>
        </is>
      </c>
      <c r="V84" t="inlineStr">
        <is>
          <t>Good</t>
        </is>
      </c>
      <c r="W84" t="n">
        <v>2</v>
      </c>
      <c r="X84" t="inlineStr">
        <is>
          <t>Round</t>
        </is>
      </c>
      <c r="Y84" t="inlineStr">
        <is>
          <t>strong bearish close</t>
        </is>
      </c>
      <c r="Z84" t="n">
        <v>0.38</v>
      </c>
      <c r="AA84" t="inlineStr">
        <is>
          <t>No</t>
        </is>
      </c>
      <c r="AB84" t="inlineStr">
        <is>
          <t>Yes</t>
        </is>
      </c>
    </row>
    <row r="85">
      <c r="A85" t="inlineStr">
        <is>
          <t>2026-08-31</t>
        </is>
      </c>
      <c r="B85" t="inlineStr">
        <is>
          <t>00:07</t>
        </is>
      </c>
      <c r="C85" t="inlineStr">
        <is>
          <t>MGC</t>
        </is>
      </c>
      <c r="D85" t="inlineStr">
        <is>
          <t>Short</t>
        </is>
      </c>
      <c r="E85" t="n">
        <v>47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41.7</v>
      </c>
      <c r="K85" t="inlineStr">
        <is>
          <t>bear</t>
        </is>
      </c>
      <c r="L85" t="inlineStr">
        <is>
          <t>+</t>
        </is>
      </c>
      <c r="M85" t="n">
        <v>23.9</v>
      </c>
      <c r="N85" t="n">
        <v>6.09</v>
      </c>
      <c r="O85" t="n">
        <v>4490.26</v>
      </c>
      <c r="P85" t="inlineStr">
        <is>
          <t>below</t>
        </is>
      </c>
      <c r="Q85" t="n">
        <v>4507.27</v>
      </c>
      <c r="R85" t="n">
        <v>1.17</v>
      </c>
      <c r="S85" t="n">
        <v>-210</v>
      </c>
      <c r="T85" t="n">
        <v>30</v>
      </c>
      <c r="U85" t="inlineStr">
        <is>
          <t>shallow</t>
        </is>
      </c>
      <c r="V85" t="inlineStr">
        <is>
          <t>Weak</t>
        </is>
      </c>
      <c r="W85" t="n">
        <v>1</v>
      </c>
      <c r="X85" t="inlineStr">
        <is>
          <t>Round</t>
        </is>
      </c>
      <c r="Z85" t="n">
        <v>0.44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2026-08-31</t>
        </is>
      </c>
      <c r="B86" t="inlineStr">
        <is>
          <t>00:11</t>
        </is>
      </c>
      <c r="C86" t="inlineStr">
        <is>
          <t>MGC</t>
        </is>
      </c>
      <c r="D86" t="inlineStr">
        <is>
          <t>Long</t>
        </is>
      </c>
      <c r="E86" t="n">
        <v>46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up</t>
        </is>
      </c>
      <c r="J86" t="n">
        <v>45.4</v>
      </c>
      <c r="K86" t="inlineStr">
        <is>
          <t>bear</t>
        </is>
      </c>
      <c r="L86" t="inlineStr">
        <is>
          <t>+</t>
        </is>
      </c>
      <c r="M86" t="n">
        <v>23.2</v>
      </c>
      <c r="N86" t="n">
        <v>6.08</v>
      </c>
      <c r="O86" t="n">
        <v>4489.9</v>
      </c>
      <c r="P86" t="inlineStr">
        <is>
          <t>below</t>
        </is>
      </c>
      <c r="Q86" t="n">
        <v>4507.27</v>
      </c>
      <c r="R86" t="n">
        <v>3.91</v>
      </c>
      <c r="S86" t="n">
        <v>233</v>
      </c>
      <c r="T86" t="n">
        <v>44</v>
      </c>
      <c r="U86" t="inlineStr">
        <is>
          <t>golden</t>
        </is>
      </c>
      <c r="V86" t="inlineStr">
        <is>
          <t>Weak</t>
        </is>
      </c>
      <c r="W86" t="n">
        <v>1</v>
      </c>
      <c r="X86" t="inlineStr">
        <is>
          <t>No</t>
        </is>
      </c>
      <c r="Y86" t="inlineStr">
        <is>
          <t>bullish engulfing</t>
        </is>
      </c>
      <c r="Z86" t="n">
        <v>1.39</v>
      </c>
      <c r="AA86" t="inlineStr">
        <is>
          <t>No</t>
        </is>
      </c>
      <c r="AB86" t="inlineStr">
        <is>
          <t>No</t>
        </is>
      </c>
    </row>
    <row r="87">
      <c r="A87" t="inlineStr">
        <is>
          <t>2026-08-31</t>
        </is>
      </c>
      <c r="B87" t="inlineStr">
        <is>
          <t>00:57</t>
        </is>
      </c>
      <c r="C87" t="inlineStr">
        <is>
          <t>MGC</t>
        </is>
      </c>
      <c r="D87" t="inlineStr">
        <is>
          <t>Long</t>
        </is>
      </c>
      <c r="E87" t="n">
        <v>-27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53.1</v>
      </c>
      <c r="K87" t="inlineStr">
        <is>
          <t>bear</t>
        </is>
      </c>
      <c r="L87" t="inlineStr">
        <is>
          <t>+</t>
        </is>
      </c>
      <c r="M87" t="n">
        <v>16.3</v>
      </c>
      <c r="N87" t="n">
        <v>5.07</v>
      </c>
      <c r="O87" t="n">
        <v>4489</v>
      </c>
      <c r="P87" t="inlineStr">
        <is>
          <t>below</t>
        </is>
      </c>
      <c r="Q87" t="n">
        <v>4507.27</v>
      </c>
      <c r="R87" t="n">
        <v>2.48</v>
      </c>
      <c r="S87" t="n">
        <v>934</v>
      </c>
      <c r="T87" t="n">
        <v>26</v>
      </c>
      <c r="U87" t="inlineStr">
        <is>
          <t>shallow</t>
        </is>
      </c>
      <c r="V87" t="inlineStr">
        <is>
          <t>Weak</t>
        </is>
      </c>
      <c r="W87" t="n">
        <v>1</v>
      </c>
      <c r="X87" t="inlineStr">
        <is>
          <t>No</t>
        </is>
      </c>
      <c r="Y87" t="inlineStr">
        <is>
          <t>strong bullish close</t>
        </is>
      </c>
      <c r="Z87" t="n">
        <v>1.24</v>
      </c>
      <c r="AA87" t="inlineStr">
        <is>
          <t>No</t>
        </is>
      </c>
      <c r="AB87" t="inlineStr">
        <is>
          <t>No</t>
        </is>
      </c>
    </row>
    <row r="88">
      <c r="A88" t="inlineStr">
        <is>
          <t>2026-08-31</t>
        </is>
      </c>
      <c r="B88" t="inlineStr">
        <is>
          <t>09:42</t>
        </is>
      </c>
      <c r="C88" t="inlineStr">
        <is>
          <t>MNQ</t>
        </is>
      </c>
      <c r="D88" t="inlineStr">
        <is>
          <t>Short</t>
        </is>
      </c>
      <c r="E88" t="n">
        <v>134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45.8</v>
      </c>
      <c r="K88" t="inlineStr">
        <is>
          <t>bear</t>
        </is>
      </c>
      <c r="L88" t="inlineStr">
        <is>
          <t>+</t>
        </is>
      </c>
      <c r="M88" t="n">
        <v>20.5</v>
      </c>
      <c r="N88" t="n">
        <v>32.05</v>
      </c>
      <c r="O88" t="n">
        <v>29437.27</v>
      </c>
      <c r="P88" t="inlineStr">
        <is>
          <t>below</t>
        </is>
      </c>
      <c r="Q88" t="n">
        <v>29467.73</v>
      </c>
      <c r="R88" t="n">
        <v>0.89</v>
      </c>
      <c r="S88" t="n">
        <v>-14094</v>
      </c>
      <c r="T88" t="n">
        <v>31</v>
      </c>
      <c r="U88" t="inlineStr">
        <is>
          <t>shallow</t>
        </is>
      </c>
      <c r="V88" t="inlineStr">
        <is>
          <t>A+</t>
        </is>
      </c>
      <c r="W88" t="n">
        <v>3</v>
      </c>
      <c r="X88" t="inlineStr">
        <is>
          <t>PDL</t>
        </is>
      </c>
      <c r="Y88" t="inlineStr">
        <is>
          <t>bearish pin</t>
        </is>
      </c>
      <c r="Z88" t="n">
        <v>4.01</v>
      </c>
      <c r="AA88" t="inlineStr">
        <is>
          <t>No</t>
        </is>
      </c>
      <c r="AB88" t="inlineStr">
        <is>
          <t>Yes</t>
        </is>
      </c>
    </row>
    <row r="89">
      <c r="A89" t="inlineStr">
        <is>
          <t>2026-08-31</t>
        </is>
      </c>
      <c r="B89" t="inlineStr">
        <is>
          <t>09:56</t>
        </is>
      </c>
      <c r="C89" t="inlineStr">
        <is>
          <t>MNQ</t>
        </is>
      </c>
      <c r="D89" t="inlineStr">
        <is>
          <t>Long</t>
        </is>
      </c>
      <c r="E89" t="n">
        <v>-129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up</t>
        </is>
      </c>
      <c r="J89" t="n">
        <v>52.2</v>
      </c>
      <c r="K89" t="inlineStr">
        <is>
          <t>bull</t>
        </is>
      </c>
      <c r="L89" t="inlineStr">
        <is>
          <t>+</t>
        </is>
      </c>
      <c r="M89" t="n">
        <v>24.9</v>
      </c>
      <c r="N89" t="n">
        <v>38.19</v>
      </c>
      <c r="O89" t="n">
        <v>29438.28</v>
      </c>
      <c r="P89" t="inlineStr">
        <is>
          <t>above</t>
        </is>
      </c>
      <c r="Q89" t="n">
        <v>29466.76</v>
      </c>
      <c r="R89" t="n">
        <v>0.74</v>
      </c>
      <c r="S89" t="n">
        <v>-8659</v>
      </c>
      <c r="T89" t="n">
        <v>40</v>
      </c>
      <c r="U89" t="inlineStr">
        <is>
          <t>golden</t>
        </is>
      </c>
      <c r="V89" t="inlineStr">
        <is>
          <t>Good</t>
        </is>
      </c>
      <c r="W89" t="n">
        <v>2</v>
      </c>
      <c r="X89" t="inlineStr">
        <is>
          <t>Round</t>
        </is>
      </c>
      <c r="Y89" t="inlineStr">
        <is>
          <t>strong bearish close</t>
        </is>
      </c>
      <c r="Z89" t="n">
        <v>1.68</v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2026-08-31</t>
        </is>
      </c>
      <c r="B90" t="inlineStr">
        <is>
          <t>10:10</t>
        </is>
      </c>
      <c r="C90" t="inlineStr">
        <is>
          <t>MGC</t>
        </is>
      </c>
      <c r="D90" t="inlineStr">
        <is>
          <t>Long</t>
        </is>
      </c>
      <c r="E90" t="n">
        <v>-75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down</t>
        </is>
      </c>
      <c r="J90" t="n">
        <v>37.8</v>
      </c>
      <c r="K90" t="inlineStr">
        <is>
          <t>bear</t>
        </is>
      </c>
      <c r="L90" t="inlineStr">
        <is>
          <t>-</t>
        </is>
      </c>
      <c r="M90" t="n">
        <v>33.4</v>
      </c>
      <c r="N90" t="n">
        <v>6.72</v>
      </c>
      <c r="O90" t="n">
        <v>4478.66</v>
      </c>
      <c r="P90" t="inlineStr">
        <is>
          <t>below</t>
        </is>
      </c>
      <c r="Q90" t="n">
        <v>4474.83</v>
      </c>
      <c r="R90" t="n">
        <v>0.65</v>
      </c>
      <c r="S90" t="n">
        <v>-3696</v>
      </c>
      <c r="T90" t="n">
        <v>26</v>
      </c>
      <c r="U90" t="inlineStr">
        <is>
          <t>shallow</t>
        </is>
      </c>
      <c r="V90" t="inlineStr">
        <is>
          <t>Weak</t>
        </is>
      </c>
      <c r="W90" t="n">
        <v>1</v>
      </c>
      <c r="X90" t="inlineStr">
        <is>
          <t>No</t>
        </is>
      </c>
      <c r="Y90" t="inlineStr">
        <is>
          <t>strong bullish close</t>
        </is>
      </c>
      <c r="Z90" t="n">
        <v>0.59</v>
      </c>
      <c r="AA90" t="inlineStr">
        <is>
          <t>No</t>
        </is>
      </c>
      <c r="AB90" t="inlineStr">
        <is>
          <t>No</t>
        </is>
      </c>
    </row>
    <row r="91">
      <c r="A91" t="inlineStr">
        <is>
          <t>2026-08-31</t>
        </is>
      </c>
      <c r="B91" t="inlineStr">
        <is>
          <t>10:11</t>
        </is>
      </c>
      <c r="C91" t="inlineStr">
        <is>
          <t>MNQ</t>
        </is>
      </c>
      <c r="D91" t="inlineStr">
        <is>
          <t>Short</t>
        </is>
      </c>
      <c r="E91" t="n">
        <v>-120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down</t>
        </is>
      </c>
      <c r="J91" t="n">
        <v>44.6</v>
      </c>
      <c r="K91" t="inlineStr">
        <is>
          <t>bear</t>
        </is>
      </c>
      <c r="L91" t="inlineStr">
        <is>
          <t>-</t>
        </is>
      </c>
      <c r="M91" t="n">
        <v>22.4</v>
      </c>
      <c r="N91" t="n">
        <v>39.3</v>
      </c>
      <c r="O91" t="n">
        <v>29429.98</v>
      </c>
      <c r="P91" t="inlineStr">
        <is>
          <t>below</t>
        </is>
      </c>
      <c r="Q91" t="n">
        <v>29467.56</v>
      </c>
      <c r="R91" t="n">
        <v>0.79</v>
      </c>
      <c r="S91" t="n">
        <v>-18288</v>
      </c>
      <c r="T91" t="n">
        <v>16</v>
      </c>
      <c r="U91" t="inlineStr">
        <is>
          <t>shallow</t>
        </is>
      </c>
      <c r="V91" t="inlineStr">
        <is>
          <t>A+</t>
        </is>
      </c>
      <c r="W91" t="n">
        <v>3</v>
      </c>
      <c r="X91" t="inlineStr">
        <is>
          <t>ORL/Round</t>
        </is>
      </c>
      <c r="Z91" t="n">
        <v>1.19</v>
      </c>
      <c r="AA91" t="inlineStr">
        <is>
          <t>Yes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10:41</t>
        </is>
      </c>
      <c r="C92" t="inlineStr">
        <is>
          <t>MNQ</t>
        </is>
      </c>
      <c r="D92" t="inlineStr">
        <is>
          <t>Long</t>
        </is>
      </c>
      <c r="E92" t="n">
        <v>250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down</t>
        </is>
      </c>
      <c r="J92" t="n">
        <v>52.5</v>
      </c>
      <c r="K92" t="inlineStr">
        <is>
          <t>bear</t>
        </is>
      </c>
      <c r="L92" t="inlineStr">
        <is>
          <t>+</t>
        </is>
      </c>
      <c r="M92" t="n">
        <v>19.4</v>
      </c>
      <c r="N92" t="n">
        <v>40.2</v>
      </c>
      <c r="O92" t="n">
        <v>29420.35</v>
      </c>
      <c r="P92" t="inlineStr">
        <is>
          <t>below</t>
        </is>
      </c>
      <c r="Q92" t="n">
        <v>29429.81</v>
      </c>
      <c r="R92" t="n">
        <v>0.98</v>
      </c>
      <c r="S92" t="n">
        <v>-15004</v>
      </c>
      <c r="T92" t="n">
        <v>31</v>
      </c>
      <c r="U92" t="inlineStr">
        <is>
          <t>shallow</t>
        </is>
      </c>
      <c r="V92" t="inlineStr">
        <is>
          <t>Good</t>
        </is>
      </c>
      <c r="W92" t="n">
        <v>2</v>
      </c>
      <c r="X92" t="inlineStr">
        <is>
          <t>Round</t>
        </is>
      </c>
      <c r="Z92" t="n">
        <v>0.83</v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2026-08-31</t>
        </is>
      </c>
      <c r="B93" t="inlineStr">
        <is>
          <t>10:47</t>
        </is>
      </c>
      <c r="C93" t="inlineStr">
        <is>
          <t>MNQ</t>
        </is>
      </c>
      <c r="D93" t="inlineStr">
        <is>
          <t>Long</t>
        </is>
      </c>
      <c r="E93" t="n">
        <v>-87.5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46.3</v>
      </c>
      <c r="K93" t="inlineStr">
        <is>
          <t>bear</t>
        </is>
      </c>
      <c r="L93" t="inlineStr">
        <is>
          <t>+</t>
        </is>
      </c>
      <c r="M93" t="n">
        <v>19</v>
      </c>
      <c r="N93" t="n">
        <v>40.48</v>
      </c>
      <c r="O93" t="n">
        <v>29419.89</v>
      </c>
      <c r="P93" t="inlineStr">
        <is>
          <t>below</t>
        </is>
      </c>
      <c r="Q93" t="n">
        <v>29429.81</v>
      </c>
      <c r="R93" t="n">
        <v>0.8</v>
      </c>
      <c r="S93" t="n">
        <v>-18068</v>
      </c>
      <c r="T93" t="n">
        <v>33</v>
      </c>
      <c r="U93" t="inlineStr">
        <is>
          <t>shallow</t>
        </is>
      </c>
      <c r="V93" t="inlineStr">
        <is>
          <t>Good</t>
        </is>
      </c>
      <c r="W93" t="n">
        <v>2</v>
      </c>
      <c r="X93" t="inlineStr">
        <is>
          <t>Round</t>
        </is>
      </c>
      <c r="Y93" t="inlineStr">
        <is>
          <t>bearish engulfing</t>
        </is>
      </c>
      <c r="Z93" t="n">
        <v>0.68</v>
      </c>
      <c r="AA93" t="inlineStr">
        <is>
          <t>No</t>
        </is>
      </c>
      <c r="AB93" t="inlineStr">
        <is>
          <t>No</t>
        </is>
      </c>
    </row>
    <row r="94">
      <c r="A94" t="inlineStr">
        <is>
          <t>2026-08-31</t>
        </is>
      </c>
      <c r="B94" t="inlineStr">
        <is>
          <t>10:48</t>
        </is>
      </c>
      <c r="C94" t="inlineStr">
        <is>
          <t>MNQ</t>
        </is>
      </c>
      <c r="D94" t="inlineStr">
        <is>
          <t>Long</t>
        </is>
      </c>
      <c r="E94" t="n">
        <v>-57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46.3</v>
      </c>
      <c r="K94" t="inlineStr">
        <is>
          <t>bear</t>
        </is>
      </c>
      <c r="L94" t="inlineStr">
        <is>
          <t>+</t>
        </is>
      </c>
      <c r="M94" t="n">
        <v>19</v>
      </c>
      <c r="N94" t="n">
        <v>40.48</v>
      </c>
      <c r="O94" t="n">
        <v>29419.89</v>
      </c>
      <c r="P94" t="inlineStr">
        <is>
          <t>below</t>
        </is>
      </c>
      <c r="Q94" t="n">
        <v>29429.81</v>
      </c>
      <c r="R94" t="n">
        <v>0.8</v>
      </c>
      <c r="S94" t="n">
        <v>-18068</v>
      </c>
      <c r="T94" t="n">
        <v>42</v>
      </c>
      <c r="U94" t="inlineStr">
        <is>
          <t>golden</t>
        </is>
      </c>
      <c r="V94" t="inlineStr">
        <is>
          <t>Good</t>
        </is>
      </c>
      <c r="W94" t="n">
        <v>2</v>
      </c>
      <c r="X94" t="inlineStr">
        <is>
          <t>ORL/Round</t>
        </is>
      </c>
      <c r="Y94" t="inlineStr">
        <is>
          <t>bearish engulfing</t>
        </is>
      </c>
      <c r="Z94" t="n">
        <v>0.68</v>
      </c>
      <c r="AA94" t="inlineStr">
        <is>
          <t>No</t>
        </is>
      </c>
      <c r="AB94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2026-08-31 13:16</t>
        </is>
      </c>
    </row>
    <row r="3">
      <c r="A3" t="inlineStr">
        <is>
          <t>Date range</t>
        </is>
      </c>
      <c r="B3" t="inlineStr">
        <is>
          <t>2026-08-11 → 2026-08-31</t>
        </is>
      </c>
    </row>
    <row r="4">
      <c r="A4" t="inlineStr">
        <is>
          <t>Trades</t>
        </is>
      </c>
      <c r="B4" t="n">
        <v>93</v>
      </c>
    </row>
    <row r="5">
      <c r="A5" t="inlineStr">
        <is>
          <t>Win rate</t>
        </is>
      </c>
      <c r="B5" t="inlineStr">
        <is>
          <t>54.8%</t>
        </is>
      </c>
    </row>
    <row r="6">
      <c r="A6" t="inlineStr">
        <is>
          <t>Total P&amp;L</t>
        </is>
      </c>
      <c r="B6" t="n">
        <v>2383</v>
      </c>
    </row>
    <row r="7">
      <c r="A7" t="inlineStr">
        <is>
          <t>Profit factor</t>
        </is>
      </c>
      <c r="B7" t="n">
        <v>1.3</v>
      </c>
    </row>
    <row r="8">
      <c r="A8" t="inlineStr">
        <is>
          <t>Expectancy / trade</t>
        </is>
      </c>
      <c r="B8" t="n">
        <v>25.62</v>
      </c>
    </row>
    <row r="9">
      <c r="A9" t="inlineStr">
        <is>
          <t>Avg win</t>
        </is>
      </c>
      <c r="B9" t="n">
        <v>204.53</v>
      </c>
    </row>
    <row r="10">
      <c r="A10" t="inlineStr">
        <is>
          <t>Avg loss</t>
        </is>
      </c>
      <c r="B10" t="n">
        <v>-191.62</v>
      </c>
    </row>
    <row r="11">
      <c r="A11" t="inlineStr">
        <is>
          <t>Avg RR targeted</t>
        </is>
      </c>
      <c r="B11" t="n">
        <v>1.35</v>
      </c>
    </row>
    <row r="12">
      <c r="A12" t="inlineStr">
        <is>
          <t>Avg RR realized</t>
        </is>
      </c>
      <c r="B12" t="n">
        <v>0.04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88</v>
      </c>
      <c r="C19" t="inlineStr">
        <is>
          <t>53%</t>
        </is>
      </c>
      <c r="D19" t="n">
        <v>1924</v>
      </c>
      <c r="E19" t="n">
        <v>21.86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51</v>
      </c>
      <c r="C27" t="inlineStr">
        <is>
          <t>57%</t>
        </is>
      </c>
      <c r="D27" t="n">
        <v>2021</v>
      </c>
      <c r="E27" t="n">
        <v>39.63</v>
      </c>
    </row>
    <row r="28">
      <c r="A28" t="inlineStr">
        <is>
          <t>MNQ</t>
        </is>
      </c>
      <c r="B28" t="n">
        <v>42</v>
      </c>
      <c r="C28" t="inlineStr">
        <is>
          <t>52%</t>
        </is>
      </c>
      <c r="D28" t="n">
        <v>362</v>
      </c>
      <c r="E28" t="n">
        <v>8.619999999999999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52</v>
      </c>
      <c r="C32" t="inlineStr">
        <is>
          <t>50%</t>
        </is>
      </c>
      <c r="D32" t="n">
        <v>2269.5</v>
      </c>
      <c r="E32" t="n">
        <v>43.64</v>
      </c>
    </row>
    <row r="33">
      <c r="A33" t="inlineStr">
        <is>
          <t>Short</t>
        </is>
      </c>
      <c r="B33" t="n">
        <v>41</v>
      </c>
      <c r="C33" t="inlineStr">
        <is>
          <t>61%</t>
        </is>
      </c>
      <c r="D33" t="n">
        <v>113.5</v>
      </c>
      <c r="E33" t="n">
        <v>2.77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4</v>
      </c>
      <c r="C37" t="inlineStr">
        <is>
          <t>75%</t>
        </is>
      </c>
      <c r="D37" t="n">
        <v>82</v>
      </c>
      <c r="E37" t="n">
        <v>20.5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21</v>
      </c>
      <c r="C40" t="inlineStr">
        <is>
          <t>43%</t>
        </is>
      </c>
      <c r="D40" t="n">
        <v>206</v>
      </c>
      <c r="E40" t="n">
        <v>9.81</v>
      </c>
    </row>
    <row r="41">
      <c r="A41" t="inlineStr">
        <is>
          <t>11:00</t>
        </is>
      </c>
      <c r="B41" t="n">
        <v>10</v>
      </c>
      <c r="C41" t="inlineStr">
        <is>
          <t>40%</t>
        </is>
      </c>
      <c r="D41" t="n">
        <v>-139</v>
      </c>
      <c r="E41" t="n">
        <v>-13.9</v>
      </c>
    </row>
    <row r="42">
      <c r="A42" t="inlineStr">
        <is>
          <t>12:00</t>
        </is>
      </c>
      <c r="B42" t="n">
        <v>6</v>
      </c>
      <c r="C42" t="inlineStr">
        <is>
          <t>83%</t>
        </is>
      </c>
      <c r="D42" t="n">
        <v>-2</v>
      </c>
      <c r="E42" t="n">
        <v>-0.33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2</v>
      </c>
      <c r="C44" t="inlineStr">
        <is>
          <t>0%</t>
        </is>
      </c>
      <c r="D44" t="n">
        <v>-402</v>
      </c>
      <c r="E44" t="n">
        <v>-201</v>
      </c>
    </row>
    <row r="45">
      <c r="A45" t="inlineStr">
        <is>
          <t>15:00</t>
        </is>
      </c>
      <c r="B45" t="n">
        <v>1</v>
      </c>
      <c r="C45" t="inlineStr">
        <is>
          <t>0%</t>
        </is>
      </c>
      <c r="D45" t="n">
        <v>-120</v>
      </c>
      <c r="E45" t="n">
        <v>-120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4</v>
      </c>
      <c r="C48" t="inlineStr">
        <is>
          <t>50%</t>
        </is>
      </c>
      <c r="D48" t="n">
        <v>457</v>
      </c>
      <c r="E48" t="n">
        <v>114.25</v>
      </c>
    </row>
    <row r="49">
      <c r="A49" t="inlineStr">
        <is>
          <t>21:00</t>
        </is>
      </c>
      <c r="B49" t="n">
        <v>6</v>
      </c>
      <c r="C49" t="inlineStr">
        <is>
          <t>83%</t>
        </is>
      </c>
      <c r="D49" t="n">
        <v>545</v>
      </c>
      <c r="E49" t="n">
        <v>90.83</v>
      </c>
    </row>
    <row r="50">
      <c r="A50" t="inlineStr">
        <is>
          <t>22:00</t>
        </is>
      </c>
      <c r="B50" t="n">
        <v>5</v>
      </c>
      <c r="C50" t="inlineStr">
        <is>
          <t>40%</t>
        </is>
      </c>
      <c r="D50" t="n">
        <v>1886</v>
      </c>
      <c r="E50" t="n">
        <v>377.2</v>
      </c>
    </row>
    <row r="51">
      <c r="A51" t="inlineStr">
        <is>
          <t>23:00</t>
        </is>
      </c>
      <c r="B51" t="n">
        <v>6</v>
      </c>
      <c r="C51" t="inlineStr">
        <is>
          <t>50%</t>
        </is>
      </c>
      <c r="D51" t="n">
        <v>-479</v>
      </c>
      <c r="E51" t="n">
        <v>-79.83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9</v>
      </c>
      <c r="C55" t="inlineStr">
        <is>
          <t>56%</t>
        </is>
      </c>
      <c r="D55" t="n">
        <v>1387</v>
      </c>
      <c r="E55" t="n">
        <v>154.11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Wed</t>
        </is>
      </c>
      <c r="B58" t="n">
        <v>25</v>
      </c>
      <c r="C58" t="inlineStr">
        <is>
          <t>60%</t>
        </is>
      </c>
      <c r="D58" t="n">
        <v>-8.5</v>
      </c>
      <c r="E58" t="n">
        <v>-0.34</v>
      </c>
    </row>
    <row r="59">
      <c r="A59" t="inlineStr">
        <is>
          <t>Mon</t>
        </is>
      </c>
      <c r="B59" t="n">
        <v>17</v>
      </c>
      <c r="C59" t="inlineStr">
        <is>
          <t>41%</t>
        </is>
      </c>
      <c r="D59" t="n">
        <v>-256</v>
      </c>
      <c r="E59" t="n">
        <v>-15.06</v>
      </c>
    </row>
    <row r="60">
      <c r="A60" t="inlineStr">
        <is>
          <t>Tue</t>
        </is>
      </c>
      <c r="B60" t="n">
        <v>21</v>
      </c>
      <c r="C60" t="inlineStr">
        <is>
          <t>48%</t>
        </is>
      </c>
      <c r="D60" t="n">
        <v>-425</v>
      </c>
      <c r="E60" t="n">
        <v>-20.24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12 trades on 2026-08-26 (&gt; 6)</t>
        </is>
      </c>
    </row>
    <row r="66">
      <c r="A66" t="inlineStr">
        <is>
          <t>Overtrading</t>
        </is>
      </c>
      <c r="B66" t="inlineStr">
        <is>
          <t>10 trades on 2026-08-31 (&gt; 6)</t>
        </is>
      </c>
    </row>
    <row r="67">
      <c r="A67" t="inlineStr">
        <is>
          <t>Possible revenge trade</t>
        </is>
      </c>
      <c r="B67" t="inlineStr">
        <is>
          <t>MGC Short at 08/11 19:34 — 4 min after a loss, size 10</t>
        </is>
      </c>
    </row>
    <row r="68">
      <c r="A68" t="inlineStr">
        <is>
          <t>Possible revenge trade</t>
        </is>
      </c>
      <c r="B68" t="inlineStr">
        <is>
          <t>MGC Long at 08/11 23:25 — 14 min after a loss, size 10</t>
        </is>
      </c>
    </row>
    <row r="69">
      <c r="A69" t="inlineStr">
        <is>
          <t>Possible revenge trade</t>
        </is>
      </c>
      <c r="B69" t="inlineStr">
        <is>
          <t>MGC Short at 08/11 23:36 — 11 min after a loss, size 20</t>
        </is>
      </c>
    </row>
    <row r="70">
      <c r="A70" t="inlineStr">
        <is>
          <t>Possible revenge trade</t>
        </is>
      </c>
      <c r="B70" t="inlineStr">
        <is>
          <t>MGC Short at 08/13 22:59 — 9 min after a loss, size 3</t>
        </is>
      </c>
    </row>
    <row r="71">
      <c r="A71" t="inlineStr">
        <is>
          <t>Possible revenge trade</t>
        </is>
      </c>
      <c r="B71" t="inlineStr">
        <is>
          <t>MGC Long at 08/18 10:08 — 8 min after a loss, size 3</t>
        </is>
      </c>
    </row>
    <row r="72">
      <c r="A72" t="inlineStr">
        <is>
          <t>Possible revenge trade</t>
        </is>
      </c>
      <c r="B72" t="inlineStr">
        <is>
          <t>MNQ Short at 08/18 10:21 — 5 min after a loss, size 3</t>
        </is>
      </c>
    </row>
    <row r="73">
      <c r="A73" t="inlineStr">
        <is>
          <t>Possible revenge trade</t>
        </is>
      </c>
      <c r="B73" t="inlineStr">
        <is>
          <t>MGC Long at 08/23 19:46 — 11 min after a loss, size 1</t>
        </is>
      </c>
    </row>
    <row r="74">
      <c r="A74" t="inlineStr">
        <is>
          <t>Possible revenge trade</t>
        </is>
      </c>
      <c r="B74" t="inlineStr">
        <is>
          <t>MGC Long at 08/23 20:28 — 5 min after a loss, size 2</t>
        </is>
      </c>
    </row>
    <row r="75">
      <c r="A75" t="inlineStr">
        <is>
          <t>Possible revenge trade</t>
        </is>
      </c>
      <c r="B75" t="inlineStr">
        <is>
          <t>MNQ Short at 08/24 11:13 — 15 min after a loss, size 5</t>
        </is>
      </c>
    </row>
    <row r="76">
      <c r="A76" t="inlineStr">
        <is>
          <t>Possible revenge trade</t>
        </is>
      </c>
      <c r="B76" t="inlineStr">
        <is>
          <t>MGC Short at 08/26 11:55 — 9 min after a loss, size 5</t>
        </is>
      </c>
    </row>
    <row r="77">
      <c r="A77" t="inlineStr">
        <is>
          <t>Possible revenge trade</t>
        </is>
      </c>
      <c r="B77" t="inlineStr">
        <is>
          <t>MNQ Long at 08/26 21:16 — 11 min after a loss, size 12</t>
        </is>
      </c>
    </row>
    <row r="78">
      <c r="A78" t="inlineStr">
        <is>
          <t>Possible revenge trade</t>
        </is>
      </c>
      <c r="B78" t="inlineStr">
        <is>
          <t>MGC Long at 08/31 10:10 — 14 min after a loss, size 3</t>
        </is>
      </c>
    </row>
    <row r="79">
      <c r="A79" t="inlineStr">
        <is>
          <t>Possible revenge trade</t>
        </is>
      </c>
      <c r="B79" t="inlineStr">
        <is>
          <t>MNQ Short at 08/31 10:11 — 1 min after a loss, size 3</t>
        </is>
      </c>
    </row>
    <row r="80">
      <c r="A80" t="inlineStr">
        <is>
          <t>Stop overrun</t>
        </is>
      </c>
      <c r="B80" t="inlineStr">
        <is>
          <t>MNQ 08/12 11:57 realized RR -1.19 (worse than -1R)</t>
        </is>
      </c>
    </row>
    <row r="81">
      <c r="A81" t="inlineStr">
        <is>
          <t>Stop overrun</t>
        </is>
      </c>
      <c r="B81" t="inlineStr">
        <is>
          <t>MNQ 08/18 10:21 realized RR -1.19 (worse than -1R)</t>
        </is>
      </c>
    </row>
    <row r="82">
      <c r="A82" t="inlineStr">
        <is>
          <t>Winner cut short</t>
        </is>
      </c>
      <c r="B82" t="inlineStr">
        <is>
          <t>MGC 08/11 19:27 took 0.18R of 0.42R target</t>
        </is>
      </c>
    </row>
    <row r="83">
      <c r="A83" t="inlineStr">
        <is>
          <t>Winner cut short</t>
        </is>
      </c>
      <c r="B83" t="inlineStr">
        <is>
          <t>MNQ 08/25 10:32 took 0.49R of 2.16R target</t>
        </is>
      </c>
    </row>
    <row r="84">
      <c r="A84" t="inlineStr">
        <is>
          <t>Inconsistent sizing</t>
        </is>
      </c>
      <c r="B84" t="inlineStr">
        <is>
          <t>Position size varies a lot (CV 1.08)</t>
        </is>
      </c>
    </row>
    <row r="85">
      <c r="A85" t="inlineStr">
        <is>
          <t>Negative-edge hour</t>
        </is>
      </c>
      <c r="B85" t="inlineStr">
        <is>
          <t>12:00: 6 trades, 83% win, $-2 total</t>
        </is>
      </c>
    </row>
    <row r="86">
      <c r="A86" t="inlineStr">
        <is>
          <t>Negative-edge hour</t>
        </is>
      </c>
      <c r="B86" t="inlineStr">
        <is>
          <t>11:00: 10 trades, 40% win, $-139 total</t>
        </is>
      </c>
    </row>
    <row r="87">
      <c r="A87" t="inlineStr">
        <is>
          <t>Negative-edge hour</t>
        </is>
      </c>
      <c r="B87" t="inlineStr">
        <is>
          <t>23:00: 6 trades, 50% win, $-479 total</t>
        </is>
      </c>
    </row>
    <row r="88">
      <c r="A88" t="inlineStr">
        <is>
          <t>Negative-edge hour</t>
        </is>
      </c>
      <c r="B88" t="inlineStr">
        <is>
          <t>19:00: 7 trades, 57% win, $-1471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Here's the honest read on your August data — the top-line number ($2,383 net, PF 1.3) is masking a much better trader hiding inside a much worse one. Two data cuts below explain almost the entire story.</t>
        </is>
      </c>
    </row>
    <row r="4">
      <c r="A4" s="14" t="inlineStr"/>
    </row>
    <row r="5">
      <c r="A5" s="14" t="inlineStr">
        <is>
          <t>## The core finding: your edge is real but you're diluting it 2:1</t>
        </is>
      </c>
    </row>
    <row r="6">
      <c r="A6" s="14" t="inlineStr"/>
    </row>
    <row r="7">
      <c r="A7" s="14" t="inlineStr">
        <is>
          <t>Your indicator tags happen to partition all 93 trades cleanly into "quality" buckets, and the split is stark:</t>
        </is>
      </c>
    </row>
    <row r="8">
      <c r="A8" s="14" t="inlineStr"/>
    </row>
    <row r="9">
      <c r="A9" s="14" t="inlineStr">
        <is>
          <t>| Quality signal | Good side | Bad side |</t>
        </is>
      </c>
    </row>
    <row r="10">
      <c r="A10" s="14" t="inlineStr">
        <is>
          <t>|---|---|---|</t>
        </is>
      </c>
    </row>
    <row r="11">
      <c r="A11" s="14" t="inlineStr">
        <is>
          <t>| Pullback grade | Good/A+: 34 trades → **+$5,010** | Weak/No setup: 59 trades → **-$2,627** |</t>
        </is>
      </c>
    </row>
    <row r="12">
      <c r="A12" s="14" t="inlineStr">
        <is>
          <t>| 1H trend alignment | With trend: 55 trades → **+$3,787** | Against/unclear: 38 trades → **-$1,404** |</t>
        </is>
      </c>
    </row>
    <row r="13">
      <c r="A13" s="14" t="inlineStr">
        <is>
          <t>| At a key level | Yes: 63 trades → **+$4,561** | No: 30 trades → **-$2,178** |</t>
        </is>
      </c>
    </row>
    <row r="14">
      <c r="A14" s="14" t="inlineStr">
        <is>
          <t>| ADX (trend strength) | ≥20: 59 trades → **+$3,803** | &lt;20 (chop): 34 trades → **-$1,420** |</t>
        </is>
      </c>
    </row>
    <row r="15">
      <c r="A15" s="14" t="inlineStr">
        <is>
          <t>| Trigger-bar volume | High (≥1.2x): 34 trades → **+$2,514** | Weak: 59 trades → **-$131** |</t>
        </is>
      </c>
    </row>
    <row r="16">
      <c r="A16" s="14" t="inlineStr"/>
    </row>
    <row r="17">
      <c r="A17" s="14" t="inlineStr">
        <is>
          <t>These aren't 5 different stories — they're the same story told 5 ways: **when you take an A-grade Break and Retest (at a key level, with the 1-hour trend, in a trending ADX regime, on real volume), you have a strong, repeatable edge.** When you take a low-grade version of the same setup — weak pullback, chop, against/unclear trend — you bleed. 59 of your 93 trades (63%) fell into the low-quality bucket this month. If you'd simply passed on those, you'd be sitting closer to **$5,000** net instead of $2,383, with meaningfully less drawdown and screen time. This is the single highest-leverage fix available to you — not a new setup, just stricter filtering of the one you already have.</t>
        </is>
      </c>
    </row>
    <row r="18">
      <c r="A18" s="14" t="inlineStr"/>
    </row>
    <row r="19">
      <c r="A19" s="14" t="inlineStr">
        <is>
          <t>## Time of day confirms it</t>
        </is>
      </c>
    </row>
    <row r="20">
      <c r="A20" s="14" t="inlineStr">
        <is>
          <t>09:00 is your best hour by far (17 trades, 70.6% win, +$112 expectancy) — that's probably your primary session where setups are cleanest. Compare to 19:00 (-$1,471 over 7 trades), 23:00 (-$479), and 11:00 (-$139) — three "negative-edge hour" flags totaling **-$2,090**, almost enough by itself to explain the gap between your actual PnL and your potential PnL above. Late-session (19:00–23:00) trades are disproportionately where your revenge-trade flags cluster too (Aug 11, Aug 23). Worth asking: are you trading these hours because a real setup showed up, or because you're still at the screen after a loss and don't want to end the day red?</t>
        </is>
      </c>
    </row>
    <row r="21">
      <c r="A21" s="14" t="inlineStr"/>
    </row>
    <row r="22">
      <c r="A22" s="14" t="inlineStr">
        <is>
          <t>## The overtrading → revenge → oversized chain</t>
        </is>
      </c>
    </row>
    <row r="23">
      <c r="A23" s="14" t="inlineStr">
        <is>
          <t>Four days flagged for overtrading (Aug 11: 11 trades, Aug 12: 9, Aug 26: 12, Aug 31: 10 — today), and most of your 17 "possible revenge trade" flags sit inside those same days. The dangerous part isn't that revenge trades lost money this month — the "Revenge trade" tag actually shows +$2,091 (n=14) and "Oversized" shows +$1,745 (n=15, 73% win). **That's not a green light, it's survivorship.** Look at the actual sizes: MGC Short 08/11 23:36 at size 20, MNQ Long 08/26 21:16 at size 12 — these are 4-6x your typical 3-lot. Your largest loss (-$1,310) and max drawdown (-$1,750) live in this same behavioral neighborhood. You got away with sizing up under tilt this month; the position-size CV of 1.08 (flagged as "inconsistent sizing") says this isn't a controlled, conviction-based scale-up, it's a variance amplifier that will eventually bite on a day the market doesn't cooperate.</t>
        </is>
      </c>
    </row>
    <row r="24">
      <c r="A24" s="14" t="inlineStr"/>
    </row>
    <row r="25">
      <c r="A25" s="14" t="inlineStr">
        <is>
          <t>Today (Aug 31) is a live example: MGC 08/31 was a near-doji day (body = 2% of range — basically no trend), yet you still ran 10 trades, and the recent log shows a loss at 10:10 (revenge flagged), immediately followed by another loss at 10:11 one minute later (also revenge flagged) — chaining into a second impulsive trade before the first one's emotional charge even faded.</t>
        </is>
      </c>
    </row>
    <row r="26">
      <c r="A26" s="14" t="inlineStr"/>
    </row>
    <row r="27">
      <c r="A27" s="14" t="inlineStr">
        <is>
          <t>## Other things worth your attention</t>
        </is>
      </c>
    </row>
    <row r="28">
      <c r="A28" s="14" t="inlineStr">
        <is>
          <t>- **RR gap is the loudest number in the summary**: you target 1.35R on average but realize 0.04R. Even accounting for losers, that's an extreme shortfall — you're either cutting winners way early (confirmed by 2 explicit "winner cut short" flags, one where you took 0.18R of a 0.42R target, another where you left 1.67R on the table) or your stop/target execution doesn't match what you planned. This is worth fixing before anything else — it's suppressing your PF directly.</t>
        </is>
      </c>
    </row>
    <row r="29">
      <c r="A29" s="14" t="inlineStr">
        <is>
          <t>- **Longs ($43.64 expectancy) crush shorts ($2.77)** despite shorts having the *higher* win rate (61% vs 50%). That means your average short loser is oversized relative to your average short winner — a risk/reward problem specific to the short side, possibly tied to the MGC revenge-short cluster.</t>
        </is>
      </c>
    </row>
    <row r="30">
      <c r="A30" s="14" t="inlineStr">
        <is>
          <t>- **MGC ($39.63 expectancy) &gt;&gt; MNQ ($8.62)**. MNQ is close to a coin-flip for you money-wise right now; worth checking if MNQ trades skew toward the low-quality bucket above.</t>
        </is>
      </c>
    </row>
    <row r="31">
      <c r="A31" s="14" t="inlineStr">
        <is>
          <t>- One counterintuitive result: "Supertrends NOT aligned" outperformed "aligned" (+$2,665 vs -$282, n=63 vs 30). Don't read this as "fade alignment" — it's far more likely confounded with your other quality filters (alignment may be a lagging signal that only completes after the good part of the move is gone). Not actionable on its own; just don't let it talk you into inverting the signal.</t>
        </is>
      </c>
    </row>
    <row r="32">
      <c r="A32" s="14" t="inlineStr"/>
    </row>
    <row r="33">
      <c r="A33" s="14" t="inlineStr">
        <is>
          <t>## Three concrete rules for next week</t>
        </is>
      </c>
    </row>
    <row r="34">
      <c r="A34" s="14" t="inlineStr">
        <is>
          <t>1. **Only take trades that are "Good" or "A+" pullback grade, at a key level, with the 1H trend, and ADX ≥ 20.** If a setup is missing 2+ of these, skip it — that population is a net loser regardless of setup name.</t>
        </is>
      </c>
    </row>
    <row r="35">
      <c r="A35" s="14" t="inlineStr">
        <is>
          <t>2. **Hard cap: no new trade within 15 minutes of a loss, and no size increase for the rest of the session after any loss.** This directly targets the revenge/overtrading cluster before it produces the next -$1,310 day.</t>
        </is>
      </c>
    </row>
    <row r="36">
      <c r="A36" s="14" t="inlineStr">
        <is>
          <t>3. **Flag 19:00–23:00 as a reduced-size or no-trade window** unless it's an A+ setup — you have three separate hour-buckets in this window bleeding money, likely from mental fatigue or after-a-loss trading rather than genuinely bad setups at those hours.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2026-08-31T17:29:00Z</dcterms:modified>
  <cp:lastModifiedBy>Abdul Basit</cp:lastModifiedBy>
</cp:coreProperties>
</file>