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>
        <is>
          <t>Overtraded</t>
        </is>
      </c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>
        <is>
          <t>Cut winner early</t>
        </is>
      </c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P94+N95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>
        <v>103</v>
      </c>
      <c r="B96" s="22" t="n">
        <v>46265</v>
      </c>
      <c r="C96" s="10" t="n">
        <v>0.02815972222222222</v>
      </c>
      <c r="D96" s="5" t="inlineStr">
        <is>
          <t>MGC</t>
        </is>
      </c>
      <c r="E96" s="5" t="inlineStr">
        <is>
          <t>Short</t>
        </is>
      </c>
      <c r="F96" s="5" t="n">
        <v>4468.233333</v>
      </c>
      <c r="G96" s="5" t="n">
        <v>4473.6</v>
      </c>
      <c r="H96" s="5" t="n">
        <v>3</v>
      </c>
      <c r="I96" s="5" t="n">
        <v>4473.5</v>
      </c>
      <c r="J96" s="5" t="n">
        <v>4467.8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>
        <is>
          <t>Break and Retest</t>
        </is>
      </c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inlineStr">
        <is>
          <t>Overtraded</t>
        </is>
      </c>
      <c r="W96" s="5" t="n"/>
      <c r="X96" s="5" t="n"/>
      <c r="Y96" s="5" t="n"/>
      <c r="Z96" s="5" t="n"/>
      <c r="AA96" s="5" t="n"/>
    </row>
    <row r="97" ht="15.75" customHeight="1">
      <c r="A97" s="5" t="n">
        <v>104</v>
      </c>
      <c r="B97" s="22" t="n">
        <v>46265</v>
      </c>
      <c r="C97" s="10" t="n">
        <v>0.9342361111111112</v>
      </c>
      <c r="D97" s="5" t="inlineStr">
        <is>
          <t>MGC</t>
        </is>
      </c>
      <c r="E97" s="5" t="inlineStr">
        <is>
          <t>Long</t>
        </is>
      </c>
      <c r="F97" s="5" t="n">
        <v>4491.8</v>
      </c>
      <c r="G97" s="5" t="n">
        <v>4490.2</v>
      </c>
      <c r="H97" s="5" t="n">
        <v>1</v>
      </c>
      <c r="I97" s="5" t="n">
        <v>4490.4</v>
      </c>
      <c r="J97" s="5" t="n">
        <v>4506.4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>
        <is>
          <t>Break and Retest</t>
        </is>
      </c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inlineStr">
        <is>
          <t>Overtraded</t>
        </is>
      </c>
      <c r="W97" s="5" t="n"/>
      <c r="X97" s="5" t="n"/>
      <c r="Y97" s="5" t="n"/>
      <c r="Z97" s="5" t="n"/>
      <c r="AA97" s="5" t="n"/>
    </row>
    <row r="98" ht="15.75" customHeight="1">
      <c r="A98" s="5" t="n">
        <v>105</v>
      </c>
      <c r="B98" s="22" t="n">
        <v>46265</v>
      </c>
      <c r="C98" s="10" t="n">
        <v>0.9349537037037037</v>
      </c>
      <c r="D98" s="5" t="inlineStr">
        <is>
          <t>MGC</t>
        </is>
      </c>
      <c r="E98" s="5" t="inlineStr">
        <is>
          <t>Long</t>
        </is>
      </c>
      <c r="F98" s="5" t="n">
        <v>4490.5</v>
      </c>
      <c r="G98" s="5" t="n">
        <v>4484.5</v>
      </c>
      <c r="H98" s="5" t="n">
        <v>1</v>
      </c>
      <c r="I98" s="5" t="n">
        <v>4484.5</v>
      </c>
      <c r="J98" s="5" t="n">
        <v>4506.4</v>
      </c>
      <c r="K98" s="8">
        <f>IF(AND(I98&lt;&gt;"",J98&lt;&gt;"",F98&lt;&gt;""), (J98-F98)/(F98-I98), "")</f>
        <v/>
      </c>
      <c r="L98" s="8">
        <f>IF(AND(F98&lt;&gt;"",G98&lt;&gt;"",I98&lt;&gt;""), (G98-F98)/(F98-I98), "")</f>
        <v/>
      </c>
      <c r="M98" s="5">
        <f>IF(N98&gt;0,"Win",IF(N98&lt;0,"Loss",""))</f>
        <v/>
      </c>
      <c r="N98" s="16">
        <f>IF(AND(F98&lt;&gt;"",G98&lt;&gt;"",H98&lt;&gt;"",D98&lt;&gt;""), IF(E98="Long", (G98-F98)*H98*VLOOKUP(D98,Multipliers!A:B,2,FALSE), (F98-G98)*H98*VLOOKUP(D98,Multipliers!A:B,2,FALSE)), "")</f>
        <v/>
      </c>
      <c r="O98" s="9">
        <f>IF(AND(N98&lt;&gt;"",F98&lt;&gt;"",H98&lt;&gt;"",D98&lt;&gt;""), N98/(F98*H98*VLOOKUP(D98,Multipliers!A:B,2,FALSE)), "")</f>
        <v/>
      </c>
      <c r="P98" s="5">
        <f>P97+N98</f>
        <v/>
      </c>
      <c r="Q98" s="5" t="inlineStr">
        <is>
          <t>Break and Retest</t>
        </is>
      </c>
      <c r="R98" s="5" t="inlineStr">
        <is>
          <t>Imported from Tradovate</t>
        </is>
      </c>
      <c r="S98" s="5" t="inlineStr">
        <is>
          <t>MGC</t>
        </is>
      </c>
      <c r="T98" s="5" t="n"/>
      <c r="U98" s="5" t="n"/>
      <c r="V98" s="5" t="inlineStr">
        <is>
          <t>Revenge trade, Overtraded</t>
        </is>
      </c>
      <c r="W98" s="5" t="n"/>
      <c r="X98" s="5" t="n"/>
      <c r="Y98" s="5" t="n"/>
      <c r="Z98" s="5" t="n"/>
      <c r="AA98" s="5" t="n"/>
    </row>
    <row r="99" ht="15.75" customHeight="1">
      <c r="A99" s="5" t="n">
        <v>106</v>
      </c>
      <c r="B99" s="22" t="n">
        <v>46265</v>
      </c>
      <c r="C99" s="10" t="n">
        <v>0.9497569444444445</v>
      </c>
      <c r="D99" s="5" t="inlineStr">
        <is>
          <t>MGC</t>
        </is>
      </c>
      <c r="E99" s="5" t="inlineStr">
        <is>
          <t>Short</t>
        </is>
      </c>
      <c r="F99" s="5" t="n">
        <v>4481</v>
      </c>
      <c r="G99" s="5" t="n">
        <v>4487</v>
      </c>
      <c r="H99" s="5" t="n">
        <v>3</v>
      </c>
      <c r="I99" s="5" t="n">
        <v>4487</v>
      </c>
      <c r="J99" s="5" t="n">
        <v>4469</v>
      </c>
      <c r="K99" s="8">
        <f>IF(AND(I99&lt;&gt;"",J99&lt;&gt;"",F99&lt;&gt;""), (J99-F99)/(F99-I99), "")</f>
        <v/>
      </c>
      <c r="L99" s="8">
        <f>IF(AND(F99&lt;&gt;"",G99&lt;&gt;"",I99&lt;&gt;""), (G99-F99)/(F99-I99), "")</f>
        <v/>
      </c>
      <c r="M99" s="5">
        <f>IF(N99&gt;0,"Win",IF(N99&lt;0,"Loss",""))</f>
        <v/>
      </c>
      <c r="N99" s="16">
        <f>IF(AND(F99&lt;&gt;"",G99&lt;&gt;"",H99&lt;&gt;"",D99&lt;&gt;""), IF(E99="Long", (G99-F99)*H99*VLOOKUP(D99,Multipliers!A:B,2,FALSE), (F99-G99)*H99*VLOOKUP(D99,Multipliers!A:B,2,FALSE)), "")</f>
        <v/>
      </c>
      <c r="O99" s="9">
        <f>IF(AND(N99&lt;&gt;"",F99&lt;&gt;"",H99&lt;&gt;"",D99&lt;&gt;""), N99/(F99*H99*VLOOKUP(D99,Multipliers!A:B,2,FALSE)), "")</f>
        <v/>
      </c>
      <c r="P99" s="5">
        <f>P98+N99</f>
        <v/>
      </c>
      <c r="Q99" s="5" t="inlineStr">
        <is>
          <t>Break and Retest</t>
        </is>
      </c>
      <c r="R99" s="5" t="inlineStr">
        <is>
          <t>Imported from Tradovate</t>
        </is>
      </c>
      <c r="S99" s="5" t="inlineStr">
        <is>
          <t>MGC</t>
        </is>
      </c>
      <c r="T99" s="5" t="n"/>
      <c r="U99" s="5" t="n"/>
      <c r="V99" s="5" t="inlineStr">
        <is>
          <t>Overtraded</t>
        </is>
      </c>
      <c r="W99" s="5" t="n"/>
      <c r="X99" s="5" t="n"/>
      <c r="Y99" s="5" t="n"/>
      <c r="Z99" s="5" t="n"/>
      <c r="AA99" s="5" t="n"/>
    </row>
    <row r="100" ht="15.75" customHeight="1">
      <c r="A100" s="5" t="n">
        <v>107</v>
      </c>
      <c r="B100" s="22" t="n">
        <v>46265</v>
      </c>
      <c r="C100" s="10" t="n">
        <v>0.9588310185185185</v>
      </c>
      <c r="D100" s="5" t="inlineStr">
        <is>
          <t>MGC</t>
        </is>
      </c>
      <c r="E100" s="5" t="inlineStr">
        <is>
          <t>Short</t>
        </is>
      </c>
      <c r="F100" s="5" t="n">
        <v>4488.4</v>
      </c>
      <c r="G100" s="5" t="n">
        <v>4484.566667</v>
      </c>
      <c r="H100" s="5" t="n">
        <v>6</v>
      </c>
      <c r="I100" s="5" t="n">
        <v>4495.2</v>
      </c>
      <c r="J100" s="5" t="n">
        <v>4483</v>
      </c>
      <c r="K100" s="8">
        <f>IF(AND(I100&lt;&gt;"",J100&lt;&gt;"",F100&lt;&gt;""), (J100-F100)/(F100-I100), "")</f>
        <v/>
      </c>
      <c r="L100" s="8">
        <f>IF(AND(F100&lt;&gt;"",G100&lt;&gt;"",I100&lt;&gt;""), (G100-F100)/(F100-I100), "")</f>
        <v/>
      </c>
      <c r="M100" s="5">
        <f>IF(N100&gt;0,"Win",IF(N100&lt;0,"Loss",""))</f>
        <v/>
      </c>
      <c r="N100" s="16">
        <f>IF(AND(F100&lt;&gt;"",G100&lt;&gt;"",H100&lt;&gt;"",D100&lt;&gt;""), IF(E100="Long", (G100-F100)*H100*VLOOKUP(D100,Multipliers!A:B,2,FALSE), (F100-G100)*H100*VLOOKUP(D100,Multipliers!A:B,2,FALSE)), "")</f>
        <v/>
      </c>
      <c r="O100" s="9">
        <f>IF(AND(N100&lt;&gt;"",F100&lt;&gt;"",H100&lt;&gt;"",D100&lt;&gt;""), N100/(F100*H100*VLOOKUP(D100,Multipliers!A:B,2,FALSE)), "")</f>
        <v/>
      </c>
      <c r="P100" s="5">
        <f>P99+N100</f>
        <v/>
      </c>
      <c r="Q100" s="5" t="inlineStr">
        <is>
          <t>Break and Retest</t>
        </is>
      </c>
      <c r="R100" s="5" t="inlineStr">
        <is>
          <t>Imported from Tradovate</t>
        </is>
      </c>
      <c r="S100" s="5" t="inlineStr">
        <is>
          <t>MGC</t>
        </is>
      </c>
      <c r="T100" s="5" t="n"/>
      <c r="U100" s="5" t="n"/>
      <c r="V100" s="5" t="inlineStr">
        <is>
          <t>Revenge trade, Overtraded</t>
        </is>
      </c>
      <c r="W100" s="5" t="n"/>
      <c r="X100" s="5" t="n"/>
      <c r="Y100" s="5" t="n"/>
      <c r="Z100" s="5" t="n"/>
      <c r="AA100" s="5" t="n"/>
    </row>
    <row r="101" ht="15.75" customHeight="1">
      <c r="A101" s="5" t="n">
        <v>108</v>
      </c>
      <c r="B101" s="22" t="n">
        <v>46265</v>
      </c>
      <c r="C101" s="10" t="n">
        <v>0.9992939814814815</v>
      </c>
      <c r="D101" s="5" t="inlineStr">
        <is>
          <t>MGC</t>
        </is>
      </c>
      <c r="E101" s="5" t="inlineStr">
        <is>
          <t>Short</t>
        </is>
      </c>
      <c r="F101" s="5" t="n">
        <v>4486.7</v>
      </c>
      <c r="G101" s="5" t="n">
        <v>4484.2</v>
      </c>
      <c r="H101" s="5" t="n">
        <v>2</v>
      </c>
      <c r="I101" s="5" t="n">
        <v>4489.6</v>
      </c>
      <c r="J101" s="5" t="n">
        <v>4483.5</v>
      </c>
      <c r="K101" s="8">
        <f>IF(AND(I101&lt;&gt;"",J101&lt;&gt;"",F101&lt;&gt;""), (J101-F101)/(F101-I101), "")</f>
        <v/>
      </c>
      <c r="L101" s="8">
        <f>IF(AND(F101&lt;&gt;"",G101&lt;&gt;"",I101&lt;&gt;""), (G101-F101)/(F101-I101), "")</f>
        <v/>
      </c>
      <c r="M101" s="5">
        <f>IF(N101&gt;0,"Win",IF(N101&lt;0,"Loss",""))</f>
        <v/>
      </c>
      <c r="N101" s="16">
        <f>IF(AND(F101&lt;&gt;"",G101&lt;&gt;"",H101&lt;&gt;"",D101&lt;&gt;""), IF(E101="Long", (G101-F101)*H101*VLOOKUP(D101,Multipliers!A:B,2,FALSE), (F101-G101)*H101*VLOOKUP(D101,Multipliers!A:B,2,FALSE)), "")</f>
        <v/>
      </c>
      <c r="O101" s="9">
        <f>IF(AND(N101&lt;&gt;"",F101&lt;&gt;"",H101&lt;&gt;"",D101&lt;&gt;""), N101/(F101*H101*VLOOKUP(D101,Multipliers!A:B,2,FALSE)), "")</f>
        <v/>
      </c>
      <c r="P101" s="5">
        <f>P100+N101</f>
        <v/>
      </c>
      <c r="Q101" s="5" t="inlineStr">
        <is>
          <t>Break and Retest</t>
        </is>
      </c>
      <c r="R101" s="5" t="inlineStr">
        <is>
          <t>Imported from Tradovate</t>
        </is>
      </c>
      <c r="S101" s="5" t="inlineStr">
        <is>
          <t>MGC</t>
        </is>
      </c>
      <c r="T101" s="5" t="n"/>
      <c r="U101" s="5" t="n"/>
      <c r="V101" s="5" t="inlineStr">
        <is>
          <t>Overtraded</t>
        </is>
      </c>
      <c r="W101" s="5" t="n"/>
      <c r="X101" s="5" t="n"/>
      <c r="Y101" s="5" t="n"/>
      <c r="Z101" s="5" t="n"/>
      <c r="AA101" s="5" t="n"/>
    </row>
    <row r="102" ht="15.75" customHeight="1">
      <c r="A102" s="5" t="n">
        <v>109</v>
      </c>
      <c r="B102" s="22" t="n">
        <v>46266</v>
      </c>
      <c r="C102" s="10" t="n">
        <v>0.4359375</v>
      </c>
      <c r="D102" s="5" t="inlineStr">
        <is>
          <t>MGC</t>
        </is>
      </c>
      <c r="E102" s="5" t="inlineStr">
        <is>
          <t>Short</t>
        </is>
      </c>
      <c r="F102" s="5" t="n">
        <v>4417.466667</v>
      </c>
      <c r="G102" s="5" t="n">
        <v>4416.433333</v>
      </c>
      <c r="H102" s="5" t="n">
        <v>3</v>
      </c>
      <c r="I102" s="5" t="n">
        <v>4427.6</v>
      </c>
      <c r="J102" s="5" t="n">
        <v>4416.1</v>
      </c>
      <c r="K102" s="8">
        <f>IF(AND(I102&lt;&gt;"",J102&lt;&gt;"",F102&lt;&gt;""), (J102-F102)/(F102-I102), "")</f>
        <v/>
      </c>
      <c r="L102" s="8">
        <f>IF(AND(F102&lt;&gt;"",G102&lt;&gt;"",I102&lt;&gt;""), (G102-F102)/(F102-I102), "")</f>
        <v/>
      </c>
      <c r="M102" s="5">
        <f>IF(N102&gt;0,"Win",IF(N102&lt;0,"Loss",""))</f>
        <v/>
      </c>
      <c r="N102" s="16">
        <f>IF(AND(F102&lt;&gt;"",G102&lt;&gt;"",H102&lt;&gt;"",D102&lt;&gt;""), IF(E102="Long", (G102-F102)*H102*VLOOKUP(D102,Multipliers!A:B,2,FALSE), (F102-G102)*H102*VLOOKUP(D102,Multipliers!A:B,2,FALSE)), "")</f>
        <v/>
      </c>
      <c r="O102" s="9">
        <f>IF(AND(N102&lt;&gt;"",F102&lt;&gt;"",H102&lt;&gt;"",D102&lt;&gt;""), N102/(F102*H102*VLOOKUP(D102,Multipliers!A:B,2,FALSE)), "")</f>
        <v/>
      </c>
      <c r="P102" s="5">
        <f>P101+N102</f>
        <v/>
      </c>
      <c r="Q102" s="5" t="inlineStr">
        <is>
          <t>Break and Retest</t>
        </is>
      </c>
      <c r="R102" s="5" t="inlineStr">
        <is>
          <t>Imported from Tradovate</t>
        </is>
      </c>
      <c r="S102" s="5" t="inlineStr">
        <is>
          <t>MGC</t>
        </is>
      </c>
      <c r="T102" s="5" t="n"/>
      <c r="U102" s="5" t="n"/>
      <c r="V102" s="5" t="inlineStr">
        <is>
          <t>Overtraded</t>
        </is>
      </c>
      <c r="W102" s="5" t="n"/>
      <c r="X102" s="5" t="n"/>
      <c r="Y102" s="5" t="n"/>
      <c r="Z102" s="5" t="n"/>
      <c r="AA102" s="5" t="n"/>
    </row>
    <row r="103" ht="15.75" customHeight="1">
      <c r="A103" s="5" t="n">
        <v>110</v>
      </c>
      <c r="B103" s="22" t="n">
        <v>46266</v>
      </c>
      <c r="C103" s="10" t="n">
        <v>0.4439236111111111</v>
      </c>
      <c r="D103" s="5" t="inlineStr">
        <is>
          <t>MNQ</t>
        </is>
      </c>
      <c r="E103" s="5" t="inlineStr">
        <is>
          <t>Long</t>
        </is>
      </c>
      <c r="F103" s="5" t="n">
        <v>29207.3</v>
      </c>
      <c r="G103" s="5" t="n">
        <v>29255.5</v>
      </c>
      <c r="H103" s="5" t="n">
        <v>5</v>
      </c>
      <c r="I103" s="5" t="n">
        <v>29206</v>
      </c>
      <c r="J103" s="5" t="n">
        <v>29255.5</v>
      </c>
      <c r="K103" s="8">
        <f>IF(AND(I103&lt;&gt;"",J103&lt;&gt;"",F103&lt;&gt;""), (J103-F103)/(F103-I103), "")</f>
        <v/>
      </c>
      <c r="L103" s="8">
        <f>IF(AND(F103&lt;&gt;"",G103&lt;&gt;"",I103&lt;&gt;""), (G103-F103)/(F103-I103), "")</f>
        <v/>
      </c>
      <c r="M103" s="5">
        <f>IF(N103&gt;0,"Win",IF(N103&lt;0,"Loss",""))</f>
        <v/>
      </c>
      <c r="N103" s="16">
        <f>IF(AND(F103&lt;&gt;"",G103&lt;&gt;"",H103&lt;&gt;"",D103&lt;&gt;""), IF(E103="Long", (G103-F103)*H103*VLOOKUP(D103,Multipliers!A:B,2,FALSE), (F103-G103)*H103*VLOOKUP(D103,Multipliers!A:B,2,FALSE)), "")</f>
        <v/>
      </c>
      <c r="O103" s="9">
        <f>IF(AND(N103&lt;&gt;"",F103&lt;&gt;"",H103&lt;&gt;"",D103&lt;&gt;""), N103/(F103*H103*VLOOKUP(D103,Multipliers!A:B,2,FALSE)), "")</f>
        <v/>
      </c>
      <c r="P103" s="5">
        <f>P102+N103</f>
        <v/>
      </c>
      <c r="Q103" s="5" t="inlineStr">
        <is>
          <t>Break and Retest</t>
        </is>
      </c>
      <c r="R103" s="5" t="inlineStr">
        <is>
          <t>Imported from Tradovate</t>
        </is>
      </c>
      <c r="S103" s="5" t="inlineStr">
        <is>
          <t>MNQ</t>
        </is>
      </c>
      <c r="T103" s="5" t="n"/>
      <c r="U103" s="5" t="n"/>
      <c r="V103" s="5" t="inlineStr">
        <is>
          <t>Revenge trade, Overtraded</t>
        </is>
      </c>
      <c r="W103" s="5" t="n"/>
      <c r="X103" s="5" t="n"/>
      <c r="Y103" s="5" t="n"/>
      <c r="Z103" s="5" t="n"/>
      <c r="AA103" s="5" t="n"/>
    </row>
    <row r="104" ht="15.75" customHeight="1">
      <c r="A104" s="5" t="n">
        <v>111</v>
      </c>
      <c r="B104" s="22" t="n">
        <v>46266</v>
      </c>
      <c r="C104" s="10" t="n">
        <v>0.001550925925925926</v>
      </c>
      <c r="D104" s="5" t="inlineStr">
        <is>
          <t>MGC</t>
        </is>
      </c>
      <c r="E104" s="5" t="inlineStr">
        <is>
          <t>Short</t>
        </is>
      </c>
      <c r="F104" s="5" t="n">
        <v>4486.4</v>
      </c>
      <c r="G104" s="5" t="n">
        <v>4484.9</v>
      </c>
      <c r="H104" s="5" t="n">
        <v>1</v>
      </c>
      <c r="I104" s="5" t="n">
        <v>4489.6</v>
      </c>
      <c r="J104" s="5" t="n">
        <v>4483.5</v>
      </c>
      <c r="K104" s="8">
        <f>IF(AND(I104&lt;&gt;"",J104&lt;&gt;"",F104&lt;&gt;""), (J104-F104)/(F104-I104), "")</f>
        <v/>
      </c>
      <c r="L104" s="8">
        <f>IF(AND(F104&lt;&gt;"",G104&lt;&gt;"",I104&lt;&gt;""), (G104-F104)/(F104-I104), "")</f>
        <v/>
      </c>
      <c r="M104" s="5">
        <f>IF(N104&gt;0,"Win",IF(N104&lt;0,"Loss",""))</f>
        <v/>
      </c>
      <c r="N104" s="16">
        <f>IF(AND(F104&lt;&gt;"",G104&lt;&gt;"",H104&lt;&gt;"",D104&lt;&gt;""), IF(E104="Long", (G104-F104)*H104*VLOOKUP(D104,Multipliers!A:B,2,FALSE), (F104-G104)*H104*VLOOKUP(D104,Multipliers!A:B,2,FALSE)), "")</f>
        <v/>
      </c>
      <c r="O104" s="9">
        <f>IF(AND(N104&lt;&gt;"",F104&lt;&gt;"",H104&lt;&gt;"",D104&lt;&gt;""), N104/(F104*H104*VLOOKUP(D104,Multipliers!A:B,2,FALSE)), "")</f>
        <v/>
      </c>
      <c r="P104" s="5">
        <f>P103+N104</f>
        <v/>
      </c>
      <c r="Q104" s="5" t="inlineStr">
        <is>
          <t>Break and Retest</t>
        </is>
      </c>
      <c r="R104" s="5" t="inlineStr">
        <is>
          <t>Imported from Tradovate</t>
        </is>
      </c>
      <c r="S104" s="5" t="inlineStr">
        <is>
          <t>MGC</t>
        </is>
      </c>
      <c r="T104" s="5" t="n"/>
      <c r="U104" s="5" t="n"/>
      <c r="V104" s="5" t="inlineStr">
        <is>
          <t>Overtraded</t>
        </is>
      </c>
      <c r="W104" s="5" t="n"/>
      <c r="X104" s="5" t="n"/>
      <c r="Y104" s="5" t="n"/>
      <c r="Z104" s="5" t="n"/>
      <c r="AA104" s="5" t="n"/>
    </row>
    <row r="105" ht="15.75" customHeight="1">
      <c r="A105" s="5" t="n">
        <v>112</v>
      </c>
      <c r="B105" s="22" t="n">
        <v>46266</v>
      </c>
      <c r="C105" s="10" t="n">
        <v>0.4781944444444444</v>
      </c>
      <c r="D105" s="5" t="inlineStr">
        <is>
          <t>MNQ</t>
        </is>
      </c>
      <c r="E105" s="5" t="inlineStr">
        <is>
          <t>Long</t>
        </is>
      </c>
      <c r="F105" s="5" t="n">
        <v>29207.75</v>
      </c>
      <c r="G105" s="5" t="n">
        <v>29232.75</v>
      </c>
      <c r="H105" s="5" t="n">
        <v>1</v>
      </c>
      <c r="I105" s="5" t="n">
        <v>29202.5</v>
      </c>
      <c r="J105" s="5" t="n">
        <v>29245.25</v>
      </c>
      <c r="K105" s="8">
        <f>IF(AND(I105&lt;&gt;"",J105&lt;&gt;"",F105&lt;&gt;""), (J105-F105)/(F105-I105), "")</f>
        <v/>
      </c>
      <c r="L105" s="8">
        <f>IF(AND(F105&lt;&gt;"",G105&lt;&gt;"",I105&lt;&gt;""), (G105-F105)/(F105-I105), "")</f>
        <v/>
      </c>
      <c r="M105" s="5">
        <f>IF(N105&gt;0,"Win",IF(N105&lt;0,"Loss",""))</f>
        <v/>
      </c>
      <c r="N105" s="16">
        <f>IF(AND(F105&lt;&gt;"",G105&lt;&gt;"",H105&lt;&gt;"",D105&lt;&gt;""), IF(E105="Long", (G105-F105)*H105*VLOOKUP(D105,Multipliers!A:B,2,FALSE), (F105-G105)*H105*VLOOKUP(D105,Multipliers!A:B,2,FALSE)), "")</f>
        <v/>
      </c>
      <c r="O105" s="9">
        <f>IF(AND(N105&lt;&gt;"",F105&lt;&gt;"",H105&lt;&gt;"",D105&lt;&gt;""), N105/(F105*H105*VLOOKUP(D105,Multipliers!A:B,2,FALSE)), "")</f>
        <v/>
      </c>
      <c r="P105" s="5">
        <f>P104+N105</f>
        <v/>
      </c>
      <c r="Q105" s="5" t="inlineStr">
        <is>
          <t>Break and Retest</t>
        </is>
      </c>
      <c r="R105" s="5" t="inlineStr">
        <is>
          <t>Imported from Tradovate</t>
        </is>
      </c>
      <c r="S105" s="5" t="inlineStr">
        <is>
          <t>MNQ</t>
        </is>
      </c>
      <c r="T105" s="5" t="n"/>
      <c r="U105" s="5" t="n"/>
      <c r="V105" s="5" t="inlineStr">
        <is>
          <t>Overtraded</t>
        </is>
      </c>
      <c r="W105" s="5" t="n"/>
      <c r="X105" s="5" t="n"/>
      <c r="Y105" s="5" t="n"/>
      <c r="Z105" s="5" t="n"/>
      <c r="AA105" s="5" t="n"/>
    </row>
    <row r="106" ht="15.75" customHeight="1">
      <c r="A106" s="5" t="n">
        <v>113</v>
      </c>
      <c r="B106" s="22" t="n">
        <v>46266</v>
      </c>
      <c r="C106" s="10" t="n">
        <v>0.5175694444444444</v>
      </c>
      <c r="D106" s="5" t="inlineStr">
        <is>
          <t>MNQ</t>
        </is>
      </c>
      <c r="E106" s="5" t="inlineStr">
        <is>
          <t>Long</t>
        </is>
      </c>
      <c r="F106" s="5" t="n">
        <v>29201</v>
      </c>
      <c r="G106" s="5" t="n">
        <v>29181.25</v>
      </c>
      <c r="H106" s="5" t="n">
        <v>2</v>
      </c>
      <c r="I106" s="5" t="n">
        <v>29181.75</v>
      </c>
      <c r="J106" s="5" t="n">
        <v>29201.75</v>
      </c>
      <c r="K106" s="8">
        <f>IF(AND(I106&lt;&gt;"",J106&lt;&gt;"",F106&lt;&gt;""), (J106-F106)/(F106-I106), "")</f>
        <v/>
      </c>
      <c r="L106" s="8">
        <f>IF(AND(F106&lt;&gt;"",G106&lt;&gt;"",I106&lt;&gt;""), (G106-F106)/(F106-I106), "")</f>
        <v/>
      </c>
      <c r="M106" s="5">
        <f>IF(N106&gt;0,"Win",IF(N106&lt;0,"Loss",""))</f>
        <v/>
      </c>
      <c r="N106" s="16">
        <f>IF(AND(F106&lt;&gt;"",G106&lt;&gt;"",H106&lt;&gt;"",D106&lt;&gt;""), IF(E106="Long", (G106-F106)*H106*VLOOKUP(D106,Multipliers!A:B,2,FALSE), (F106-G106)*H106*VLOOKUP(D106,Multipliers!A:B,2,FALSE)), "")</f>
        <v/>
      </c>
      <c r="O106" s="9">
        <f>IF(AND(N106&lt;&gt;"",F106&lt;&gt;"",H106&lt;&gt;"",D106&lt;&gt;""), N106/(F106*H106*VLOOKUP(D106,Multipliers!A:B,2,FALSE)), "")</f>
        <v/>
      </c>
      <c r="P106" s="5">
        <f>P105+N106</f>
        <v/>
      </c>
      <c r="Q106" s="5" t="inlineStr">
        <is>
          <t>Break and Retest</t>
        </is>
      </c>
      <c r="R106" s="5" t="inlineStr">
        <is>
          <t>Imported from Tradovate</t>
        </is>
      </c>
      <c r="S106" s="5" t="inlineStr">
        <is>
          <t>MNQ</t>
        </is>
      </c>
      <c r="T106" s="5" t="n"/>
      <c r="U106" s="5" t="n"/>
      <c r="V106" s="5" t="inlineStr">
        <is>
          <t>Overtraded</t>
        </is>
      </c>
      <c r="W106" s="5" t="n"/>
      <c r="X106" s="5" t="n"/>
      <c r="Y106" s="5" t="n"/>
      <c r="Z106" s="5" t="n"/>
      <c r="AA106" s="5" t="n"/>
    </row>
    <row r="107" ht="15.75" customHeight="1">
      <c r="A107" s="5" t="n">
        <v>114</v>
      </c>
      <c r="B107" s="22" t="n">
        <v>46260</v>
      </c>
      <c r="C107" s="10" t="n">
        <v>0.9356944444444445</v>
      </c>
      <c r="D107" s="5" t="inlineStr">
        <is>
          <t>MNQ</t>
        </is>
      </c>
      <c r="E107" s="5" t="inlineStr">
        <is>
          <t>Short</t>
        </is>
      </c>
      <c r="F107" s="5" t="n">
        <v>29535</v>
      </c>
      <c r="G107" s="5" t="n">
        <v>29546.5</v>
      </c>
      <c r="H107" s="5" t="n">
        <v>2</v>
      </c>
      <c r="I107" s="5" t="n">
        <v>29545</v>
      </c>
      <c r="J107" s="5" t="n">
        <v>29514.75</v>
      </c>
      <c r="K107" s="8">
        <f>IF(AND(I107&lt;&gt;"",J107&lt;&gt;"",F107&lt;&gt;""), (J107-F107)/(F107-I107), "")</f>
        <v/>
      </c>
      <c r="L107" s="8">
        <f>IF(AND(F107&lt;&gt;"",G107&lt;&gt;"",I107&lt;&gt;""), (G107-F107)/(F107-I107), "")</f>
        <v/>
      </c>
      <c r="M107" s="5">
        <f>IF(N107&gt;0,"Win",IF(N107&lt;0,"Loss",""))</f>
        <v/>
      </c>
      <c r="N107" s="16">
        <f>IF(AND(F107&lt;&gt;"",G107&lt;&gt;"",H107&lt;&gt;"",D107&lt;&gt;""), IF(E107="Long", (G107-F107)*H107*VLOOKUP(D107,Multipliers!A:B,2,FALSE), (F107-G107)*H107*VLOOKUP(D107,Multipliers!A:B,2,FALSE)), "")</f>
        <v/>
      </c>
      <c r="O107" s="9">
        <f>IF(AND(N107&lt;&gt;"",F107&lt;&gt;"",H107&lt;&gt;"",D107&lt;&gt;""), N107/(F107*H107*VLOOKUP(D107,Multipliers!A:B,2,FALSE)), "")</f>
        <v/>
      </c>
      <c r="P107" s="5">
        <f>P106+N107</f>
        <v/>
      </c>
      <c r="Q107" s="5" t="inlineStr">
        <is>
          <t>Break and Retest</t>
        </is>
      </c>
      <c r="R107" s="5" t="inlineStr">
        <is>
          <t>Imported from Tradovate</t>
        </is>
      </c>
      <c r="S107" s="5" t="inlineStr">
        <is>
          <t>MNQ</t>
        </is>
      </c>
      <c r="T107" s="5" t="n"/>
      <c r="U107" s="5" t="n"/>
      <c r="V107" s="5" t="inlineStr">
        <is>
          <t>Overtraded</t>
        </is>
      </c>
      <c r="W107" s="5" t="n"/>
      <c r="X107" s="5" t="n"/>
      <c r="Y107" s="5" t="n"/>
      <c r="Z107" s="5" t="n"/>
      <c r="AA107" s="5" t="n"/>
    </row>
    <row r="108" ht="15.75" customHeight="1">
      <c r="A108" s="5" t="n">
        <v>115</v>
      </c>
      <c r="B108" s="22" t="n">
        <v>46261</v>
      </c>
      <c r="C108" s="10" t="n">
        <v>0.8349537037037037</v>
      </c>
      <c r="D108" s="5" t="inlineStr">
        <is>
          <t>MGC</t>
        </is>
      </c>
      <c r="E108" s="5" t="inlineStr">
        <is>
          <t>Short</t>
        </is>
      </c>
      <c r="F108" s="5" t="n">
        <v>4652.9</v>
      </c>
      <c r="G108" s="5" t="n">
        <v>4652.2</v>
      </c>
      <c r="H108" s="5" t="n">
        <v>3</v>
      </c>
      <c r="I108" s="5" t="n">
        <v>4659</v>
      </c>
      <c r="J108" s="5" t="n">
        <v>4638</v>
      </c>
      <c r="K108" s="8">
        <f>IF(AND(I108&lt;&gt;"",J108&lt;&gt;"",F108&lt;&gt;""), (J108-F108)/(F108-I108), "")</f>
        <v/>
      </c>
      <c r="L108" s="8">
        <f>IF(AND(F108&lt;&gt;"",G108&lt;&gt;"",I108&lt;&gt;""), (G108-F108)/(F108-I108), "")</f>
        <v/>
      </c>
      <c r="M108" s="5">
        <f>IF(N108&gt;0,"Win",IF(N108&lt;0,"Loss",""))</f>
        <v/>
      </c>
      <c r="N108" s="16">
        <f>IF(AND(F108&lt;&gt;"",G108&lt;&gt;"",H108&lt;&gt;"",D108&lt;&gt;""), IF(E108="Long", (G108-F108)*H108*VLOOKUP(D108,Multipliers!A:B,2,FALSE), (F108-G108)*H108*VLOOKUP(D108,Multipliers!A:B,2,FALSE)), "")</f>
        <v/>
      </c>
      <c r="O108" s="9">
        <f>IF(AND(N108&lt;&gt;"",F108&lt;&gt;"",H108&lt;&gt;"",D108&lt;&gt;""), N108/(F108*H108*VLOOKUP(D108,Multipliers!A:B,2,FALSE)), "")</f>
        <v/>
      </c>
      <c r="P108" s="5">
        <f>P107+N108</f>
        <v/>
      </c>
      <c r="Q108" s="5" t="inlineStr">
        <is>
          <t>Break and Retest</t>
        </is>
      </c>
      <c r="R108" s="5" t="inlineStr">
        <is>
          <t>Imported from Tradovate</t>
        </is>
      </c>
      <c r="S108" s="5" t="inlineStr">
        <is>
          <t>MGC</t>
        </is>
      </c>
      <c r="T108" s="5" t="n"/>
      <c r="U108" s="5" t="n"/>
      <c r="V108" s="5" t="inlineStr">
        <is>
          <t>Overtraded</t>
        </is>
      </c>
      <c r="W108" s="5" t="n"/>
      <c r="X108" s="5" t="n"/>
      <c r="Y108" s="5" t="n"/>
      <c r="Z108" s="5" t="n"/>
      <c r="AA108" s="5" t="n"/>
    </row>
    <row r="109" ht="15.75" customHeight="1">
      <c r="A109" s="5" t="n">
        <v>116</v>
      </c>
      <c r="B109" s="22" t="n">
        <v>46261</v>
      </c>
      <c r="C109" s="10" t="n">
        <v>0.8878356481481482</v>
      </c>
      <c r="D109" s="5" t="inlineStr">
        <is>
          <t>MGC</t>
        </is>
      </c>
      <c r="E109" s="5" t="inlineStr">
        <is>
          <t>Short</t>
        </is>
      </c>
      <c r="F109" s="5" t="n">
        <v>4647.9</v>
      </c>
      <c r="G109" s="5" t="n">
        <v>4645.9</v>
      </c>
      <c r="H109" s="5" t="n">
        <v>3</v>
      </c>
      <c r="I109" s="5" t="n">
        <v>4652.7</v>
      </c>
      <c r="J109" s="5" t="n">
        <v>4645.9</v>
      </c>
      <c r="K109" s="8">
        <f>IF(AND(I109&lt;&gt;"",J109&lt;&gt;"",F109&lt;&gt;""), (J109-F109)/(F109-I109), "")</f>
        <v/>
      </c>
      <c r="L109" s="8">
        <f>IF(AND(F109&lt;&gt;"",G109&lt;&gt;"",I109&lt;&gt;""), (G109-F109)/(F109-I109), "")</f>
        <v/>
      </c>
      <c r="M109" s="5">
        <f>IF(N109&gt;0,"Win",IF(N109&lt;0,"Loss",""))</f>
        <v/>
      </c>
      <c r="N109" s="16">
        <f>IF(AND(F109&lt;&gt;"",G109&lt;&gt;"",H109&lt;&gt;"",D109&lt;&gt;""), IF(E109="Long", (G109-F109)*H109*VLOOKUP(D109,Multipliers!A:B,2,FALSE), (F109-G109)*H109*VLOOKUP(D109,Multipliers!A:B,2,FALSE)), "")</f>
        <v/>
      </c>
      <c r="O109" s="9">
        <f>IF(AND(N109&lt;&gt;"",F109&lt;&gt;"",H109&lt;&gt;"",D109&lt;&gt;""), N109/(F109*H109*VLOOKUP(D109,Multipliers!A:B,2,FALSE)), "")</f>
        <v/>
      </c>
      <c r="P109" s="5">
        <f>P108+N109</f>
        <v/>
      </c>
      <c r="Q109" s="5" t="inlineStr">
        <is>
          <t>Break and Retest</t>
        </is>
      </c>
      <c r="R109" s="5" t="inlineStr">
        <is>
          <t>Imported from Tradovate</t>
        </is>
      </c>
      <c r="S109" s="5" t="inlineStr">
        <is>
          <t>MGC</t>
        </is>
      </c>
      <c r="T109" s="5" t="n"/>
      <c r="U109" s="5" t="n"/>
      <c r="V109" s="5" t="inlineStr">
        <is>
          <t>Overtraded</t>
        </is>
      </c>
      <c r="W109" s="5" t="n"/>
      <c r="X109" s="5" t="n"/>
      <c r="Y109" s="5" t="n"/>
      <c r="Z109" s="5" t="n"/>
      <c r="AA109" s="5" t="n"/>
    </row>
    <row r="110" ht="15.75" customHeight="1">
      <c r="A110" s="5" t="n">
        <v>117</v>
      </c>
      <c r="B110" s="22" t="n">
        <v>46266</v>
      </c>
      <c r="C110" s="10" t="n">
        <v>0.6161342592592592</v>
      </c>
      <c r="D110" s="5" t="inlineStr">
        <is>
          <t>MNQ</t>
        </is>
      </c>
      <c r="E110" s="5" t="inlineStr">
        <is>
          <t>Long</t>
        </is>
      </c>
      <c r="F110" s="5" t="n">
        <v>29041.875</v>
      </c>
      <c r="G110" s="5" t="n">
        <v>29080.375</v>
      </c>
      <c r="H110" s="5" t="n">
        <v>4</v>
      </c>
      <c r="I110" s="5" t="n">
        <v>29026.25</v>
      </c>
      <c r="J110" s="5" t="n">
        <v>29098</v>
      </c>
      <c r="K110" s="8">
        <f>IF(AND(I110&lt;&gt;"",J110&lt;&gt;"",F110&lt;&gt;""), (J110-F110)/(F110-I110), "")</f>
        <v/>
      </c>
      <c r="L110" s="8">
        <f>IF(AND(F110&lt;&gt;"",G110&lt;&gt;"",I110&lt;&gt;""), (G110-F110)/(F110-I110), "")</f>
        <v/>
      </c>
      <c r="M110" s="5">
        <f>IF(N110&gt;0,"Win",IF(N110&lt;0,"Loss",""))</f>
        <v/>
      </c>
      <c r="N110" s="16">
        <f>IF(AND(F110&lt;&gt;"",G110&lt;&gt;"",H110&lt;&gt;"",D110&lt;&gt;""), IF(E110="Long", (G110-F110)*H110*VLOOKUP(D110,Multipliers!A:B,2,FALSE), (F110-G110)*H110*VLOOKUP(D110,Multipliers!A:B,2,FALSE)), "")</f>
        <v/>
      </c>
      <c r="O110" s="9">
        <f>IF(AND(N110&lt;&gt;"",F110&lt;&gt;"",H110&lt;&gt;"",D110&lt;&gt;""), N110/(F110*H110*VLOOKUP(D110,Multipliers!A:B,2,FALSE)), "")</f>
        <v/>
      </c>
      <c r="P110" s="5">
        <f>P109+N110</f>
        <v/>
      </c>
      <c r="Q110" s="5" t="inlineStr">
        <is>
          <t>Break and Retest</t>
        </is>
      </c>
      <c r="R110" s="5" t="inlineStr">
        <is>
          <t>Imported from Tradovate</t>
        </is>
      </c>
      <c r="S110" s="5" t="inlineStr">
        <is>
          <t>MNQ</t>
        </is>
      </c>
      <c r="T110" s="5" t="n"/>
      <c r="U110" s="5" t="n"/>
      <c r="V110" s="5" t="inlineStr">
        <is>
          <t>Overtraded</t>
        </is>
      </c>
      <c r="W110" s="5" t="n"/>
      <c r="X110" s="5" t="n"/>
      <c r="Y110" s="5" t="n"/>
      <c r="Z110" s="5" t="n"/>
      <c r="AA110" s="5" t="n"/>
    </row>
    <row r="111" ht="15.75" customHeight="1">
      <c r="A111" s="5" t="n">
        <v>118</v>
      </c>
      <c r="B111" s="22" t="n">
        <v>46266</v>
      </c>
      <c r="C111" s="10" t="n">
        <v>0.6293981481481481</v>
      </c>
      <c r="D111" s="5" t="inlineStr">
        <is>
          <t>MNQ</t>
        </is>
      </c>
      <c r="E111" s="5" t="inlineStr">
        <is>
          <t>Short</t>
        </is>
      </c>
      <c r="F111" s="5" t="n">
        <v>29097.5</v>
      </c>
      <c r="G111" s="5" t="n">
        <v>29096.75</v>
      </c>
      <c r="H111" s="5" t="n">
        <v>2</v>
      </c>
      <c r="I111" s="5" t="n"/>
      <c r="J111" s="5" t="n">
        <v>29056.25</v>
      </c>
      <c r="K111" s="8">
        <f>IF(AND(I111&lt;&gt;"",J111&lt;&gt;"",F111&lt;&gt;""), (J111-F111)/(F111-I111), "")</f>
        <v/>
      </c>
      <c r="L111" s="8">
        <f>IF(AND(F111&lt;&gt;"",G111&lt;&gt;"",I111&lt;&gt;""), (G111-F111)/(F111-I111), "")</f>
        <v/>
      </c>
      <c r="M111" s="5">
        <f>IF(N111&gt;0,"Win",IF(N111&lt;0,"Loss",""))</f>
        <v/>
      </c>
      <c r="N111" s="16">
        <f>IF(AND(F111&lt;&gt;"",G111&lt;&gt;"",H111&lt;&gt;"",D111&lt;&gt;""), IF(E111="Long", (G111-F111)*H111*VLOOKUP(D111,Multipliers!A:B,2,FALSE), (F111-G111)*H111*VLOOKUP(D111,Multipliers!A:B,2,FALSE)), "")</f>
        <v/>
      </c>
      <c r="O111" s="9">
        <f>IF(AND(N111&lt;&gt;"",F111&lt;&gt;"",H111&lt;&gt;"",D111&lt;&gt;""), N111/(F111*H111*VLOOKUP(D111,Multipliers!A:B,2,FALSE)), "")</f>
        <v/>
      </c>
      <c r="P111" s="5">
        <f>P110+N111</f>
        <v/>
      </c>
      <c r="Q111" s="5" t="inlineStr">
        <is>
          <t>Break and Retest</t>
        </is>
      </c>
      <c r="R111" s="5" t="inlineStr">
        <is>
          <t>Imported from Tradovate</t>
        </is>
      </c>
      <c r="S111" s="5" t="inlineStr">
        <is>
          <t>MNQ</t>
        </is>
      </c>
      <c r="T111" s="5" t="n"/>
      <c r="U111" s="5" t="n"/>
      <c r="V111" s="5" t="inlineStr">
        <is>
          <t>Overtraded</t>
        </is>
      </c>
      <c r="W111" s="5" t="n"/>
      <c r="X111" s="5" t="n"/>
      <c r="Y111" s="5" t="n"/>
      <c r="Z111" s="5" t="n"/>
      <c r="AA111" s="5" t="n"/>
    </row>
    <row r="112" ht="15.75" customHeight="1">
      <c r="A112" s="5" t="n">
        <v>119</v>
      </c>
      <c r="B112" s="22" t="n">
        <v>46266</v>
      </c>
      <c r="C112" s="10" t="n">
        <v>0.6296412037037037</v>
      </c>
      <c r="D112" s="5" t="inlineStr">
        <is>
          <t>MNQ</t>
        </is>
      </c>
      <c r="E112" s="5" t="inlineStr">
        <is>
          <t>Short</t>
        </is>
      </c>
      <c r="F112" s="5" t="n">
        <v>29099.5</v>
      </c>
      <c r="G112" s="5" t="n">
        <v>29121.5</v>
      </c>
      <c r="H112" s="5" t="n">
        <v>2</v>
      </c>
      <c r="I112" s="5" t="n">
        <v>29121.5</v>
      </c>
      <c r="J112" s="5" t="n">
        <v>29056.25</v>
      </c>
      <c r="K112" s="8">
        <f>IF(AND(I112&lt;&gt;"",J112&lt;&gt;"",F112&lt;&gt;""), (J112-F112)/(F112-I112), "")</f>
        <v/>
      </c>
      <c r="L112" s="8">
        <f>IF(AND(F112&lt;&gt;"",G112&lt;&gt;"",I112&lt;&gt;""), (G112-F112)/(F112-I112), "")</f>
        <v/>
      </c>
      <c r="M112" s="5">
        <f>IF(N112&gt;0,"Win",IF(N112&lt;0,"Loss",""))</f>
        <v/>
      </c>
      <c r="N112" s="16">
        <f>IF(AND(F112&lt;&gt;"",G112&lt;&gt;"",H112&lt;&gt;"",D112&lt;&gt;""), IF(E112="Long", (G112-F112)*H112*VLOOKUP(D112,Multipliers!A:B,2,FALSE), (F112-G112)*H112*VLOOKUP(D112,Multipliers!A:B,2,FALSE)), "")</f>
        <v/>
      </c>
      <c r="O112" s="9">
        <f>IF(AND(N112&lt;&gt;"",F112&lt;&gt;"",H112&lt;&gt;"",D112&lt;&gt;""), N112/(F112*H112*VLOOKUP(D112,Multipliers!A:B,2,FALSE)), "")</f>
        <v/>
      </c>
      <c r="P112" s="5">
        <f>P111+N112</f>
        <v/>
      </c>
      <c r="Q112" s="5" t="inlineStr">
        <is>
          <t>Break and Retest</t>
        </is>
      </c>
      <c r="R112" s="5" t="inlineStr">
        <is>
          <t>Imported from Tradovate</t>
        </is>
      </c>
      <c r="S112" s="5" t="inlineStr">
        <is>
          <t>MNQ</t>
        </is>
      </c>
      <c r="T112" s="5" t="n"/>
      <c r="U112" s="5" t="n"/>
      <c r="V112" s="5" t="inlineStr">
        <is>
          <t>Overtraded</t>
        </is>
      </c>
      <c r="W112" s="5" t="n"/>
      <c r="X112" s="5" t="n"/>
      <c r="Y112" s="5" t="n"/>
      <c r="Z112" s="5" t="n"/>
      <c r="AA112" s="5" t="n"/>
    </row>
    <row r="113" ht="15.75" customHeight="1">
      <c r="A113" s="5" t="n">
        <v>120</v>
      </c>
      <c r="B113" s="22" t="n">
        <v>46266</v>
      </c>
      <c r="C113" s="10" t="n">
        <v>0.9530324074074074</v>
      </c>
      <c r="D113" s="5" t="inlineStr">
        <is>
          <t>MGC</t>
        </is>
      </c>
      <c r="E113" s="5" t="inlineStr">
        <is>
          <t>Short</t>
        </is>
      </c>
      <c r="F113" s="5" t="n">
        <v>4351.48</v>
      </c>
      <c r="G113" s="5" t="n">
        <v>4347.4</v>
      </c>
      <c r="H113" s="5" t="n">
        <v>5</v>
      </c>
      <c r="I113" s="5" t="n">
        <v>4358.5</v>
      </c>
      <c r="J113" s="5" t="n">
        <v>4344.9</v>
      </c>
      <c r="K113" s="8">
        <f>IF(AND(I113&lt;&gt;"",J113&lt;&gt;"",F113&lt;&gt;""), (J113-F113)/(F113-I113), "")</f>
        <v/>
      </c>
      <c r="L113" s="8">
        <f>IF(AND(F113&lt;&gt;"",G113&lt;&gt;"",I113&lt;&gt;""), (G113-F113)/(F113-I113), "")</f>
        <v/>
      </c>
      <c r="M113" s="5">
        <f>IF(N113&gt;0,"Win",IF(N113&lt;0,"Loss",""))</f>
        <v/>
      </c>
      <c r="N113" s="16">
        <f>IF(AND(F113&lt;&gt;"",G113&lt;&gt;"",H113&lt;&gt;"",D113&lt;&gt;""), IF(E113="Long", (G113-F113)*H113*VLOOKUP(D113,Multipliers!A:B,2,FALSE), (F113-G113)*H113*VLOOKUP(D113,Multipliers!A:B,2,FALSE)), "")</f>
        <v/>
      </c>
      <c r="O113" s="9">
        <f>IF(AND(N113&lt;&gt;"",F113&lt;&gt;"",H113&lt;&gt;"",D113&lt;&gt;""), N113/(F113*H113*VLOOKUP(D113,Multipliers!A:B,2,FALSE)), "")</f>
        <v/>
      </c>
      <c r="P113" s="5">
        <f>P112+N113</f>
        <v/>
      </c>
      <c r="Q113" s="5" t="inlineStr">
        <is>
          <t>Break and Retest</t>
        </is>
      </c>
      <c r="R113" s="5" t="inlineStr">
        <is>
          <t>Imported from Tradovate</t>
        </is>
      </c>
      <c r="S113" s="5" t="inlineStr">
        <is>
          <t>MGC</t>
        </is>
      </c>
      <c r="T113" s="5" t="n"/>
      <c r="U113" s="5" t="n"/>
      <c r="V113" s="5" t="inlineStr">
        <is>
          <t>Overtraded</t>
        </is>
      </c>
      <c r="W113" s="5" t="n"/>
      <c r="X113" s="5" t="n"/>
      <c r="Y113" s="5" t="n"/>
      <c r="Z113" s="5" t="n"/>
      <c r="AA113" s="5" t="n"/>
    </row>
    <row r="114" ht="15.75" customHeight="1">
      <c r="A114" s="5" t="n">
        <v>121</v>
      </c>
      <c r="B114" s="22" t="n">
        <v>46267</v>
      </c>
      <c r="C114" s="10" t="n">
        <v>0.4250578703703703</v>
      </c>
      <c r="D114" s="5" t="inlineStr">
        <is>
          <t>MGC</t>
        </is>
      </c>
      <c r="E114" s="5" t="inlineStr">
        <is>
          <t>Long</t>
        </is>
      </c>
      <c r="F114" s="5" t="n">
        <v>4436.666667</v>
      </c>
      <c r="G114" s="5" t="n">
        <v>4430.633333</v>
      </c>
      <c r="H114" s="5" t="n">
        <v>3</v>
      </c>
      <c r="I114" s="5" t="n">
        <v>4425.6</v>
      </c>
      <c r="J114" s="5" t="n"/>
      <c r="K114" s="8">
        <f>IF(AND(I114&lt;&gt;"",J114&lt;&gt;"",F114&lt;&gt;""), (J114-F114)/(F114-I114), "")</f>
        <v/>
      </c>
      <c r="L114" s="8">
        <f>IF(AND(F114&lt;&gt;"",G114&lt;&gt;"",I114&lt;&gt;""), (G114-F114)/(F114-I114), "")</f>
        <v/>
      </c>
      <c r="M114" s="5">
        <f>IF(N114&gt;0,"Win",IF(N114&lt;0,"Loss",""))</f>
        <v/>
      </c>
      <c r="N114" s="16">
        <f>IF(AND(F114&lt;&gt;"",G114&lt;&gt;"",H114&lt;&gt;"",D114&lt;&gt;""), IF(E114="Long", (G114-F114)*H114*VLOOKUP(D114,Multipliers!A:B,2,FALSE), (F114-G114)*H114*VLOOKUP(D114,Multipliers!A:B,2,FALSE)), "")</f>
        <v/>
      </c>
      <c r="O114" s="9">
        <f>IF(AND(N114&lt;&gt;"",F114&lt;&gt;"",H114&lt;&gt;"",D114&lt;&gt;""), N114/(F114*H114*VLOOKUP(D114,Multipliers!A:B,2,FALSE)), "")</f>
        <v/>
      </c>
      <c r="P114" s="5">
        <f>P113+N114</f>
        <v/>
      </c>
      <c r="Q114" s="5" t="inlineStr">
        <is>
          <t>Break and Retest</t>
        </is>
      </c>
      <c r="R114" s="5" t="inlineStr">
        <is>
          <t>Imported from Tradovate</t>
        </is>
      </c>
      <c r="S114" s="5" t="inlineStr">
        <is>
          <t>MGC</t>
        </is>
      </c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>
        <v>122</v>
      </c>
      <c r="B115" s="22" t="n">
        <v>46267</v>
      </c>
      <c r="C115" s="10" t="n">
        <v>0.4597222222222222</v>
      </c>
      <c r="D115" s="5" t="inlineStr">
        <is>
          <t>MGC</t>
        </is>
      </c>
      <c r="E115" s="5" t="inlineStr">
        <is>
          <t>Long</t>
        </is>
      </c>
      <c r="F115" s="5" t="n">
        <v>4421.8</v>
      </c>
      <c r="G115" s="5" t="n">
        <v>4414.3</v>
      </c>
      <c r="H115" s="5" t="n">
        <v>2</v>
      </c>
      <c r="I115" s="5" t="n">
        <v>4414.3</v>
      </c>
      <c r="J115" s="5" t="n">
        <v>4422.2</v>
      </c>
      <c r="K115" s="8">
        <f>IF(AND(I115&lt;&gt;"",J115&lt;&gt;"",F115&lt;&gt;""), (J115-F115)/(F115-I115), "")</f>
        <v/>
      </c>
      <c r="L115" s="8">
        <f>IF(AND(F115&lt;&gt;"",G115&lt;&gt;"",I115&lt;&gt;""), (G115-F115)/(F115-I115), "")</f>
        <v/>
      </c>
      <c r="M115" s="5">
        <f>IF(N115&gt;0,"Win",IF(N115&lt;0,"Loss",""))</f>
        <v/>
      </c>
      <c r="N115" s="16">
        <f>IF(AND(F115&lt;&gt;"",G115&lt;&gt;"",H115&lt;&gt;"",D115&lt;&gt;""), IF(E115="Long", (G115-F115)*H115*VLOOKUP(D115,Multipliers!A:B,2,FALSE), (F115-G115)*H115*VLOOKUP(D115,Multipliers!A:B,2,FALSE)), "")</f>
        <v/>
      </c>
      <c r="O115" s="9">
        <f>IF(AND(N115&lt;&gt;"",F115&lt;&gt;"",H115&lt;&gt;"",D115&lt;&gt;""), N115/(F115*H115*VLOOKUP(D115,Multipliers!A:B,2,FALSE)), "")</f>
        <v/>
      </c>
      <c r="P115" s="5">
        <f>P114+N115</f>
        <v/>
      </c>
      <c r="Q115" s="5" t="inlineStr">
        <is>
          <t>Break and Retest</t>
        </is>
      </c>
      <c r="R115" s="5" t="inlineStr">
        <is>
          <t>Imported from Tradovate</t>
        </is>
      </c>
      <c r="S115" s="5" t="inlineStr">
        <is>
          <t>MGC</t>
        </is>
      </c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>
        <v>123</v>
      </c>
      <c r="B116" s="22" t="n">
        <v>46267</v>
      </c>
      <c r="C116" s="10" t="n">
        <v>0.5905787037037037</v>
      </c>
      <c r="D116" s="5" t="inlineStr">
        <is>
          <t>MGC</t>
        </is>
      </c>
      <c r="E116" s="5" t="inlineStr">
        <is>
          <t>Short</t>
        </is>
      </c>
      <c r="F116" s="5" t="n">
        <v>4417.95</v>
      </c>
      <c r="G116" s="5" t="n">
        <v>4425</v>
      </c>
      <c r="H116" s="5" t="n">
        <v>2</v>
      </c>
      <c r="I116" s="5" t="n">
        <v>4425.5</v>
      </c>
      <c r="J116" s="5" t="n">
        <v>4413.5</v>
      </c>
      <c r="K116" s="8">
        <f>IF(AND(I116&lt;&gt;"",J116&lt;&gt;"",F116&lt;&gt;""), (J116-F116)/(F116-I116), "")</f>
        <v/>
      </c>
      <c r="L116" s="8">
        <f>IF(AND(F116&lt;&gt;"",G116&lt;&gt;"",I116&lt;&gt;""), (G116-F116)/(F116-I116), "")</f>
        <v/>
      </c>
      <c r="M116" s="5">
        <f>IF(N116&gt;0,"Win",IF(N116&lt;0,"Loss",""))</f>
        <v/>
      </c>
      <c r="N116" s="16">
        <f>IF(AND(F116&lt;&gt;"",G116&lt;&gt;"",H116&lt;&gt;"",D116&lt;&gt;""), IF(E116="Long", (G116-F116)*H116*VLOOKUP(D116,Multipliers!A:B,2,FALSE), (F116-G116)*H116*VLOOKUP(D116,Multipliers!A:B,2,FALSE)), "")</f>
        <v/>
      </c>
      <c r="O116" s="9">
        <f>IF(AND(N116&lt;&gt;"",F116&lt;&gt;"",H116&lt;&gt;"",D116&lt;&gt;""), N116/(F116*H116*VLOOKUP(D116,Multipliers!A:B,2,FALSE)), "")</f>
        <v/>
      </c>
      <c r="P116" s="5">
        <f>P115+N116</f>
        <v/>
      </c>
      <c r="Q116" s="5" t="inlineStr">
        <is>
          <t>Break and Retest</t>
        </is>
      </c>
      <c r="R116" s="5" t="inlineStr">
        <is>
          <t>Imported from Tradovate</t>
        </is>
      </c>
      <c r="S116" s="5" t="inlineStr">
        <is>
          <t>MGC</t>
        </is>
      </c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>
        <v>124</v>
      </c>
      <c r="B117" s="22" t="n">
        <v>46267</v>
      </c>
      <c r="C117" s="10" t="n">
        <v>0.5995486111111111</v>
      </c>
      <c r="D117" s="5" t="inlineStr">
        <is>
          <t>MNQ</t>
        </is>
      </c>
      <c r="E117" s="5" t="inlineStr">
        <is>
          <t>Long</t>
        </is>
      </c>
      <c r="F117" s="5" t="n">
        <v>29166.625</v>
      </c>
      <c r="G117" s="5" t="n">
        <v>29171.875</v>
      </c>
      <c r="H117" s="5" t="n">
        <v>2</v>
      </c>
      <c r="I117" s="5" t="n">
        <v>29150.5</v>
      </c>
      <c r="J117" s="5" t="n">
        <v>29173</v>
      </c>
      <c r="K117" s="8">
        <f>IF(AND(I117&lt;&gt;"",J117&lt;&gt;"",F117&lt;&gt;""), (J117-F117)/(F117-I117), "")</f>
        <v/>
      </c>
      <c r="L117" s="8">
        <f>IF(AND(F117&lt;&gt;"",G117&lt;&gt;"",I117&lt;&gt;""), (G117-F117)/(F117-I117), "")</f>
        <v/>
      </c>
      <c r="M117" s="5">
        <f>IF(N117&gt;0,"Win",IF(N117&lt;0,"Loss",""))</f>
        <v/>
      </c>
      <c r="N117" s="16">
        <f>IF(AND(F117&lt;&gt;"",G117&lt;&gt;"",H117&lt;&gt;"",D117&lt;&gt;""), IF(E117="Long", (G117-F117)*H117*VLOOKUP(D117,Multipliers!A:B,2,FALSE), (F117-G117)*H117*VLOOKUP(D117,Multipliers!A:B,2,FALSE)), "")</f>
        <v/>
      </c>
      <c r="O117" s="9">
        <f>IF(AND(N117&lt;&gt;"",F117&lt;&gt;"",H117&lt;&gt;"",D117&lt;&gt;""), N117/(F117*H117*VLOOKUP(D117,Multipliers!A:B,2,FALSE)), "")</f>
        <v/>
      </c>
      <c r="P117" s="5">
        <f>P116+N117</f>
        <v/>
      </c>
      <c r="Q117" s="5" t="inlineStr">
        <is>
          <t>Break and Retest</t>
        </is>
      </c>
      <c r="R117" s="5" t="inlineStr">
        <is>
          <t>Imported from Tradovate</t>
        </is>
      </c>
      <c r="S117" s="5" t="inlineStr">
        <is>
          <t>MNQ</t>
        </is>
      </c>
      <c r="T117" s="5" t="n"/>
      <c r="U117" s="5" t="n"/>
      <c r="V117" s="5" t="inlineStr">
        <is>
          <t>Revenge trade</t>
        </is>
      </c>
      <c r="W117" s="5" t="n"/>
      <c r="X117" s="5" t="n"/>
      <c r="Y117" s="5" t="n"/>
      <c r="Z117" s="5" t="n"/>
      <c r="AA117" s="5" t="n"/>
    </row>
    <row r="118" ht="15.75" customHeight="1">
      <c r="A118" s="5" t="n">
        <v>125</v>
      </c>
      <c r="B118" s="22" t="n">
        <v>46267</v>
      </c>
      <c r="C118" s="10" t="n">
        <v>0.6571643518518518</v>
      </c>
      <c r="D118" s="5" t="inlineStr">
        <is>
          <t>MGC</t>
        </is>
      </c>
      <c r="E118" s="5" t="inlineStr">
        <is>
          <t>Short</t>
        </is>
      </c>
      <c r="F118" s="5" t="n">
        <v>4432.3</v>
      </c>
      <c r="G118" s="5" t="n">
        <v>4435.9</v>
      </c>
      <c r="H118" s="5" t="n">
        <v>1</v>
      </c>
      <c r="I118" s="5" t="n">
        <v>4438.2</v>
      </c>
      <c r="J118" s="5" t="n"/>
      <c r="K118" s="8">
        <f>IF(AND(I118&lt;&gt;"",J118&lt;&gt;"",F118&lt;&gt;""), (J118-F118)/(F118-I118), "")</f>
        <v/>
      </c>
      <c r="L118" s="8">
        <f>IF(AND(F118&lt;&gt;"",G118&lt;&gt;"",I118&lt;&gt;""), (G118-F118)/(F118-I118), "")</f>
        <v/>
      </c>
      <c r="M118" s="5">
        <f>IF(N118&gt;0,"Win",IF(N118&lt;0,"Loss",""))</f>
        <v/>
      </c>
      <c r="N118" s="16">
        <f>IF(AND(F118&lt;&gt;"",G118&lt;&gt;"",H118&lt;&gt;"",D118&lt;&gt;""), IF(E118="Long", (G118-F118)*H118*VLOOKUP(D118,Multipliers!A:B,2,FALSE), (F118-G118)*H118*VLOOKUP(D118,Multipliers!A:B,2,FALSE)), "")</f>
        <v/>
      </c>
      <c r="O118" s="9">
        <f>IF(AND(N118&lt;&gt;"",F118&lt;&gt;"",H118&lt;&gt;"",D118&lt;&gt;""), N118/(F118*H118*VLOOKUP(D118,Multipliers!A:B,2,FALSE)), "")</f>
        <v/>
      </c>
      <c r="P118" s="5">
        <f>P117+N118</f>
        <v/>
      </c>
      <c r="Q118" s="5" t="inlineStr">
        <is>
          <t>Break and Retest</t>
        </is>
      </c>
      <c r="R118" s="5" t="inlineStr">
        <is>
          <t>Imported from Tradovate</t>
        </is>
      </c>
      <c r="S118" s="5" t="inlineStr">
        <is>
          <t>MGC</t>
        </is>
      </c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>
        <v>126</v>
      </c>
      <c r="B119" s="22" t="n">
        <v>46268</v>
      </c>
      <c r="C119" s="10" t="n">
        <v>0.3698032407407407</v>
      </c>
      <c r="D119" s="5" t="inlineStr">
        <is>
          <t>MGC</t>
        </is>
      </c>
      <c r="E119" s="5" t="inlineStr">
        <is>
          <t>Long</t>
        </is>
      </c>
      <c r="F119" s="5" t="n">
        <v>4536.966667</v>
      </c>
      <c r="G119" s="5" t="n">
        <v>4539.9</v>
      </c>
      <c r="H119" s="5" t="n">
        <v>3</v>
      </c>
      <c r="I119" s="5" t="n">
        <v>4525.9</v>
      </c>
      <c r="J119" s="5" t="n">
        <v>4541.7</v>
      </c>
      <c r="K119" s="8">
        <f>IF(AND(I119&lt;&gt;"",J119&lt;&gt;"",F119&lt;&gt;""), (J119-F119)/(F119-I119), "")</f>
        <v/>
      </c>
      <c r="L119" s="8">
        <f>IF(AND(F119&lt;&gt;"",G119&lt;&gt;"",I119&lt;&gt;""), (G119-F119)/(F119-I119), "")</f>
        <v/>
      </c>
      <c r="M119" s="5">
        <f>IF(N119&gt;0,"Win",IF(N119&lt;0,"Loss",""))</f>
        <v/>
      </c>
      <c r="N119" s="16">
        <f>IF(AND(F119&lt;&gt;"",G119&lt;&gt;"",H119&lt;&gt;"",D119&lt;&gt;""), IF(E119="Long", (G119-F119)*H119*VLOOKUP(D119,Multipliers!A:B,2,FALSE), (F119-G119)*H119*VLOOKUP(D119,Multipliers!A:B,2,FALSE)), "")</f>
        <v/>
      </c>
      <c r="O119" s="9">
        <f>IF(AND(N119&lt;&gt;"",F119&lt;&gt;"",H119&lt;&gt;"",D119&lt;&gt;""), N119/(F119*H119*VLOOKUP(D119,Multipliers!A:B,2,FALSE)), "")</f>
        <v/>
      </c>
      <c r="P119" s="5">
        <f>P118+N119</f>
        <v/>
      </c>
      <c r="Q119" s="5" t="inlineStr">
        <is>
          <t>Break and Retest</t>
        </is>
      </c>
      <c r="R119" s="5" t="inlineStr">
        <is>
          <t>Imported from Tradovate</t>
        </is>
      </c>
      <c r="S119" s="5" t="inlineStr">
        <is>
          <t>MGC</t>
        </is>
      </c>
      <c r="T119" s="5" t="n"/>
      <c r="U119" s="5" t="n"/>
      <c r="V119" s="5" t="inlineStr">
        <is>
          <t>Overtraded</t>
        </is>
      </c>
      <c r="W119" s="5" t="n"/>
      <c r="X119" s="5" t="n"/>
      <c r="Y119" s="5" t="n"/>
      <c r="Z119" s="5" t="n"/>
      <c r="AA119" s="5" t="n"/>
    </row>
    <row r="120" ht="15.75" customHeight="1">
      <c r="A120" s="5" t="n">
        <v>127</v>
      </c>
      <c r="B120" s="22" t="n">
        <v>46268</v>
      </c>
      <c r="C120" s="10" t="n">
        <v>0.390625</v>
      </c>
      <c r="D120" s="5" t="inlineStr">
        <is>
          <t>MGC</t>
        </is>
      </c>
      <c r="E120" s="5" t="inlineStr">
        <is>
          <t>Long</t>
        </is>
      </c>
      <c r="F120" s="5" t="n">
        <v>4527.95</v>
      </c>
      <c r="G120" s="5" t="n">
        <v>4527.2</v>
      </c>
      <c r="H120" s="5" t="n">
        <v>2</v>
      </c>
      <c r="I120" s="5" t="n">
        <v>4520.3</v>
      </c>
      <c r="J120" s="5" t="n">
        <v>4528.5</v>
      </c>
      <c r="K120" s="8">
        <f>IF(AND(I120&lt;&gt;"",J120&lt;&gt;"",F120&lt;&gt;""), (J120-F120)/(F120-I120), "")</f>
        <v/>
      </c>
      <c r="L120" s="8">
        <f>IF(AND(F120&lt;&gt;"",G120&lt;&gt;"",I120&lt;&gt;""), (G120-F120)/(F120-I120), "")</f>
        <v/>
      </c>
      <c r="M120" s="5">
        <f>IF(N120&gt;0,"Win",IF(N120&lt;0,"Loss",""))</f>
        <v/>
      </c>
      <c r="N120" s="16">
        <f>IF(AND(F120&lt;&gt;"",G120&lt;&gt;"",H120&lt;&gt;"",D120&lt;&gt;""), IF(E120="Long", (G120-F120)*H120*VLOOKUP(D120,Multipliers!A:B,2,FALSE), (F120-G120)*H120*VLOOKUP(D120,Multipliers!A:B,2,FALSE)), "")</f>
        <v/>
      </c>
      <c r="O120" s="9">
        <f>IF(AND(N120&lt;&gt;"",F120&lt;&gt;"",H120&lt;&gt;"",D120&lt;&gt;""), N120/(F120*H120*VLOOKUP(D120,Multipliers!A:B,2,FALSE)), "")</f>
        <v/>
      </c>
      <c r="P120" s="5">
        <f>P119+N120</f>
        <v/>
      </c>
      <c r="Q120" s="5" t="inlineStr">
        <is>
          <t>Break and Retest</t>
        </is>
      </c>
      <c r="R120" s="5" t="inlineStr">
        <is>
          <t>Imported from Tradovate</t>
        </is>
      </c>
      <c r="S120" s="5" t="inlineStr">
        <is>
          <t>MGC</t>
        </is>
      </c>
      <c r="T120" s="5" t="n"/>
      <c r="U120" s="5" t="n"/>
      <c r="V120" s="5" t="inlineStr">
        <is>
          <t>Overtraded</t>
        </is>
      </c>
      <c r="W120" s="5" t="n"/>
      <c r="X120" s="5" t="n"/>
      <c r="Y120" s="5" t="n"/>
      <c r="Z120" s="5" t="n"/>
      <c r="AA120" s="5" t="n"/>
    </row>
    <row r="121" ht="15.75" customHeight="1">
      <c r="A121" s="5" t="n">
        <v>128</v>
      </c>
      <c r="B121" s="22" t="n">
        <v>46268</v>
      </c>
      <c r="C121" s="10" t="n">
        <v>0.4108333333333333</v>
      </c>
      <c r="D121" s="5" t="inlineStr">
        <is>
          <t>MNQ</t>
        </is>
      </c>
      <c r="E121" s="5" t="inlineStr">
        <is>
          <t>Short</t>
        </is>
      </c>
      <c r="F121" s="5" t="n">
        <v>29353</v>
      </c>
      <c r="G121" s="5" t="n">
        <v>29328.5</v>
      </c>
      <c r="H121" s="5" t="n">
        <v>6</v>
      </c>
      <c r="I121" s="5" t="n">
        <v>29392.75</v>
      </c>
      <c r="J121" s="5" t="n">
        <v>29325.25</v>
      </c>
      <c r="K121" s="8">
        <f>IF(AND(I121&lt;&gt;"",J121&lt;&gt;"",F121&lt;&gt;""), (J121-F121)/(F121-I121), "")</f>
        <v/>
      </c>
      <c r="L121" s="8">
        <f>IF(AND(F121&lt;&gt;"",G121&lt;&gt;"",I121&lt;&gt;""), (G121-F121)/(F121-I121), "")</f>
        <v/>
      </c>
      <c r="M121" s="5">
        <f>IF(N121&gt;0,"Win",IF(N121&lt;0,"Loss",""))</f>
        <v/>
      </c>
      <c r="N121" s="16">
        <f>IF(AND(F121&lt;&gt;"",G121&lt;&gt;"",H121&lt;&gt;"",D121&lt;&gt;""), IF(E121="Long", (G121-F121)*H121*VLOOKUP(D121,Multipliers!A:B,2,FALSE), (F121-G121)*H121*VLOOKUP(D121,Multipliers!A:B,2,FALSE)), "")</f>
        <v/>
      </c>
      <c r="O121" s="9">
        <f>IF(AND(N121&lt;&gt;"",F121&lt;&gt;"",H121&lt;&gt;"",D121&lt;&gt;""), N121/(F121*H121*VLOOKUP(D121,Multipliers!A:B,2,FALSE)), "")</f>
        <v/>
      </c>
      <c r="P121" s="5">
        <f>P120+N121</f>
        <v/>
      </c>
      <c r="Q121" s="5" t="inlineStr">
        <is>
          <t>Break and Retest</t>
        </is>
      </c>
      <c r="R121" s="5" t="inlineStr">
        <is>
          <t>Imported from Tradovate</t>
        </is>
      </c>
      <c r="S121" s="5" t="inlineStr">
        <is>
          <t>MNQ</t>
        </is>
      </c>
      <c r="T121" s="5" t="n"/>
      <c r="U121" s="5" t="n"/>
      <c r="V121" s="5" t="inlineStr">
        <is>
          <t>Overtraded</t>
        </is>
      </c>
      <c r="W121" s="5" t="n"/>
      <c r="X121" s="5" t="n"/>
      <c r="Y121" s="5" t="n"/>
      <c r="Z121" s="5" t="n"/>
      <c r="AA121" s="5" t="n"/>
    </row>
    <row r="122" ht="15.75" customHeight="1">
      <c r="A122" s="5" t="n">
        <v>129</v>
      </c>
      <c r="B122" s="22" t="n">
        <v>46268</v>
      </c>
      <c r="C122" s="10" t="n">
        <v>0.4142129629629629</v>
      </c>
      <c r="D122" s="5" t="inlineStr">
        <is>
          <t>MGC</t>
        </is>
      </c>
      <c r="E122" s="5" t="inlineStr">
        <is>
          <t>Long</t>
        </is>
      </c>
      <c r="F122" s="5" t="n">
        <v>4512</v>
      </c>
      <c r="G122" s="5" t="n">
        <v>4506.4</v>
      </c>
      <c r="H122" s="5" t="n">
        <v>3</v>
      </c>
      <c r="I122" s="5" t="n">
        <v>4507.3</v>
      </c>
      <c r="J122" s="5" t="n">
        <v>4524.3</v>
      </c>
      <c r="K122" s="8">
        <f>IF(AND(I122&lt;&gt;"",J122&lt;&gt;"",F122&lt;&gt;""), (J122-F122)/(F122-I122), "")</f>
        <v/>
      </c>
      <c r="L122" s="8">
        <f>IF(AND(F122&lt;&gt;"",G122&lt;&gt;"",I122&lt;&gt;""), (G122-F122)/(F122-I122), "")</f>
        <v/>
      </c>
      <c r="M122" s="5">
        <f>IF(N122&gt;0,"Win",IF(N122&lt;0,"Loss",""))</f>
        <v/>
      </c>
      <c r="N122" s="16">
        <f>IF(AND(F122&lt;&gt;"",G122&lt;&gt;"",H122&lt;&gt;"",D122&lt;&gt;""), IF(E122="Long", (G122-F122)*H122*VLOOKUP(D122,Multipliers!A:B,2,FALSE), (F122-G122)*H122*VLOOKUP(D122,Multipliers!A:B,2,FALSE)), "")</f>
        <v/>
      </c>
      <c r="O122" s="9">
        <f>IF(AND(N122&lt;&gt;"",F122&lt;&gt;"",H122&lt;&gt;"",D122&lt;&gt;""), N122/(F122*H122*VLOOKUP(D122,Multipliers!A:B,2,FALSE)), "")</f>
        <v/>
      </c>
      <c r="P122" s="5">
        <f>P121+N122</f>
        <v/>
      </c>
      <c r="Q122" s="5" t="inlineStr">
        <is>
          <t>Break and Retest</t>
        </is>
      </c>
      <c r="R122" s="5" t="inlineStr">
        <is>
          <t>Imported from Tradovate</t>
        </is>
      </c>
      <c r="S122" s="5" t="inlineStr">
        <is>
          <t>MGC</t>
        </is>
      </c>
      <c r="T122" s="5" t="n"/>
      <c r="U122" s="5" t="n"/>
      <c r="V122" s="5" t="inlineStr">
        <is>
          <t>Blew stop, Overtraded</t>
        </is>
      </c>
      <c r="W122" s="5" t="n"/>
      <c r="X122" s="5" t="n"/>
      <c r="Y122" s="5" t="n"/>
      <c r="Z122" s="5" t="n"/>
      <c r="AA122" s="5" t="n"/>
    </row>
    <row r="123" ht="15.75" customHeight="1">
      <c r="A123" s="5" t="n">
        <v>130</v>
      </c>
      <c r="B123" s="22" t="n">
        <v>46268</v>
      </c>
      <c r="C123" s="10" t="n">
        <v>0.4224421296296296</v>
      </c>
      <c r="D123" s="5" t="inlineStr">
        <is>
          <t>MGC</t>
        </is>
      </c>
      <c r="E123" s="5" t="inlineStr">
        <is>
          <t>Long</t>
        </is>
      </c>
      <c r="F123" s="5" t="n">
        <v>4517.4</v>
      </c>
      <c r="G123" s="5" t="n">
        <v>4508.2</v>
      </c>
      <c r="H123" s="5" t="n">
        <v>2</v>
      </c>
      <c r="I123" s="5" t="n">
        <v>4508.3</v>
      </c>
      <c r="J123" s="5" t="n">
        <v>4518</v>
      </c>
      <c r="K123" s="8">
        <f>IF(AND(I123&lt;&gt;"",J123&lt;&gt;"",F123&lt;&gt;""), (J123-F123)/(F123-I123), "")</f>
        <v/>
      </c>
      <c r="L123" s="8">
        <f>IF(AND(F123&lt;&gt;"",G123&lt;&gt;"",I123&lt;&gt;""), (G123-F123)/(F123-I123), "")</f>
        <v/>
      </c>
      <c r="M123" s="5">
        <f>IF(N123&gt;0,"Win",IF(N123&lt;0,"Loss",""))</f>
        <v/>
      </c>
      <c r="N123" s="16">
        <f>IF(AND(F123&lt;&gt;"",G123&lt;&gt;"",H123&lt;&gt;"",D123&lt;&gt;""), IF(E123="Long", (G123-F123)*H123*VLOOKUP(D123,Multipliers!A:B,2,FALSE), (F123-G123)*H123*VLOOKUP(D123,Multipliers!A:B,2,FALSE)), "")</f>
        <v/>
      </c>
      <c r="O123" s="9">
        <f>IF(AND(N123&lt;&gt;"",F123&lt;&gt;"",H123&lt;&gt;"",D123&lt;&gt;""), N123/(F123*H123*VLOOKUP(D123,Multipliers!A:B,2,FALSE)), "")</f>
        <v/>
      </c>
      <c r="P123" s="5">
        <f>P122+N123</f>
        <v/>
      </c>
      <c r="Q123" s="5" t="inlineStr">
        <is>
          <t>Break and Retest</t>
        </is>
      </c>
      <c r="R123" s="5" t="inlineStr">
        <is>
          <t>Imported from Tradovate</t>
        </is>
      </c>
      <c r="S123" s="5" t="inlineStr">
        <is>
          <t>MGC</t>
        </is>
      </c>
      <c r="T123" s="5" t="n"/>
      <c r="U123" s="5" t="n"/>
      <c r="V123" s="5" t="inlineStr">
        <is>
          <t>Overtraded</t>
        </is>
      </c>
      <c r="W123" s="5" t="n"/>
      <c r="X123" s="5" t="n"/>
      <c r="Y123" s="5" t="n"/>
      <c r="Z123" s="5" t="n"/>
      <c r="AA123" s="5" t="n"/>
    </row>
    <row r="124" ht="15.75" customHeight="1">
      <c r="A124" s="5" t="n">
        <v>131</v>
      </c>
      <c r="B124" s="22" t="n">
        <v>46268</v>
      </c>
      <c r="C124" s="10" t="n">
        <v>0.4380555555555555</v>
      </c>
      <c r="D124" s="5" t="inlineStr">
        <is>
          <t>MNQ</t>
        </is>
      </c>
      <c r="E124" s="5" t="inlineStr">
        <is>
          <t>Short</t>
        </is>
      </c>
      <c r="F124" s="5" t="n">
        <v>29357</v>
      </c>
      <c r="G124" s="5" t="n">
        <v>29311.75</v>
      </c>
      <c r="H124" s="5" t="n">
        <v>3</v>
      </c>
      <c r="I124" s="5" t="n">
        <v>29376.25</v>
      </c>
      <c r="J124" s="5" t="n">
        <v>29311.75</v>
      </c>
      <c r="K124" s="8">
        <f>IF(AND(I124&lt;&gt;"",J124&lt;&gt;"",F124&lt;&gt;""), (J124-F124)/(F124-I124), "")</f>
        <v/>
      </c>
      <c r="L124" s="8">
        <f>IF(AND(F124&lt;&gt;"",G124&lt;&gt;"",I124&lt;&gt;""), (G124-F124)/(F124-I124), "")</f>
        <v/>
      </c>
      <c r="M124" s="5">
        <f>IF(N124&gt;0,"Win",IF(N124&lt;0,"Loss",""))</f>
        <v/>
      </c>
      <c r="N124" s="16">
        <f>IF(AND(F124&lt;&gt;"",G124&lt;&gt;"",H124&lt;&gt;"",D124&lt;&gt;""), IF(E124="Long", (G124-F124)*H124*VLOOKUP(D124,Multipliers!A:B,2,FALSE), (F124-G124)*H124*VLOOKUP(D124,Multipliers!A:B,2,FALSE)), "")</f>
        <v/>
      </c>
      <c r="O124" s="9">
        <f>IF(AND(N124&lt;&gt;"",F124&lt;&gt;"",H124&lt;&gt;"",D124&lt;&gt;""), N124/(F124*H124*VLOOKUP(D124,Multipliers!A:B,2,FALSE)), "")</f>
        <v/>
      </c>
      <c r="P124" s="5">
        <f>P123+N124</f>
        <v/>
      </c>
      <c r="Q124" s="5" t="inlineStr">
        <is>
          <t>Break and Retest</t>
        </is>
      </c>
      <c r="R124" s="5" t="inlineStr">
        <is>
          <t>Imported from Tradovate</t>
        </is>
      </c>
      <c r="S124" s="5" t="inlineStr">
        <is>
          <t>MNQ</t>
        </is>
      </c>
      <c r="T124" s="5" t="n"/>
      <c r="U124" s="5" t="n"/>
      <c r="V124" s="5" t="inlineStr">
        <is>
          <t>Overtraded</t>
        </is>
      </c>
      <c r="W124" s="5" t="n"/>
      <c r="X124" s="5" t="n"/>
      <c r="Y124" s="5" t="n"/>
      <c r="Z124" s="5" t="n"/>
      <c r="AA124" s="5" t="n"/>
    </row>
    <row r="125" ht="15.75" customHeight="1">
      <c r="A125" s="5" t="n">
        <v>132</v>
      </c>
      <c r="B125" s="22" t="n">
        <v>46268</v>
      </c>
      <c r="C125" s="10" t="n">
        <v>0.4851157407407408</v>
      </c>
      <c r="D125" s="5" t="inlineStr">
        <is>
          <t>MNQ</t>
        </is>
      </c>
      <c r="E125" s="5" t="inlineStr">
        <is>
          <t>Long</t>
        </is>
      </c>
      <c r="F125" s="5" t="n">
        <v>29513.25</v>
      </c>
      <c r="G125" s="5" t="n">
        <v>29514</v>
      </c>
      <c r="H125" s="5" t="n">
        <v>2</v>
      </c>
      <c r="I125" s="5" t="n">
        <v>29494.25</v>
      </c>
      <c r="J125" s="5" t="n">
        <v>29514</v>
      </c>
      <c r="K125" s="8">
        <f>IF(AND(I125&lt;&gt;"",J125&lt;&gt;"",F125&lt;&gt;""), (J125-F125)/(F125-I125), "")</f>
        <v/>
      </c>
      <c r="L125" s="8">
        <f>IF(AND(F125&lt;&gt;"",G125&lt;&gt;"",I125&lt;&gt;""), (G125-F125)/(F125-I125), "")</f>
        <v/>
      </c>
      <c r="M125" s="5">
        <f>IF(N125&gt;0,"Win",IF(N125&lt;0,"Loss",""))</f>
        <v/>
      </c>
      <c r="N125" s="16">
        <f>IF(AND(F125&lt;&gt;"",G125&lt;&gt;"",H125&lt;&gt;"",D125&lt;&gt;""), IF(E125="Long", (G125-F125)*H125*VLOOKUP(D125,Multipliers!A:B,2,FALSE), (F125-G125)*H125*VLOOKUP(D125,Multipliers!A:B,2,FALSE)), "")</f>
        <v/>
      </c>
      <c r="O125" s="9">
        <f>IF(AND(N125&lt;&gt;"",F125&lt;&gt;"",H125&lt;&gt;"",D125&lt;&gt;""), N125/(F125*H125*VLOOKUP(D125,Multipliers!A:B,2,FALSE)), "")</f>
        <v/>
      </c>
      <c r="P125" s="5">
        <f>P124+N125</f>
        <v/>
      </c>
      <c r="Q125" s="5" t="inlineStr">
        <is>
          <t>Break and Retest</t>
        </is>
      </c>
      <c r="R125" s="5" t="inlineStr">
        <is>
          <t>Imported from Tradovate</t>
        </is>
      </c>
      <c r="S125" s="5" t="inlineStr">
        <is>
          <t>MNQ</t>
        </is>
      </c>
      <c r="T125" s="5" t="n"/>
      <c r="U125" s="5" t="n"/>
      <c r="V125" s="5" t="inlineStr">
        <is>
          <t>Overtraded</t>
        </is>
      </c>
      <c r="W125" s="5" t="n"/>
      <c r="X125" s="5" t="n"/>
      <c r="Y125" s="5" t="n"/>
      <c r="Z125" s="5" t="n"/>
      <c r="AA125" s="5" t="n"/>
    </row>
    <row r="126" ht="15.75" customHeight="1">
      <c r="A126" s="5" t="n">
        <v>133</v>
      </c>
      <c r="B126" s="22" t="n">
        <v>46268</v>
      </c>
      <c r="C126" s="10" t="n">
        <v>0.4997106481481481</v>
      </c>
      <c r="D126" s="5" t="inlineStr">
        <is>
          <t>MGC</t>
        </is>
      </c>
      <c r="E126" s="5" t="inlineStr">
        <is>
          <t>Short</t>
        </is>
      </c>
      <c r="F126" s="5" t="n">
        <v>4538.1</v>
      </c>
      <c r="G126" s="5" t="n">
        <v>4542</v>
      </c>
      <c r="H126" s="5" t="n">
        <v>3</v>
      </c>
      <c r="I126" s="5" t="n">
        <v>4542.2</v>
      </c>
      <c r="J126" s="5" t="n">
        <v>4524.8</v>
      </c>
      <c r="K126" s="8">
        <f>IF(AND(I126&lt;&gt;"",J126&lt;&gt;"",F126&lt;&gt;""), (J126-F126)/(F126-I126), "")</f>
        <v/>
      </c>
      <c r="L126" s="8">
        <f>IF(AND(F126&lt;&gt;"",G126&lt;&gt;"",I126&lt;&gt;""), (G126-F126)/(F126-I126), "")</f>
        <v/>
      </c>
      <c r="M126" s="5">
        <f>IF(N126&gt;0,"Win",IF(N126&lt;0,"Loss",""))</f>
        <v/>
      </c>
      <c r="N126" s="16">
        <f>IF(AND(F126&lt;&gt;"",G126&lt;&gt;"",H126&lt;&gt;"",D126&lt;&gt;""), IF(E126="Long", (G126-F126)*H126*VLOOKUP(D126,Multipliers!A:B,2,FALSE), (F126-G126)*H126*VLOOKUP(D126,Multipliers!A:B,2,FALSE)), "")</f>
        <v/>
      </c>
      <c r="O126" s="9">
        <f>IF(AND(N126&lt;&gt;"",F126&lt;&gt;"",H126&lt;&gt;"",D126&lt;&gt;""), N126/(F126*H126*VLOOKUP(D126,Multipliers!A:B,2,FALSE)), "")</f>
        <v/>
      </c>
      <c r="P126" s="5">
        <f>P125+N126</f>
        <v/>
      </c>
      <c r="Q126" s="5" t="inlineStr">
        <is>
          <t>Break and Retest</t>
        </is>
      </c>
      <c r="R126" s="5" t="inlineStr">
        <is>
          <t>Imported from Tradovate</t>
        </is>
      </c>
      <c r="S126" s="5" t="inlineStr">
        <is>
          <t>MGC</t>
        </is>
      </c>
      <c r="T126" s="5" t="n"/>
      <c r="U126" s="5" t="n"/>
      <c r="V126" s="5" t="inlineStr">
        <is>
          <t>Overtraded</t>
        </is>
      </c>
      <c r="W126" s="5" t="n"/>
      <c r="X126" s="5" t="n"/>
      <c r="Y126" s="5" t="n"/>
      <c r="Z126" s="5" t="n"/>
      <c r="AA126" s="5" t="n"/>
    </row>
    <row r="127" ht="15.75" customHeight="1">
      <c r="A127" s="5" t="n">
        <v>134</v>
      </c>
      <c r="B127" s="22" t="n">
        <v>46268</v>
      </c>
      <c r="C127" s="10" t="n">
        <v>0.5813194444444445</v>
      </c>
      <c r="D127" s="5" t="inlineStr">
        <is>
          <t>MNQ</t>
        </is>
      </c>
      <c r="E127" s="5" t="inlineStr">
        <is>
          <t>Long</t>
        </is>
      </c>
      <c r="F127" s="5" t="n">
        <v>29565.25</v>
      </c>
      <c r="G127" s="5" t="n">
        <v>29576.5</v>
      </c>
      <c r="H127" s="5" t="n">
        <v>3</v>
      </c>
      <c r="I127" s="5" t="n">
        <v>29556.5</v>
      </c>
      <c r="J127" s="5" t="n">
        <v>29577.5</v>
      </c>
      <c r="K127" s="8">
        <f>IF(AND(I127&lt;&gt;"",J127&lt;&gt;"",F127&lt;&gt;""), (J127-F127)/(F127-I127), "")</f>
        <v/>
      </c>
      <c r="L127" s="8">
        <f>IF(AND(F127&lt;&gt;"",G127&lt;&gt;"",I127&lt;&gt;""), (G127-F127)/(F127-I127), "")</f>
        <v/>
      </c>
      <c r="M127" s="5">
        <f>IF(N127&gt;0,"Win",IF(N127&lt;0,"Loss",""))</f>
        <v/>
      </c>
      <c r="N127" s="16">
        <f>IF(AND(F127&lt;&gt;"",G127&lt;&gt;"",H127&lt;&gt;"",D127&lt;&gt;""), IF(E127="Long", (G127-F127)*H127*VLOOKUP(D127,Multipliers!A:B,2,FALSE), (F127-G127)*H127*VLOOKUP(D127,Multipliers!A:B,2,FALSE)), "")</f>
        <v/>
      </c>
      <c r="O127" s="5">
        <f>IF(AND(N127&lt;&gt;"",F127&lt;&gt;"",H127&lt;&gt;"",D127&lt;&gt;""), N127/(F127*H127*VLOOKUP(D127,Multipliers!A:B,2,FALSE)), "")</f>
        <v/>
      </c>
      <c r="P127" s="5">
        <f>P126+N127</f>
        <v/>
      </c>
      <c r="Q127" s="5" t="inlineStr">
        <is>
          <t>Break and Retest</t>
        </is>
      </c>
      <c r="R127" s="5" t="inlineStr">
        <is>
          <t>Imported from Tradovate</t>
        </is>
      </c>
      <c r="S127" s="5" t="inlineStr">
        <is>
          <t>MNQ</t>
        </is>
      </c>
      <c r="T127" s="5" t="n"/>
      <c r="U127" s="5" t="n"/>
      <c r="V127" s="5" t="inlineStr">
        <is>
          <t>Overtraded</t>
        </is>
      </c>
      <c r="W127" s="5" t="n"/>
      <c r="X127" s="5" t="n"/>
      <c r="Y127" s="5" t="n"/>
      <c r="Z127" s="5" t="n"/>
      <c r="AA127" s="5" t="n"/>
    </row>
    <row r="128" ht="15.75" customHeight="1">
      <c r="A128" s="5" t="n">
        <v>135</v>
      </c>
      <c r="B128" s="22" t="n">
        <v>46268</v>
      </c>
      <c r="C128" s="10" t="n">
        <v>0.6272222222222222</v>
      </c>
      <c r="D128" s="5" t="inlineStr">
        <is>
          <t>MGC</t>
        </is>
      </c>
      <c r="E128" s="5" t="inlineStr">
        <is>
          <t>Short</t>
        </is>
      </c>
      <c r="F128" s="5" t="n">
        <v>4522.3</v>
      </c>
      <c r="G128" s="5" t="n">
        <v>4527.2</v>
      </c>
      <c r="H128" s="5" t="n">
        <v>1</v>
      </c>
      <c r="I128" s="5" t="n">
        <v>4527.2</v>
      </c>
      <c r="J128" s="5" t="n">
        <v>4521.3</v>
      </c>
      <c r="K128" s="8">
        <f>IF(AND(I128&lt;&gt;"",J128&lt;&gt;"",F128&lt;&gt;""), (J128-F128)/(F128-I128), "")</f>
        <v/>
      </c>
      <c r="L128" s="8">
        <f>IF(AND(F128&lt;&gt;"",G128&lt;&gt;"",I128&lt;&gt;""), (G128-F128)/(F128-I128), "")</f>
        <v/>
      </c>
      <c r="M128" s="5">
        <f>IF(N128&gt;0,"Win",IF(N128&lt;0,"Loss",""))</f>
        <v/>
      </c>
      <c r="N128" s="16">
        <f>IF(AND(F128&lt;&gt;"",G128&lt;&gt;"",H128&lt;&gt;"",D128&lt;&gt;""), IF(E128="Long", (G128-F128)*H128*VLOOKUP(D128,Multipliers!A:B,2,FALSE), (F128-G128)*H128*VLOOKUP(D128,Multipliers!A:B,2,FALSE)), "")</f>
        <v/>
      </c>
      <c r="O128" s="5">
        <f>IF(AND(N128&lt;&gt;"",F128&lt;&gt;"",H128&lt;&gt;"",D128&lt;&gt;""), N128/(F128*H128*VLOOKUP(D128,Multipliers!A:B,2,FALSE)), "")</f>
        <v/>
      </c>
      <c r="P128" s="5">
        <f>P127+N128</f>
        <v/>
      </c>
      <c r="Q128" s="5" t="inlineStr">
        <is>
          <t>Break and Retest</t>
        </is>
      </c>
      <c r="R128" s="5" t="inlineStr">
        <is>
          <t>Imported from Tradovate</t>
        </is>
      </c>
      <c r="S128" s="5" t="inlineStr">
        <is>
          <t>MGC</t>
        </is>
      </c>
      <c r="T128" s="5" t="n"/>
      <c r="U128" s="5" t="n"/>
      <c r="V128" s="5" t="inlineStr">
        <is>
          <t>Overtraded</t>
        </is>
      </c>
      <c r="W128" s="5" t="n"/>
      <c r="X128" s="5" t="n"/>
      <c r="Y128" s="5" t="n"/>
      <c r="Z128" s="5" t="n"/>
      <c r="AA128" s="5" t="n"/>
    </row>
    <row r="129" ht="15.75" customHeight="1">
      <c r="A129" s="5" t="n">
        <v>136</v>
      </c>
      <c r="B129" s="22" t="n">
        <v>46268</v>
      </c>
      <c r="C129" s="10" t="n">
        <v>0.9261574074074074</v>
      </c>
      <c r="D129" s="5" t="inlineStr">
        <is>
          <t>MGC</t>
        </is>
      </c>
      <c r="E129" s="5" t="inlineStr">
        <is>
          <t>Long</t>
        </is>
      </c>
      <c r="F129" s="5" t="n">
        <v>4525.7</v>
      </c>
      <c r="G129" s="5" t="n">
        <v>4520.9</v>
      </c>
      <c r="H129" s="5" t="n">
        <v>1</v>
      </c>
      <c r="I129" s="5" t="n">
        <v>4520.9</v>
      </c>
      <c r="J129" s="5" t="n">
        <v>4537.9</v>
      </c>
      <c r="K129" s="8">
        <f>IF(AND(I129&lt;&gt;"",J129&lt;&gt;"",F129&lt;&gt;""), (J129-F129)/(F129-I129), "")</f>
        <v/>
      </c>
      <c r="L129" s="8">
        <f>IF(AND(F129&lt;&gt;"",G129&lt;&gt;"",I129&lt;&gt;""), (G129-F129)/(F129-I129), "")</f>
        <v/>
      </c>
      <c r="M129" s="5">
        <f>IF(N129&gt;0,"Win",IF(N129&lt;0,"Loss",""))</f>
        <v/>
      </c>
      <c r="N129" s="16">
        <f>IF(AND(F129&lt;&gt;"",G129&lt;&gt;"",H129&lt;&gt;"",D129&lt;&gt;""), IF(E129="Long", (G129-F129)*H129*VLOOKUP(D129,Multipliers!A:B,2,FALSE), (F129-G129)*H129*VLOOKUP(D129,Multipliers!A:B,2,FALSE)), "")</f>
        <v/>
      </c>
      <c r="O129" s="5">
        <f>IF(AND(N129&lt;&gt;"",F129&lt;&gt;"",H129&lt;&gt;"",D129&lt;&gt;""), N129/(F129*H129*VLOOKUP(D129,Multipliers!A:B,2,FALSE)), "")</f>
        <v/>
      </c>
      <c r="P129" s="5">
        <f>P128+N129</f>
        <v/>
      </c>
      <c r="Q129" s="5" t="inlineStr">
        <is>
          <t>Break and Retest</t>
        </is>
      </c>
      <c r="R129" s="5" t="inlineStr">
        <is>
          <t>Imported from Tradovate</t>
        </is>
      </c>
      <c r="S129" s="5" t="inlineStr">
        <is>
          <t>MGC</t>
        </is>
      </c>
      <c r="T129" s="5" t="n"/>
      <c r="U129" s="5" t="n"/>
      <c r="V129" s="5" t="inlineStr">
        <is>
          <t>Overtraded</t>
        </is>
      </c>
      <c r="W129" s="5" t="n"/>
      <c r="X129" s="5" t="n"/>
      <c r="Y129" s="5" t="n"/>
      <c r="Z129" s="5" t="n"/>
      <c r="AA129" s="5" t="n"/>
    </row>
    <row r="130" ht="15.75" customHeight="1">
      <c r="A130" s="5" t="n">
        <v>137</v>
      </c>
      <c r="B130" s="22" t="n">
        <v>46268</v>
      </c>
      <c r="C130" s="10" t="n">
        <v>0.9483680555555556</v>
      </c>
      <c r="D130" s="5" t="inlineStr">
        <is>
          <t>MGC</t>
        </is>
      </c>
      <c r="E130" s="5" t="inlineStr">
        <is>
          <t>Long</t>
        </is>
      </c>
      <c r="F130" s="5" t="n">
        <v>4518.4</v>
      </c>
      <c r="G130" s="5" t="n">
        <v>4522</v>
      </c>
      <c r="H130" s="5" t="n">
        <v>2</v>
      </c>
      <c r="I130" s="5" t="n">
        <v>4513.6</v>
      </c>
      <c r="J130" s="5" t="n">
        <v>4522</v>
      </c>
      <c r="K130" s="8">
        <f>IF(AND(I130&lt;&gt;"",J130&lt;&gt;"",F130&lt;&gt;""), (J130-F130)/(F130-I130), "")</f>
        <v/>
      </c>
      <c r="L130" s="8">
        <f>IF(AND(F130&lt;&gt;"",G130&lt;&gt;"",I130&lt;&gt;""), (G130-F130)/(F130-I130), "")</f>
        <v/>
      </c>
      <c r="M130" s="5">
        <f>IF(N130&gt;0,"Win",IF(N130&lt;0,"Loss",""))</f>
        <v/>
      </c>
      <c r="N130" s="16">
        <f>IF(AND(F130&lt;&gt;"",G130&lt;&gt;"",H130&lt;&gt;"",D130&lt;&gt;""), IF(E130="Long", (G130-F130)*H130*VLOOKUP(D130,Multipliers!A:B,2,FALSE), (F130-G130)*H130*VLOOKUP(D130,Multipliers!A:B,2,FALSE)), "")</f>
        <v/>
      </c>
      <c r="O130" s="5">
        <f>IF(AND(N130&lt;&gt;"",F130&lt;&gt;"",H130&lt;&gt;"",D130&lt;&gt;""), N130/(F130*H130*VLOOKUP(D130,Multipliers!A:B,2,FALSE)), "")</f>
        <v/>
      </c>
      <c r="P130" s="5">
        <f>P129+N130</f>
        <v/>
      </c>
      <c r="Q130" s="5" t="inlineStr">
        <is>
          <t>Break and Retest</t>
        </is>
      </c>
      <c r="R130" s="5" t="inlineStr">
        <is>
          <t>Imported from Tradovate</t>
        </is>
      </c>
      <c r="S130" s="5" t="inlineStr">
        <is>
          <t>MGC</t>
        </is>
      </c>
      <c r="T130" s="5" t="n"/>
      <c r="U130" s="5" t="n"/>
      <c r="V130" s="5" t="inlineStr">
        <is>
          <t>Overtraded</t>
        </is>
      </c>
      <c r="W130" s="5" t="n"/>
      <c r="X130" s="5" t="n"/>
      <c r="Y130" s="5" t="n"/>
      <c r="Z130" s="5" t="n"/>
      <c r="AA130" s="5" t="n"/>
    </row>
    <row r="131" ht="15.75" customHeight="1">
      <c r="A131" s="5" t="n">
        <v>138</v>
      </c>
      <c r="B131" s="22" t="n">
        <v>46269</v>
      </c>
      <c r="C131" s="10" t="n">
        <v>0.4115277777777778</v>
      </c>
      <c r="D131" s="5" t="inlineStr">
        <is>
          <t>MGC</t>
        </is>
      </c>
      <c r="E131" s="5" t="inlineStr">
        <is>
          <t>Long</t>
        </is>
      </c>
      <c r="F131" s="5" t="n">
        <v>4472</v>
      </c>
      <c r="G131" s="5" t="n">
        <v>4464.8</v>
      </c>
      <c r="H131" s="5" t="n">
        <v>2</v>
      </c>
      <c r="I131" s="5" t="n">
        <v>4465</v>
      </c>
      <c r="J131" s="5" t="n">
        <v>4486</v>
      </c>
      <c r="K131" s="8">
        <f>IF(AND(I131&lt;&gt;"",J131&lt;&gt;"",F131&lt;&gt;""), (J131-F131)/(F131-I131), "")</f>
        <v/>
      </c>
      <c r="L131" s="8">
        <f>IF(AND(F131&lt;&gt;"",G131&lt;&gt;"",I131&lt;&gt;""), (G131-F131)/(F131-I131), "")</f>
        <v/>
      </c>
      <c r="M131" s="5">
        <f>IF(N131&gt;0,"Win",IF(N131&lt;0,"Loss",""))</f>
        <v/>
      </c>
      <c r="N131" s="16">
        <f>IF(AND(F131&lt;&gt;"",G131&lt;&gt;"",H131&lt;&gt;"",D131&lt;&gt;""), IF(E131="Long", (G131-F131)*H131*VLOOKUP(D131,Multipliers!A:B,2,FALSE), (F131-G131)*H131*VLOOKUP(D131,Multipliers!A:B,2,FALSE)), "")</f>
        <v/>
      </c>
      <c r="O131" s="5">
        <f>IF(AND(N131&lt;&gt;"",F131&lt;&gt;"",H131&lt;&gt;"",D131&lt;&gt;""), N131/(F131*H131*VLOOKUP(D131,Multipliers!A:B,2,FALSE)), "")</f>
        <v/>
      </c>
      <c r="P131" s="5">
        <f>P130+N131</f>
        <v/>
      </c>
      <c r="Q131" s="5" t="inlineStr">
        <is>
          <t>Break and Retest</t>
        </is>
      </c>
      <c r="R131" s="5" t="inlineStr">
        <is>
          <t>Imported from Tradovate</t>
        </is>
      </c>
      <c r="S131" s="5" t="inlineStr">
        <is>
          <t>MGC</t>
        </is>
      </c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>
        <v>139</v>
      </c>
      <c r="B132" s="22" t="n">
        <v>46269</v>
      </c>
      <c r="C132" s="10" t="n">
        <v>0.4258912037037037</v>
      </c>
      <c r="D132" s="5" t="inlineStr">
        <is>
          <t>MGC</t>
        </is>
      </c>
      <c r="E132" s="5" t="inlineStr">
        <is>
          <t>Short</t>
        </is>
      </c>
      <c r="F132" s="5" t="n">
        <v>4472.4</v>
      </c>
      <c r="G132" s="5" t="n">
        <v>4485</v>
      </c>
      <c r="H132" s="5" t="n">
        <v>1</v>
      </c>
      <c r="I132" s="5" t="n">
        <v>4484.7</v>
      </c>
      <c r="J132" s="5" t="n">
        <v>4461.8</v>
      </c>
      <c r="K132" s="8">
        <f>IF(AND(I132&lt;&gt;"",J132&lt;&gt;"",F132&lt;&gt;""), (J132-F132)/(F132-I132), "")</f>
        <v/>
      </c>
      <c r="L132" s="8">
        <f>IF(AND(F132&lt;&gt;"",G132&lt;&gt;"",I132&lt;&gt;""), (G132-F132)/(F132-I132), "")</f>
        <v/>
      </c>
      <c r="M132" s="5">
        <f>IF(N132&gt;0,"Win",IF(N132&lt;0,"Loss",""))</f>
        <v/>
      </c>
      <c r="N132" s="16">
        <f>IF(AND(F132&lt;&gt;"",G132&lt;&gt;"",H132&lt;&gt;"",D132&lt;&gt;""), IF(E132="Long", (G132-F132)*H132*VLOOKUP(D132,Multipliers!A:B,2,FALSE), (F132-G132)*H132*VLOOKUP(D132,Multipliers!A:B,2,FALSE)), "")</f>
        <v/>
      </c>
      <c r="O132" s="5">
        <f>IF(AND(N132&lt;&gt;"",F132&lt;&gt;"",H132&lt;&gt;"",D132&lt;&gt;""), N132/(F132*H132*VLOOKUP(D132,Multipliers!A:B,2,FALSE)), "")</f>
        <v/>
      </c>
      <c r="P132" s="5">
        <f>P131+N132</f>
        <v/>
      </c>
      <c r="Q132" s="5" t="inlineStr">
        <is>
          <t>Break and Retest</t>
        </is>
      </c>
      <c r="R132" s="5" t="inlineStr">
        <is>
          <t>Imported from Tradovate</t>
        </is>
      </c>
      <c r="S132" s="5" t="inlineStr">
        <is>
          <t>MGC</t>
        </is>
      </c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>
        <v>140</v>
      </c>
      <c r="B133" s="22" t="n">
        <v>46269</v>
      </c>
      <c r="C133" s="10" t="n">
        <v>0.4415856481481482</v>
      </c>
      <c r="D133" s="5" t="inlineStr">
        <is>
          <t>MNQ</t>
        </is>
      </c>
      <c r="E133" s="5" t="inlineStr">
        <is>
          <t>Short</t>
        </is>
      </c>
      <c r="F133" s="5" t="n">
        <v>29573.5</v>
      </c>
      <c r="G133" s="5" t="n">
        <v>29568.75</v>
      </c>
      <c r="H133" s="5" t="n">
        <v>3</v>
      </c>
      <c r="I133" s="5" t="n">
        <v>29598.5</v>
      </c>
      <c r="J133" s="5" t="n">
        <v>29568.75</v>
      </c>
      <c r="K133" s="8">
        <f>IF(AND(I133&lt;&gt;"",J133&lt;&gt;"",F133&lt;&gt;""), (J133-F133)/(F133-I133), "")</f>
        <v/>
      </c>
      <c r="L133" s="8">
        <f>IF(AND(F133&lt;&gt;"",G133&lt;&gt;"",I133&lt;&gt;""), (G133-F133)/(F133-I133), "")</f>
        <v/>
      </c>
      <c r="M133" s="5">
        <f>IF(N133&gt;0,"Win",IF(N133&lt;0,"Loss",""))</f>
        <v/>
      </c>
      <c r="N133" s="16">
        <f>IF(AND(F133&lt;&gt;"",G133&lt;&gt;"",H133&lt;&gt;"",D133&lt;&gt;""), IF(E133="Long", (G133-F133)*H133*VLOOKUP(D133,Multipliers!A:B,2,FALSE), (F133-G133)*H133*VLOOKUP(D133,Multipliers!A:B,2,FALSE)), "")</f>
        <v/>
      </c>
      <c r="O133" s="5">
        <f>IF(AND(N133&lt;&gt;"",F133&lt;&gt;"",H133&lt;&gt;"",D133&lt;&gt;""), N133/(F133*H133*VLOOKUP(D133,Multipliers!A:B,2,FALSE)), "")</f>
        <v/>
      </c>
      <c r="P133" s="5">
        <f>P132+N133</f>
        <v/>
      </c>
      <c r="Q133" s="5" t="inlineStr">
        <is>
          <t>Break and Retest</t>
        </is>
      </c>
      <c r="R133" s="5" t="inlineStr">
        <is>
          <t>Imported from Tradovate</t>
        </is>
      </c>
      <c r="S133" s="5" t="inlineStr">
        <is>
          <t>MNQ</t>
        </is>
      </c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>
        <v>141</v>
      </c>
      <c r="B134" s="22" t="n">
        <v>46269</v>
      </c>
      <c r="C134" s="10" t="n">
        <v>0.4502546296296296</v>
      </c>
      <c r="D134" s="5" t="inlineStr">
        <is>
          <t>MNQ</t>
        </is>
      </c>
      <c r="E134" s="5" t="inlineStr">
        <is>
          <t>Short</t>
        </is>
      </c>
      <c r="F134" s="5" t="n">
        <v>29534.125</v>
      </c>
      <c r="G134" s="5" t="n">
        <v>29516.84375</v>
      </c>
      <c r="H134" s="5" t="n">
        <v>8</v>
      </c>
      <c r="I134" s="5" t="n">
        <v>29545.25</v>
      </c>
      <c r="J134" s="5" t="n">
        <v>29515.75</v>
      </c>
      <c r="K134" s="8">
        <f>IF(AND(I134&lt;&gt;"",J134&lt;&gt;"",F134&lt;&gt;""), (J134-F134)/(F134-I134), "")</f>
        <v/>
      </c>
      <c r="L134" s="8">
        <f>IF(AND(F134&lt;&gt;"",G134&lt;&gt;"",I134&lt;&gt;""), (G134-F134)/(F134-I134), "")</f>
        <v/>
      </c>
      <c r="M134" s="5">
        <f>IF(N134&gt;0,"Win",IF(N134&lt;0,"Loss",""))</f>
        <v/>
      </c>
      <c r="N134" s="16">
        <f>IF(AND(F134&lt;&gt;"",G134&lt;&gt;"",H134&lt;&gt;"",D134&lt;&gt;""), IF(E134="Long", (G134-F134)*H134*VLOOKUP(D134,Multipliers!A:B,2,FALSE), (F134-G134)*H134*VLOOKUP(D134,Multipliers!A:B,2,FALSE)), "")</f>
        <v/>
      </c>
      <c r="O134" s="5">
        <f>IF(AND(N134&lt;&gt;"",F134&lt;&gt;"",H134&lt;&gt;"",D134&lt;&gt;""), N134/(F134*H134*VLOOKUP(D134,Multipliers!A:B,2,FALSE)), "")</f>
        <v/>
      </c>
      <c r="P134" s="5">
        <f>P133+N134</f>
        <v/>
      </c>
      <c r="Q134" s="5" t="inlineStr">
        <is>
          <t>Break and Retest</t>
        </is>
      </c>
      <c r="R134" s="5" t="inlineStr">
        <is>
          <t>Imported from Tradovate</t>
        </is>
      </c>
      <c r="S134" s="5" t="inlineStr">
        <is>
          <t>MNQ</t>
        </is>
      </c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>
        <v>142</v>
      </c>
      <c r="B135" s="22" t="n">
        <v>46269</v>
      </c>
      <c r="C135" s="10" t="n">
        <v>0.4902199074074074</v>
      </c>
      <c r="D135" s="5" t="inlineStr">
        <is>
          <t>MNQ</t>
        </is>
      </c>
      <c r="E135" s="5" t="inlineStr">
        <is>
          <t>Short</t>
        </is>
      </c>
      <c r="F135" s="5" t="n">
        <v>29518.25</v>
      </c>
      <c r="G135" s="5" t="n">
        <v>29512.25</v>
      </c>
      <c r="H135" s="5" t="n">
        <v>3</v>
      </c>
      <c r="I135" s="5" t="n">
        <v>29527.75</v>
      </c>
      <c r="J135" s="5" t="n">
        <v>29512.25</v>
      </c>
      <c r="K135" s="8">
        <f>IF(AND(I135&lt;&gt;"",J135&lt;&gt;"",F135&lt;&gt;""), (J135-F135)/(F135-I135), "")</f>
        <v/>
      </c>
      <c r="L135" s="8">
        <f>IF(AND(F135&lt;&gt;"",G135&lt;&gt;"",I135&lt;&gt;""), (G135-F135)/(F135-I135), "")</f>
        <v/>
      </c>
      <c r="M135" s="5">
        <f>IF(N135&gt;0,"Win",IF(N135&lt;0,"Loss",""))</f>
        <v/>
      </c>
      <c r="N135" s="16">
        <f>IF(AND(F135&lt;&gt;"",G135&lt;&gt;"",H135&lt;&gt;"",D135&lt;&gt;""), IF(E135="Long", (G135-F135)*H135*VLOOKUP(D135,Multipliers!A:B,2,FALSE), (F135-G135)*H135*VLOOKUP(D135,Multipliers!A:B,2,FALSE)), "")</f>
        <v/>
      </c>
      <c r="O135" s="5">
        <f>IF(AND(N135&lt;&gt;"",F135&lt;&gt;"",H135&lt;&gt;"",D135&lt;&gt;""), N135/(F135*H135*VLOOKUP(D135,Multipliers!A:B,2,FALSE)), "")</f>
        <v/>
      </c>
      <c r="P135" s="5">
        <f>P134+N135</f>
        <v/>
      </c>
      <c r="Q135" s="5" t="inlineStr">
        <is>
          <t>Break and Retest</t>
        </is>
      </c>
      <c r="R135" s="5" t="inlineStr">
        <is>
          <t>Imported from Tradovate</t>
        </is>
      </c>
      <c r="S135" s="5" t="inlineStr">
        <is>
          <t>MNQ</t>
        </is>
      </c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>
        <v>143</v>
      </c>
      <c r="B136" s="22" t="n">
        <v>46269</v>
      </c>
      <c r="C136" s="10" t="n">
        <v>0.5079976851851852</v>
      </c>
      <c r="D136" s="5" t="inlineStr">
        <is>
          <t>MGC</t>
        </is>
      </c>
      <c r="E136" s="5" t="inlineStr">
        <is>
          <t>Long</t>
        </is>
      </c>
      <c r="F136" s="5" t="n">
        <v>4482.6</v>
      </c>
      <c r="G136" s="5" t="n">
        <v>4483</v>
      </c>
      <c r="H136" s="5" t="n">
        <v>2</v>
      </c>
      <c r="I136" s="5" t="n">
        <v>4476.7</v>
      </c>
      <c r="J136" s="5" t="n">
        <v>4483</v>
      </c>
      <c r="K136" s="8">
        <f>IF(AND(I136&lt;&gt;"",J136&lt;&gt;"",F136&lt;&gt;""), (J136-F136)/(F136-I136), "")</f>
        <v/>
      </c>
      <c r="L136" s="8">
        <f>IF(AND(F136&lt;&gt;"",G136&lt;&gt;"",I136&lt;&gt;""), (G136-F136)/(F136-I136), "")</f>
        <v/>
      </c>
      <c r="M136" s="5">
        <f>IF(N136&gt;0,"Win",IF(N136&lt;0,"Loss",""))</f>
        <v/>
      </c>
      <c r="N136" s="16">
        <f>IF(AND(F136&lt;&gt;"",G136&lt;&gt;"",H136&lt;&gt;"",D136&lt;&gt;""), IF(E136="Long", (G136-F136)*H136*VLOOKUP(D136,Multipliers!A:B,2,FALSE), (F136-G136)*H136*VLOOKUP(D136,Multipliers!A:B,2,FALSE)), "")</f>
        <v/>
      </c>
      <c r="O136" s="5">
        <f>IF(AND(N136&lt;&gt;"",F136&lt;&gt;"",H136&lt;&gt;"",D136&lt;&gt;""), N136/(F136*H136*VLOOKUP(D136,Multipliers!A:B,2,FALSE)), "")</f>
        <v/>
      </c>
      <c r="P136" s="5">
        <f>P135+N136</f>
        <v/>
      </c>
      <c r="Q136" s="5" t="inlineStr">
        <is>
          <t>Break and Retest</t>
        </is>
      </c>
      <c r="R136" s="5" t="inlineStr">
        <is>
          <t>Imported from Tradovate</t>
        </is>
      </c>
      <c r="S136" s="5" t="inlineStr">
        <is>
          <t>MGC</t>
        </is>
      </c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>
        <v>144</v>
      </c>
      <c r="B137" s="22" t="n">
        <v>46269</v>
      </c>
      <c r="C137" s="10" t="n">
        <v>0.5492013888888889</v>
      </c>
      <c r="D137" s="5" t="inlineStr">
        <is>
          <t>MNQ</t>
        </is>
      </c>
      <c r="E137" s="5" t="inlineStr">
        <is>
          <t>Long</t>
        </is>
      </c>
      <c r="F137" s="5" t="n">
        <v>29541.75</v>
      </c>
      <c r="G137" s="5" t="n">
        <v>29539.25</v>
      </c>
      <c r="H137" s="5" t="n">
        <v>1</v>
      </c>
      <c r="I137" s="5" t="n">
        <v>29521</v>
      </c>
      <c r="J137" s="5" t="n">
        <v>29561</v>
      </c>
      <c r="K137" s="8">
        <f>IF(AND(I137&lt;&gt;"",J137&lt;&gt;"",F137&lt;&gt;""), (J137-F137)/(F137-I137), "")</f>
        <v/>
      </c>
      <c r="L137" s="8">
        <f>IF(AND(F137&lt;&gt;"",G137&lt;&gt;"",I137&lt;&gt;""), (G137-F137)/(F137-I137), "")</f>
        <v/>
      </c>
      <c r="M137" s="5">
        <f>IF(N137&gt;0,"Win",IF(N137&lt;0,"Loss",""))</f>
        <v/>
      </c>
      <c r="N137" s="16">
        <f>IF(AND(F137&lt;&gt;"",G137&lt;&gt;"",H137&lt;&gt;"",D137&lt;&gt;""), IF(E137="Long", (G137-F137)*H137*VLOOKUP(D137,Multipliers!A:B,2,FALSE), (F137-G137)*H137*VLOOKUP(D137,Multipliers!A:B,2,FALSE)), "")</f>
        <v/>
      </c>
      <c r="O137" s="5">
        <f>IF(AND(N137&lt;&gt;"",F137&lt;&gt;"",H137&lt;&gt;"",D137&lt;&gt;""), N137/(F137*H137*VLOOKUP(D137,Multipliers!A:B,2,FALSE)), "")</f>
        <v/>
      </c>
      <c r="P137" s="5">
        <f>P136+N137</f>
        <v/>
      </c>
      <c r="Q137" s="5" t="inlineStr">
        <is>
          <t>Break and Retest</t>
        </is>
      </c>
      <c r="R137" s="5" t="inlineStr">
        <is>
          <t>Imported from Tradovate</t>
        </is>
      </c>
      <c r="S137" s="5" t="inlineStr">
        <is>
          <t>MNQ</t>
        </is>
      </c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>
        <v>145</v>
      </c>
      <c r="B138" s="22" t="n">
        <v>46269</v>
      </c>
      <c r="C138" s="10" t="n">
        <v>0.5526736111111111</v>
      </c>
      <c r="D138" s="5" t="inlineStr">
        <is>
          <t>MNQ</t>
        </is>
      </c>
      <c r="E138" s="5" t="inlineStr">
        <is>
          <t>Long</t>
        </is>
      </c>
      <c r="F138" s="5" t="n">
        <v>29533.5</v>
      </c>
      <c r="G138" s="5" t="n">
        <v>29532.75</v>
      </c>
      <c r="H138" s="5" t="n">
        <v>3</v>
      </c>
      <c r="I138" s="5" t="n">
        <v>29521</v>
      </c>
      <c r="J138" s="5" t="n">
        <v>29561</v>
      </c>
      <c r="K138" s="8">
        <f>IF(AND(I138&lt;&gt;"",J138&lt;&gt;"",F138&lt;&gt;""), (J138-F138)/(F138-I138), "")</f>
        <v/>
      </c>
      <c r="L138" s="8">
        <f>IF(AND(F138&lt;&gt;"",G138&lt;&gt;"",I138&lt;&gt;""), (G138-F138)/(F138-I138), "")</f>
        <v/>
      </c>
      <c r="M138" s="5">
        <f>IF(N138&gt;0,"Win",IF(N138&lt;0,"Loss",""))</f>
        <v/>
      </c>
      <c r="N138" s="16">
        <f>IF(AND(F138&lt;&gt;"",G138&lt;&gt;"",H138&lt;&gt;"",D138&lt;&gt;""), IF(E138="Long", (G138-F138)*H138*VLOOKUP(D138,Multipliers!A:B,2,FALSE), (F138-G138)*H138*VLOOKUP(D138,Multipliers!A:B,2,FALSE)), "")</f>
        <v/>
      </c>
      <c r="O138" s="5">
        <f>IF(AND(N138&lt;&gt;"",F138&lt;&gt;"",H138&lt;&gt;"",D138&lt;&gt;""), N138/(F138*H138*VLOOKUP(D138,Multipliers!A:B,2,FALSE)), "")</f>
        <v/>
      </c>
      <c r="P138" s="5">
        <f>P137+N138</f>
        <v/>
      </c>
      <c r="Q138" s="5" t="inlineStr">
        <is>
          <t>Break and Retest</t>
        </is>
      </c>
      <c r="R138" s="5" t="inlineStr">
        <is>
          <t>Imported from Tradovate</t>
        </is>
      </c>
      <c r="S138" s="5" t="inlineStr">
        <is>
          <t>MNQ</t>
        </is>
      </c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>
        <v>146</v>
      </c>
      <c r="B139" s="22" t="n">
        <v>46269</v>
      </c>
      <c r="C139" s="10" t="n">
        <v>0.5527893518518519</v>
      </c>
      <c r="D139" s="5" t="inlineStr">
        <is>
          <t>MNQ</t>
        </is>
      </c>
      <c r="E139" s="5" t="inlineStr">
        <is>
          <t>Short</t>
        </is>
      </c>
      <c r="F139" s="5" t="n">
        <v>29533.75</v>
      </c>
      <c r="G139" s="5" t="n">
        <v>29543</v>
      </c>
      <c r="H139" s="5" t="n">
        <v>3</v>
      </c>
      <c r="I139" s="5" t="n">
        <v>29542.75</v>
      </c>
      <c r="J139" s="5" t="n">
        <v>29507.75</v>
      </c>
      <c r="K139" s="8">
        <f>IF(AND(I139&lt;&gt;"",J139&lt;&gt;"",F139&lt;&gt;""), (J139-F139)/(F139-I139), "")</f>
        <v/>
      </c>
      <c r="L139" s="8">
        <f>IF(AND(F139&lt;&gt;"",G139&lt;&gt;"",I139&lt;&gt;""), (G139-F139)/(F139-I139), "")</f>
        <v/>
      </c>
      <c r="M139" s="5">
        <f>IF(N139&gt;0,"Win",IF(N139&lt;0,"Loss",""))</f>
        <v/>
      </c>
      <c r="N139" s="16">
        <f>IF(AND(F139&lt;&gt;"",G139&lt;&gt;"",H139&lt;&gt;"",D139&lt;&gt;""), IF(E139="Long", (G139-F139)*H139*VLOOKUP(D139,Multipliers!A:B,2,FALSE), (F139-G139)*H139*VLOOKUP(D139,Multipliers!A:B,2,FALSE)), "")</f>
        <v/>
      </c>
      <c r="O139" s="5">
        <f>IF(AND(N139&lt;&gt;"",F139&lt;&gt;"",H139&lt;&gt;"",D139&lt;&gt;""), N139/(F139*H139*VLOOKUP(D139,Multipliers!A:B,2,FALSE)), "")</f>
        <v/>
      </c>
      <c r="P139" s="5">
        <f>P138+N139</f>
        <v/>
      </c>
      <c r="Q139" s="5" t="inlineStr">
        <is>
          <t>Break and Retest</t>
        </is>
      </c>
      <c r="R139" s="5" t="inlineStr">
        <is>
          <t>Imported from Tradovate</t>
        </is>
      </c>
      <c r="S139" s="5" t="inlineStr">
        <is>
          <t>MNQ</t>
        </is>
      </c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>
        <v>147</v>
      </c>
      <c r="B140" s="22" t="n">
        <v>46269</v>
      </c>
      <c r="C140" s="10" t="n">
        <v>0.5570486111111111</v>
      </c>
      <c r="D140" s="5" t="inlineStr">
        <is>
          <t>MNQ</t>
        </is>
      </c>
      <c r="E140" s="5" t="inlineStr">
        <is>
          <t>Short</t>
        </is>
      </c>
      <c r="F140" s="5" t="n">
        <v>29520.03125</v>
      </c>
      <c r="G140" s="5" t="n">
        <v>29508.15625</v>
      </c>
      <c r="H140" s="5" t="n">
        <v>8</v>
      </c>
      <c r="I140" s="5" t="n">
        <v>29544.75</v>
      </c>
      <c r="J140" s="5" t="n">
        <v>29507</v>
      </c>
      <c r="K140" s="8">
        <f>IF(AND(I140&lt;&gt;"",J140&lt;&gt;"",F140&lt;&gt;""), (J140-F140)/(F140-I140), "")</f>
        <v/>
      </c>
      <c r="L140" s="8">
        <f>IF(AND(F140&lt;&gt;"",G140&lt;&gt;"",I140&lt;&gt;""), (G140-F140)/(F140-I140), "")</f>
        <v/>
      </c>
      <c r="M140" s="5">
        <f>IF(N140&gt;0,"Win",IF(N140&lt;0,"Loss",""))</f>
        <v/>
      </c>
      <c r="N140" s="16">
        <f>IF(AND(F140&lt;&gt;"",G140&lt;&gt;"",H140&lt;&gt;"",D140&lt;&gt;""), IF(E140="Long", (G140-F140)*H140*VLOOKUP(D140,Multipliers!A:B,2,FALSE), (F140-G140)*H140*VLOOKUP(D140,Multipliers!A:B,2,FALSE)), "")</f>
        <v/>
      </c>
      <c r="O140" s="5">
        <f>IF(AND(N140&lt;&gt;"",F140&lt;&gt;"",H140&lt;&gt;"",D140&lt;&gt;""), N140/(F140*H140*VLOOKUP(D140,Multipliers!A:B,2,FALSE)), "")</f>
        <v/>
      </c>
      <c r="P140" s="5">
        <f>P139+N140</f>
        <v/>
      </c>
      <c r="Q140" s="5" t="inlineStr">
        <is>
          <t>Break and Retest</t>
        </is>
      </c>
      <c r="R140" s="5" t="inlineStr">
        <is>
          <t>Imported from Tradovate</t>
        </is>
      </c>
      <c r="S140" s="5" t="inlineStr">
        <is>
          <t>MNQ</t>
        </is>
      </c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2026-09-01 23:18</t>
        </is>
      </c>
    </row>
    <row r="3">
      <c r="A3" t="inlineStr">
        <is>
          <t>Date range</t>
        </is>
      </c>
      <c r="B3" t="inlineStr">
        <is>
          <t>2026-08-11 → 2026-09-01</t>
        </is>
      </c>
    </row>
    <row r="4">
      <c r="A4" t="inlineStr">
        <is>
          <t>Trades</t>
        </is>
      </c>
      <c r="B4" t="n">
        <v>112</v>
      </c>
    </row>
    <row r="5">
      <c r="A5" t="inlineStr">
        <is>
          <t>Win rate</t>
        </is>
      </c>
      <c r="B5" t="inlineStr">
        <is>
          <t>56.2%</t>
        </is>
      </c>
    </row>
    <row r="6">
      <c r="A6" t="inlineStr">
        <is>
          <t>Total P&amp;L</t>
        </is>
      </c>
      <c r="B6" t="n">
        <v>3213</v>
      </c>
    </row>
    <row r="7">
      <c r="A7" t="inlineStr">
        <is>
          <t>Profit factor</t>
        </is>
      </c>
      <c r="B7" t="n">
        <v>1.37</v>
      </c>
    </row>
    <row r="8">
      <c r="A8" t="inlineStr">
        <is>
          <t>Expectancy / trade</t>
        </is>
      </c>
      <c r="B8" t="n">
        <v>28.69</v>
      </c>
    </row>
    <row r="9">
      <c r="A9" t="inlineStr">
        <is>
          <t>Avg win</t>
        </is>
      </c>
      <c r="B9" t="n">
        <v>190.37</v>
      </c>
    </row>
    <row r="10">
      <c r="A10" t="inlineStr">
        <is>
          <t>Avg loss</t>
        </is>
      </c>
      <c r="B10" t="n">
        <v>-179.18</v>
      </c>
    </row>
    <row r="11">
      <c r="A11" t="inlineStr">
        <is>
          <t>Avg RR targeted</t>
        </is>
      </c>
      <c r="B11" t="n">
        <v>1.95</v>
      </c>
    </row>
    <row r="12">
      <c r="A12" t="inlineStr">
        <is>
          <t>Avg RR realized</t>
        </is>
      </c>
      <c r="B12" t="n">
        <v>0.48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6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107</v>
      </c>
      <c r="C19" t="inlineStr">
        <is>
          <t>55%</t>
        </is>
      </c>
      <c r="D19" t="n">
        <v>2754</v>
      </c>
      <c r="E19" t="n">
        <v>25.74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63</v>
      </c>
      <c r="C27" t="inlineStr">
        <is>
          <t>59%</t>
        </is>
      </c>
      <c r="D27" t="n">
        <v>2221</v>
      </c>
      <c r="E27" t="n">
        <v>35.25</v>
      </c>
    </row>
    <row r="28">
      <c r="A28" t="inlineStr">
        <is>
          <t>MNQ</t>
        </is>
      </c>
      <c r="B28" t="n">
        <v>49</v>
      </c>
      <c r="C28" t="inlineStr">
        <is>
          <t>53%</t>
        </is>
      </c>
      <c r="D28" t="n">
        <v>992</v>
      </c>
      <c r="E28" t="n">
        <v>20.24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56</v>
      </c>
      <c r="C32" t="inlineStr">
        <is>
          <t>52%</t>
        </is>
      </c>
      <c r="D32" t="n">
        <v>3056.5</v>
      </c>
      <c r="E32" t="n">
        <v>54.58</v>
      </c>
    </row>
    <row r="33">
      <c r="A33" t="inlineStr">
        <is>
          <t>Short</t>
        </is>
      </c>
      <c r="B33" t="n">
        <v>56</v>
      </c>
      <c r="C33" t="inlineStr">
        <is>
          <t>61%</t>
        </is>
      </c>
      <c r="D33" t="n">
        <v>156.5</v>
      </c>
      <c r="E33" t="n">
        <v>2.79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5</v>
      </c>
      <c r="C37" t="inlineStr">
        <is>
          <t>80%</t>
        </is>
      </c>
      <c r="D37" t="n">
        <v>-37</v>
      </c>
      <c r="E37" t="n">
        <v>-7.4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25</v>
      </c>
      <c r="C40" t="inlineStr">
        <is>
          <t>48%</t>
        </is>
      </c>
      <c r="D40" t="n">
        <v>698</v>
      </c>
      <c r="E40" t="n">
        <v>27.92</v>
      </c>
    </row>
    <row r="41">
      <c r="A41" t="inlineStr">
        <is>
          <t>11:00</t>
        </is>
      </c>
      <c r="B41" t="n">
        <v>11</v>
      </c>
      <c r="C41" t="inlineStr">
        <is>
          <t>45%</t>
        </is>
      </c>
      <c r="D41" t="n">
        <v>-89</v>
      </c>
      <c r="E41" t="n">
        <v>-8.09</v>
      </c>
    </row>
    <row r="42">
      <c r="A42" t="inlineStr">
        <is>
          <t>12:00</t>
        </is>
      </c>
      <c r="B42" t="n">
        <v>7</v>
      </c>
      <c r="C42" t="inlineStr">
        <is>
          <t>71%</t>
        </is>
      </c>
      <c r="D42" t="n">
        <v>-81</v>
      </c>
      <c r="E42" t="n">
        <v>-11.57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3</v>
      </c>
      <c r="C44" t="inlineStr">
        <is>
          <t>33%</t>
        </is>
      </c>
      <c r="D44" t="n">
        <v>-94</v>
      </c>
      <c r="E44" t="n">
        <v>-31.33</v>
      </c>
    </row>
    <row r="45">
      <c r="A45" t="inlineStr">
        <is>
          <t>15:00</t>
        </is>
      </c>
      <c r="B45" t="n">
        <v>3</v>
      </c>
      <c r="C45" t="inlineStr">
        <is>
          <t>33%</t>
        </is>
      </c>
      <c r="D45" t="n">
        <v>-205</v>
      </c>
      <c r="E45" t="n">
        <v>-68.33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5</v>
      </c>
      <c r="C48" t="inlineStr">
        <is>
          <t>60%</t>
        </is>
      </c>
      <c r="D48" t="n">
        <v>478</v>
      </c>
      <c r="E48" t="n">
        <v>95.59999999999999</v>
      </c>
    </row>
    <row r="49">
      <c r="A49" t="inlineStr">
        <is>
          <t>21:00</t>
        </is>
      </c>
      <c r="B49" t="n">
        <v>7</v>
      </c>
      <c r="C49" t="inlineStr">
        <is>
          <t>86%</t>
        </is>
      </c>
      <c r="D49" t="n">
        <v>605</v>
      </c>
      <c r="E49" t="n">
        <v>86.43000000000001</v>
      </c>
    </row>
    <row r="50">
      <c r="A50" t="inlineStr">
        <is>
          <t>22:00</t>
        </is>
      </c>
      <c r="B50" t="n">
        <v>10</v>
      </c>
      <c r="C50" t="inlineStr">
        <is>
          <t>30%</t>
        </is>
      </c>
      <c r="D50" t="n">
        <v>1788</v>
      </c>
      <c r="E50" t="n">
        <v>178.8</v>
      </c>
    </row>
    <row r="51">
      <c r="A51" t="inlineStr">
        <is>
          <t>23:00</t>
        </is>
      </c>
      <c r="B51" t="n">
        <v>8</v>
      </c>
      <c r="C51" t="inlineStr">
        <is>
          <t>62%</t>
        </is>
      </c>
      <c r="D51" t="n">
        <v>-199</v>
      </c>
      <c r="E51" t="n">
        <v>-24.88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11</v>
      </c>
      <c r="C55" t="inlineStr">
        <is>
          <t>64%</t>
        </is>
      </c>
      <c r="D55" t="n">
        <v>1468</v>
      </c>
      <c r="E55" t="n">
        <v>133.45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Tue</t>
        </is>
      </c>
      <c r="B58" t="n">
        <v>30</v>
      </c>
      <c r="C58" t="inlineStr">
        <is>
          <t>57%</t>
        </is>
      </c>
      <c r="D58" t="n">
        <v>501</v>
      </c>
      <c r="E58" t="n">
        <v>16.7</v>
      </c>
    </row>
    <row r="59">
      <c r="A59" t="inlineStr">
        <is>
          <t>Wed</t>
        </is>
      </c>
      <c r="B59" t="n">
        <v>26</v>
      </c>
      <c r="C59" t="inlineStr">
        <is>
          <t>58%</t>
        </is>
      </c>
      <c r="D59" t="n">
        <v>-54.5</v>
      </c>
      <c r="E59" t="n">
        <v>-2.1</v>
      </c>
    </row>
    <row r="60">
      <c r="A60" t="inlineStr">
        <is>
          <t>Mon</t>
        </is>
      </c>
      <c r="B60" t="n">
        <v>24</v>
      </c>
      <c r="C60" t="inlineStr">
        <is>
          <t>42%</t>
        </is>
      </c>
      <c r="D60" t="n">
        <v>-387</v>
      </c>
      <c r="E60" t="n">
        <v>-16.13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13 trades on 2026-08-26 (&gt; 6)</t>
        </is>
      </c>
    </row>
    <row r="66">
      <c r="A66" t="inlineStr">
        <is>
          <t>Overtrading</t>
        </is>
      </c>
      <c r="B66" t="inlineStr">
        <is>
          <t>17 trades on 2026-08-31 (&gt; 6)</t>
        </is>
      </c>
    </row>
    <row r="67">
      <c r="A67" t="inlineStr">
        <is>
          <t>Overtrading</t>
        </is>
      </c>
      <c r="B67" t="inlineStr">
        <is>
          <t>9 trades on 2026-09-01 (&gt; 6)</t>
        </is>
      </c>
    </row>
    <row r="68">
      <c r="A68" t="inlineStr">
        <is>
          <t>Possible revenge trade</t>
        </is>
      </c>
      <c r="B68" t="inlineStr">
        <is>
          <t>MGC Short at 08/11 19:34 — 4 min after a loss, size 10</t>
        </is>
      </c>
    </row>
    <row r="69">
      <c r="A69" t="inlineStr">
        <is>
          <t>Possible revenge trade</t>
        </is>
      </c>
      <c r="B69" t="inlineStr">
        <is>
          <t>MGC Long at 08/11 23:25 — 14 min after a loss, size 10</t>
        </is>
      </c>
    </row>
    <row r="70">
      <c r="A70" t="inlineStr">
        <is>
          <t>Possible revenge trade</t>
        </is>
      </c>
      <c r="B70" t="inlineStr">
        <is>
          <t>MGC Short at 08/11 23:36 — 11 min after a loss, size 20</t>
        </is>
      </c>
    </row>
    <row r="71">
      <c r="A71" t="inlineStr">
        <is>
          <t>Possible revenge trade</t>
        </is>
      </c>
      <c r="B71" t="inlineStr">
        <is>
          <t>MGC Short at 08/13 22:59 — 9 min after a loss, size 3</t>
        </is>
      </c>
    </row>
    <row r="72">
      <c r="A72" t="inlineStr">
        <is>
          <t>Possible revenge trade</t>
        </is>
      </c>
      <c r="B72" t="inlineStr">
        <is>
          <t>MGC Long at 08/18 10:08 — 8 min after a loss, size 3</t>
        </is>
      </c>
    </row>
    <row r="73">
      <c r="A73" t="inlineStr">
        <is>
          <t>Possible revenge trade</t>
        </is>
      </c>
      <c r="B73" t="inlineStr">
        <is>
          <t>MNQ Short at 08/18 10:21 — 5 min after a loss, size 3</t>
        </is>
      </c>
    </row>
    <row r="74">
      <c r="A74" t="inlineStr">
        <is>
          <t>Possible revenge trade</t>
        </is>
      </c>
      <c r="B74" t="inlineStr">
        <is>
          <t>MGC Long at 08/23 19:46 — 11 min after a loss, size 1</t>
        </is>
      </c>
    </row>
    <row r="75">
      <c r="A75" t="inlineStr">
        <is>
          <t>Possible revenge trade</t>
        </is>
      </c>
      <c r="B75" t="inlineStr">
        <is>
          <t>MGC Long at 08/23 20:28 — 5 min after a loss, size 2</t>
        </is>
      </c>
    </row>
    <row r="76">
      <c r="A76" t="inlineStr">
        <is>
          <t>Possible revenge trade</t>
        </is>
      </c>
      <c r="B76" t="inlineStr">
        <is>
          <t>MNQ Short at 08/24 11:13 — 15 min after a loss, size 5</t>
        </is>
      </c>
    </row>
    <row r="77">
      <c r="A77" t="inlineStr">
        <is>
          <t>Possible revenge trade</t>
        </is>
      </c>
      <c r="B77" t="inlineStr">
        <is>
          <t>MGC Short at 08/26 11:55 — 9 min after a loss, size 5</t>
        </is>
      </c>
    </row>
    <row r="78">
      <c r="A78" t="inlineStr">
        <is>
          <t>Possible revenge trade</t>
        </is>
      </c>
      <c r="B78" t="inlineStr">
        <is>
          <t>MNQ Long at 08/26 21:16 — 11 min after a loss, size 12</t>
        </is>
      </c>
    </row>
    <row r="79">
      <c r="A79" t="inlineStr">
        <is>
          <t>Possible revenge trade</t>
        </is>
      </c>
      <c r="B79" t="inlineStr">
        <is>
          <t>MGC Short at 08/31 10:01 — 5 min after a loss, size 3</t>
        </is>
      </c>
    </row>
    <row r="80">
      <c r="A80" t="inlineStr">
        <is>
          <t>Possible revenge trade</t>
        </is>
      </c>
      <c r="B80" t="inlineStr">
        <is>
          <t>MNQ Short at 08/31 10:11 — 11 min after a loss, size 3</t>
        </is>
      </c>
    </row>
    <row r="81">
      <c r="A81" t="inlineStr">
        <is>
          <t>Possible revenge trade</t>
        </is>
      </c>
      <c r="B81" t="inlineStr">
        <is>
          <t>MNQ Long at 08/31 10:41 — 12 min after a loss, size 5</t>
        </is>
      </c>
    </row>
    <row r="82">
      <c r="A82" t="inlineStr">
        <is>
          <t>Possible revenge trade</t>
        </is>
      </c>
      <c r="B82" t="inlineStr">
        <is>
          <t>MGC Long at 08/31 22:26 — 1 min after a loss, size 1</t>
        </is>
      </c>
    </row>
    <row r="83">
      <c r="A83" t="inlineStr">
        <is>
          <t>Possible revenge trade</t>
        </is>
      </c>
      <c r="B83" t="inlineStr">
        <is>
          <t>MGC Short at 08/31 23:00 — 13 min after a loss, size 6</t>
        </is>
      </c>
    </row>
    <row r="84">
      <c r="A84" t="inlineStr">
        <is>
          <t>Stop overrun</t>
        </is>
      </c>
      <c r="B84" t="inlineStr">
        <is>
          <t>MNQ 08/12 11:57 realized RR -1.19 (worse than -1R)</t>
        </is>
      </c>
    </row>
    <row r="85">
      <c r="A85" t="inlineStr">
        <is>
          <t>Stop overrun</t>
        </is>
      </c>
      <c r="B85" t="inlineStr">
        <is>
          <t>MNQ 08/18 10:21 realized RR -1.19 (worse than -1R)</t>
        </is>
      </c>
    </row>
    <row r="86">
      <c r="A86" t="inlineStr">
        <is>
          <t>Winner cut short</t>
        </is>
      </c>
      <c r="B86" t="inlineStr">
        <is>
          <t>MGC 08/11 19:27 took 0.18R of 0.42R target</t>
        </is>
      </c>
    </row>
    <row r="87">
      <c r="A87" t="inlineStr">
        <is>
          <t>Winner cut short</t>
        </is>
      </c>
      <c r="B87" t="inlineStr">
        <is>
          <t>MNQ 08/25 10:32 took 0.49R of 2.16R target</t>
        </is>
      </c>
    </row>
    <row r="88">
      <c r="A88" t="inlineStr">
        <is>
          <t>Winner cut short</t>
        </is>
      </c>
      <c r="B88" t="inlineStr">
        <is>
          <t>MGC 08/27 20:02 took 0.11R of 2.44R target</t>
        </is>
      </c>
    </row>
    <row r="89">
      <c r="A89" t="inlineStr">
        <is>
          <t>Inconsistent sizing</t>
        </is>
      </c>
      <c r="B89" t="inlineStr">
        <is>
          <t>Position size varies a lot (CV 1.08)</t>
        </is>
      </c>
    </row>
    <row r="90">
      <c r="A90" t="inlineStr">
        <is>
          <t>Negative-edge hour</t>
        </is>
      </c>
      <c r="B90" t="inlineStr">
        <is>
          <t>00:00: 5 trades, 80% win, $-37 total</t>
        </is>
      </c>
    </row>
    <row r="91">
      <c r="A91" t="inlineStr">
        <is>
          <t>Negative-edge hour</t>
        </is>
      </c>
      <c r="B91" t="inlineStr">
        <is>
          <t>12:00: 7 trades, 71% win, $-81 total</t>
        </is>
      </c>
    </row>
    <row r="92">
      <c r="A92" t="inlineStr">
        <is>
          <t>Negative-edge hour</t>
        </is>
      </c>
      <c r="B92" t="inlineStr">
        <is>
          <t>11:00: 11 trades, 45% win, $-89 total</t>
        </is>
      </c>
    </row>
    <row r="93">
      <c r="A93" t="inlineStr">
        <is>
          <t>Negative-edge hour</t>
        </is>
      </c>
      <c r="B93" t="inlineStr">
        <is>
          <t>14:00: 3 trades, 33% win, $-94 total</t>
        </is>
      </c>
    </row>
    <row r="94">
      <c r="A94" t="inlineStr">
        <is>
          <t>Negative-edge hour</t>
        </is>
      </c>
      <c r="B94" t="inlineStr">
        <is>
          <t>23:00: 8 trades, 62% win, $-199 total</t>
        </is>
      </c>
    </row>
    <row r="95">
      <c r="A95" t="inlineStr">
        <is>
          <t>Negative-edge hour</t>
        </is>
      </c>
      <c r="B95" t="inlineStr">
        <is>
          <t>15:00: 3 trades, 33% win, $-205 total</t>
        </is>
      </c>
    </row>
    <row r="96">
      <c r="A96" t="inlineStr">
        <is>
          <t>Negative-edge hour</t>
        </is>
      </c>
      <c r="B96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## Bottom line</t>
        </is>
      </c>
    </row>
    <row r="4">
      <c r="A4" s="14" t="inlineStr"/>
    </row>
    <row r="5">
      <c r="A5" s="14" t="inlineStr">
        <is>
          <t>You're net profitable (+$3,213 over 112 trades, PF 1.37, expectancy $28.70/trade), but the edge is thin and it's being taxed by execution discipline, not setup selection. The single biggest structural problem: you target **1.95R** but realize **0.48R** on average — you're capturing roughly a quarter of the reward you're actually risking for. Fix that gap before anything else; it dwarfs every other leak in this data.</t>
        </is>
      </c>
    </row>
    <row r="6">
      <c r="A6" s="14" t="inlineStr"/>
    </row>
    <row r="7">
      <c r="A7" s="14" t="inlineStr">
        <is>
          <t>## What's actually working — press it</t>
        </is>
      </c>
    </row>
    <row r="8">
      <c r="A8" s="14" t="inlineStr"/>
    </row>
    <row r="9">
      <c r="A9" s="14" t="inlineStr">
        <is>
          <t>- **"Pullback grade: Good"** (n=36, 69% win, expectancy **$148**, total **$5,340**) is your best filter by far. This should be a hard entry criterion, not a nice-to-have.</t>
        </is>
      </c>
    </row>
    <row r="10">
      <c r="A10" s="14" t="inlineStr">
        <is>
          <t>- **"Entered at a key level"** (n=80, expectancy $65, total $5,183) vs. **"Not at a key level"** (n=32, expectancy **‑$62**, total **‑$1,970**) — this is a clean, large-sample split. Key-level entries are carrying the account; off-level entries are bleeding it.</t>
        </is>
      </c>
    </row>
    <row r="11">
      <c r="A11" s="14" t="inlineStr">
        <is>
          <t>- **With the 1H trend** ($56 expectancy, $3,877 total) vs. **against/unclear 1H trend** (‑$15 expectancy, ‑$664 total), and **ADX ≥25 trending** ($70 expectancy) vs. **ADX &lt;20 chop** (‑$33 expectancy, ‑$1,350 total) — you have a real edge trading with higher-timeframe trend in trending conditions, and a real leak fading into chop.</t>
        </is>
      </c>
    </row>
    <row r="12">
      <c r="A12" s="14" t="inlineStr">
        <is>
          <t>- MGC is outperforming MNQ (expectancy $35 vs $20) and is worth the larger allocation you're already giving it (63 vs 49 trades).</t>
        </is>
      </c>
    </row>
    <row r="13">
      <c r="A13" s="14" t="inlineStr">
        <is>
          <t>- Note: "Supertrends aligned" and "right side of VWAP" show flat-to-slightly-negative expectancy in your data — don't lean on those two as filters, they're not adding anything for you right now.</t>
        </is>
      </c>
    </row>
    <row r="14">
      <c r="A14" s="14" t="inlineStr"/>
    </row>
    <row r="15">
      <c r="A15" s="14" t="inlineStr">
        <is>
          <t>## What's costing you — ranked by dollars</t>
        </is>
      </c>
    </row>
    <row r="16">
      <c r="A16" s="14" t="inlineStr"/>
    </row>
    <row r="17">
      <c r="A17" s="14" t="inlineStr">
        <is>
          <t>1. **19:00 hour: ‑$1,471 across 7 trades** (57% win rate but net deeply negative — a few large losers are wiping out the wins). This is your worst single time block by a wide margin. Before anything else, figure out what you're doing differently at 19:00 and consider a hard no-trade rule there until you do.</t>
        </is>
      </c>
    </row>
    <row r="18">
      <c r="A18" s="14" t="inlineStr">
        <is>
          <t>2. **Exit discipline gap (0.48R realized vs 1.95R targeted).** The flags confirm both sides of this: "winner cut short" (e.g., MGC 08/27 took 0.11R of a 2.44R target) and "stop overrun" (two trades finishing worse than ‑1R, meaning stops moved or got blown through). You're capping upside and not capping downside — the worst combination.</t>
        </is>
      </c>
    </row>
    <row r="19">
      <c r="A19" s="14" t="inlineStr">
        <is>
          <t>3. **Trading against your own entry checklist.** "Weak pullback grade" (‑$2,164 total, n=56 — half your trades), "not at a key level" (‑$1,970), and "candle against trade" (‑$1,848, only 38% win rate) are your three biggest raw dollar drags. These aren't small samples or noise — they're half your trade log telling you the same thing: when the setup isn't clean, you still take it.</t>
        </is>
      </c>
    </row>
    <row r="20">
      <c r="A20" s="14" t="inlineStr">
        <is>
          <t>4. **Shorts are underperforming longs badly**: shorts win more often (61% vs 52%) but produce almost nothing (expectancy $2.79 vs $54.58 for longs, $156 vs $3,056 total). You're likely taking profit too early or letting losers run further on the short side — worth reviewing your short trade management specifically, not your short trade selection.</t>
        </is>
      </c>
    </row>
    <row r="21">
      <c r="A21" s="14" t="inlineStr">
        <is>
          <t>5. **Monday is your only clearly losing day** (‑$387, 42% win rate) against strongly positive Thu/Fri/Sun (all &gt;63% win rate). Tuesday is your highest-volume day (30 trades) but weakest positive edge relative to Thu/Fri/Sun — you may be over-trading Tuesday out of habit rather than opportunity.</t>
        </is>
      </c>
    </row>
    <row r="22">
      <c r="A22" s="14" t="inlineStr"/>
    </row>
    <row r="23">
      <c r="A23" s="14" t="inlineStr">
        <is>
          <t>## The dangerous pattern: overtrading → revenge → oversizing, stacked on the same days</t>
        </is>
      </c>
    </row>
    <row r="24">
      <c r="A24" s="14" t="inlineStr"/>
    </row>
    <row r="25">
      <c r="A25" s="14" t="inlineStr">
        <is>
          <t>08/11, 08/12, 08/26, 08/31, and today (09/01) all show &gt;6 trades with clustered revenge entries. The clearest example is **08/31**: both MGC and MNQ printed near-doji days (body 2% and 10% of range — textbook chop/ADX&lt;20 conditions, exactly where your data says you lose money), yet you took **17 trades**, your highest-volume day in the set, with five separate revenge-trade flags. Net result for that day, walking through the trade log, is negative.</t>
        </is>
      </c>
    </row>
    <row r="26">
      <c r="A26" s="14" t="inlineStr"/>
    </row>
    <row r="27">
      <c r="A27" s="14" t="inlineStr">
        <is>
          <t>Even more concerning: on **08/11** you took a revenge short at size 10 four minutes after a loss, then a revenge short at size 20 eleven minutes after another loss — in an instrument (MGC) where your normal size is 1–6 contracts. Position size CV is 1.08 (very high dispersion), and while the "Oversized" tag currently shows positive expectancy ($116) — meaning size-ups haven't hurt you yet — that's variance, not skill, and it's exactly the kind of pattern that produces a $1,310 max single loss and a $1,750 drawdown. It hasn't blown you up yet. It will eventually, because size is scaling *up* right when your emotional control is scaling *down*.</t>
        </is>
      </c>
    </row>
    <row r="28">
      <c r="A28" s="14" t="inlineStr"/>
    </row>
    <row r="29">
      <c r="A29" s="14" t="inlineStr">
        <is>
          <t>I checked the news calendar — the revenge-trade timestamps (mostly evening/overnight) don't line up with the high-impact release times (CPI, PPI, FOMC Minutes, PCE, Payrolls all hit 08:30–10:00 ET), so this isn't a news-reaction problem. It's a self-discipline problem on chop days.</t>
        </is>
      </c>
    </row>
    <row r="30">
      <c r="A30" s="14" t="inlineStr"/>
    </row>
    <row r="31">
      <c r="A31" s="14" t="inlineStr">
        <is>
          <t>## Concrete rules for next week</t>
        </is>
      </c>
    </row>
    <row r="32">
      <c r="A32" s="14" t="inlineStr"/>
    </row>
    <row r="33">
      <c r="A33" s="14" t="inlineStr">
        <is>
          <t>1. **Hard stop at 6 trades/day.** You've already flagged this threshold yourself; enforce it mechanically.</t>
        </is>
      </c>
    </row>
    <row r="34">
      <c r="A34" s="14" t="inlineStr">
        <is>
          <t>2. **No new position within 15 minutes of a loss, full stop** — this alone would have prevented most of the flagged revenge trades.</t>
        </is>
      </c>
    </row>
    <row r="35">
      <c r="A35" s="14" t="inlineStr">
        <is>
          <t>3. **Size cap: never exceed your median size (looks like ~3 contracts on MGC, ~3-5 on MNQ) after a loss.** If anything, cut size in half post-loss until you've had a winner.</t>
        </is>
      </c>
    </row>
    <row r="36">
      <c r="A36" s="14" t="inlineStr">
        <is>
          <t>4. **Pre-trade checklist gate**: only take the trade if pullback grade is Good/A+, price is at a key level, and you're with the 1H trend. If two of those three are missing, skip it — that's exactly the combination separating your winners from your losers in this data.</t>
        </is>
      </c>
    </row>
    <row r="37">
      <c r="A37" s="14" t="inlineStr">
        <is>
          <t>5. **Investigate 19:00 specifically** — pull those 7 trades and figure out what's different (fatigue, low liquidity, a specific setup that doesn't work there). Until you know, don't trade that hour.</t>
        </is>
      </c>
    </row>
    <row r="38">
      <c r="A38" s="14" t="inlineStr">
        <is>
          <t>6. **Manage winners to your stated 1.95R target, or at least to 1R, before touching the stop.** Whatever your current "take profit" impulse is, add friction to it — a 2-minute rule before closing a winner, or move to breakeven and let it run rather than manually closing early.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  <row r="10">
      <c r="A10" t="inlineStr">
        <is>
          <t>2026-09-02</t>
        </is>
      </c>
      <c r="B10" t="inlineStr">
        <is>
          <t>10:00</t>
        </is>
      </c>
      <c r="C10" t="inlineStr">
        <is>
          <t>USD</t>
        </is>
      </c>
      <c r="D10" t="inlineStr">
        <is>
          <t>High</t>
        </is>
      </c>
      <c r="E10" t="inlineStr">
        <is>
          <t>ISM</t>
        </is>
      </c>
      <c r="F10" t="inlineStr">
        <is>
          <t>51.2</t>
        </is>
      </c>
      <c r="G10" t="inlineStr">
        <is>
          <t>52.5</t>
        </is>
      </c>
      <c r="H10" t="inlineStr">
        <is>
          <t>52.8</t>
        </is>
      </c>
    </row>
    <row r="11">
      <c r="A11" t="inlineStr">
        <is>
          <t>2026-09-03</t>
        </is>
      </c>
      <c r="B11" t="inlineStr">
        <is>
          <t>08:15</t>
        </is>
      </c>
      <c r="C11" t="inlineStr">
        <is>
          <t>USD</t>
        </is>
      </c>
      <c r="D11" t="inlineStr">
        <is>
          <t>High</t>
        </is>
      </c>
      <c r="E11" t="inlineStr">
        <is>
          <t>Payrolls</t>
        </is>
      </c>
      <c r="F11" t="inlineStr">
        <is>
          <t>38K</t>
        </is>
      </c>
      <c r="G11" t="inlineStr">
        <is>
          <t>47K</t>
        </is>
      </c>
      <c r="H11" t="inlineStr">
        <is>
          <t>46K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1.9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1.9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1.47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1.47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0.78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2.04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1.57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1.06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1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0.98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1.16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0.84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1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0.6899999999999999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1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0.38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1.08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0.54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0.9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1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0.73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1.08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0.67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0.57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0.91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1.54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1.46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0.97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0.72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8.619999999999999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0.9399999999999999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0.89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1.3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2.04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1.78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2.51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1.74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0.97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0.9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0.93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1.03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1.01</v>
      </c>
      <c r="S58" t="n">
        <v>-12925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1.74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0.92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1.15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1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1.01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1.32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1.29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0.64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2026-08-26</t>
        </is>
      </c>
      <c r="B74" t="inlineStr">
        <is>
          <t>22:27</t>
        </is>
      </c>
      <c r="C74" t="inlineStr">
        <is>
          <t>MNQ</t>
        </is>
      </c>
      <c r="D74" t="inlineStr">
        <is>
          <t>Short</t>
        </is>
      </c>
      <c r="E74" t="n">
        <v>-46</v>
      </c>
      <c r="F74" t="inlineStr">
        <is>
          <t>up</t>
        </is>
      </c>
      <c r="G74" t="inlineStr">
        <is>
          <t>up</t>
        </is>
      </c>
      <c r="H74" t="inlineStr">
        <is>
          <t>down</t>
        </is>
      </c>
      <c r="I74" t="inlineStr">
        <is>
          <t>up</t>
        </is>
      </c>
      <c r="J74" t="n">
        <v>53.2</v>
      </c>
      <c r="K74" t="inlineStr">
        <is>
          <t>bull</t>
        </is>
      </c>
      <c r="L74" t="inlineStr">
        <is>
          <t>+</t>
        </is>
      </c>
      <c r="M74" t="n">
        <v>15.7</v>
      </c>
      <c r="N74" t="n">
        <v>24.28</v>
      </c>
      <c r="O74" t="n">
        <v>29302.05</v>
      </c>
      <c r="P74" t="inlineStr">
        <is>
          <t>above</t>
        </is>
      </c>
      <c r="Q74" t="n">
        <v>29225.22</v>
      </c>
      <c r="R74" t="n">
        <v>0.9399999999999999</v>
      </c>
      <c r="S74" t="n">
        <v>18005</v>
      </c>
      <c r="T74" t="n">
        <v>46</v>
      </c>
      <c r="U74" t="inlineStr">
        <is>
          <t>golden</t>
        </is>
      </c>
      <c r="V74" t="inlineStr">
        <is>
          <t>Weak</t>
        </is>
      </c>
      <c r="W74" t="n">
        <v>1</v>
      </c>
      <c r="X74" t="inlineStr">
        <is>
          <t>No</t>
        </is>
      </c>
      <c r="Y74" t="inlineStr">
        <is>
          <t>bullish engulfing</t>
        </is>
      </c>
      <c r="Z74" t="n">
        <v>0.31</v>
      </c>
      <c r="AA74" t="inlineStr">
        <is>
          <t>No</t>
        </is>
      </c>
      <c r="AB74" t="inlineStr">
        <is>
          <t>No</t>
        </is>
      </c>
    </row>
    <row r="75">
      <c r="A75" t="inlineStr">
        <is>
          <t>2026-08-27</t>
        </is>
      </c>
      <c r="B75" t="inlineStr">
        <is>
          <t>09:43</t>
        </is>
      </c>
      <c r="C75" t="inlineStr">
        <is>
          <t>MGC</t>
        </is>
      </c>
      <c r="D75" t="inlineStr">
        <is>
          <t>Short</t>
        </is>
      </c>
      <c r="E75" t="n">
        <v>360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36.9</v>
      </c>
      <c r="K75" t="inlineStr">
        <is>
          <t>bear</t>
        </is>
      </c>
      <c r="L75" t="inlineStr">
        <is>
          <t>-</t>
        </is>
      </c>
      <c r="M75" t="n">
        <v>24.3</v>
      </c>
      <c r="N75" t="n">
        <v>6.47</v>
      </c>
      <c r="O75" t="n">
        <v>4632.87</v>
      </c>
      <c r="P75" t="inlineStr">
        <is>
          <t>above</t>
        </is>
      </c>
      <c r="Q75" t="n">
        <v>4630.68</v>
      </c>
      <c r="R75" t="n">
        <v>0.92</v>
      </c>
      <c r="S75" t="n">
        <v>-2558</v>
      </c>
      <c r="T75" t="n">
        <v>40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1.7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2026-08-27</t>
        </is>
      </c>
      <c r="B76" t="inlineStr">
        <is>
          <t>10:17</t>
        </is>
      </c>
      <c r="C76" t="inlineStr">
        <is>
          <t>MGC</t>
        </is>
      </c>
      <c r="D76" t="inlineStr">
        <is>
          <t>Short</t>
        </is>
      </c>
      <c r="E76" t="n">
        <v>54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46</v>
      </c>
      <c r="K76" t="inlineStr">
        <is>
          <t>bear</t>
        </is>
      </c>
      <c r="L76" t="inlineStr">
        <is>
          <t>-</t>
        </is>
      </c>
      <c r="M76" t="n">
        <v>29.7</v>
      </c>
      <c r="N76" t="n">
        <v>7.41</v>
      </c>
      <c r="O76" t="n">
        <v>4629.45</v>
      </c>
      <c r="P76" t="inlineStr">
        <is>
          <t>above</t>
        </is>
      </c>
      <c r="Q76" t="n">
        <v>4630.62</v>
      </c>
      <c r="R76" t="n">
        <v>0.7</v>
      </c>
      <c r="S76" t="n">
        <v>-1346</v>
      </c>
      <c r="T76" t="n">
        <v>50</v>
      </c>
      <c r="U76" t="inlineStr">
        <is>
          <t>golden</t>
        </is>
      </c>
      <c r="V76" t="inlineStr">
        <is>
          <t>Good</t>
        </is>
      </c>
      <c r="W76" t="n">
        <v>2</v>
      </c>
      <c r="X76" t="inlineStr">
        <is>
          <t>No</t>
        </is>
      </c>
      <c r="Y76" t="inlineStr">
        <is>
          <t>bullish engulfing</t>
        </is>
      </c>
      <c r="Z76" t="n">
        <v>0.72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2026-08-27</t>
        </is>
      </c>
      <c r="B77" t="inlineStr">
        <is>
          <t>20:02</t>
        </is>
      </c>
      <c r="C77" t="inlineStr">
        <is>
          <t>MGC</t>
        </is>
      </c>
      <c r="D77" t="inlineStr">
        <is>
          <t>Short</t>
        </is>
      </c>
      <c r="E77" t="n">
        <v>21</v>
      </c>
      <c r="F77" t="inlineStr">
        <is>
          <t>down</t>
        </is>
      </c>
      <c r="G77" t="inlineStr">
        <is>
          <t>down</t>
        </is>
      </c>
      <c r="H77" t="inlineStr">
        <is>
          <t>up</t>
        </is>
      </c>
      <c r="I77" t="inlineStr">
        <is>
          <t>down</t>
        </is>
      </c>
      <c r="J77" t="n">
        <v>34.3</v>
      </c>
      <c r="K77" t="inlineStr">
        <is>
          <t>bear</t>
        </is>
      </c>
      <c r="L77" t="inlineStr">
        <is>
          <t>-</t>
        </is>
      </c>
      <c r="M77" t="n">
        <v>22.2</v>
      </c>
      <c r="N77" t="n">
        <v>2.94</v>
      </c>
      <c r="O77" t="n">
        <v>4648.9</v>
      </c>
      <c r="P77" t="inlineStr">
        <is>
          <t>above</t>
        </is>
      </c>
      <c r="Q77" t="n">
        <v>4660.41</v>
      </c>
      <c r="R77" t="n">
        <v>1.02</v>
      </c>
      <c r="S77" t="n">
        <v>2455</v>
      </c>
      <c r="T77" t="n">
        <v>25</v>
      </c>
      <c r="U77" t="inlineStr">
        <is>
          <t>shallow</t>
        </is>
      </c>
      <c r="V77" t="inlineStr">
        <is>
          <t>Weak</t>
        </is>
      </c>
      <c r="W77" t="n">
        <v>1</v>
      </c>
      <c r="X77" t="inlineStr">
        <is>
          <t>No</t>
        </is>
      </c>
      <c r="Y77" t="inlineStr">
        <is>
          <t>bullish engulfing</t>
        </is>
      </c>
      <c r="Z77" t="n">
        <v>2.84</v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2026-08-27</t>
        </is>
      </c>
      <c r="B78" t="inlineStr">
        <is>
          <t>21:18</t>
        </is>
      </c>
      <c r="C78" t="inlineStr">
        <is>
          <t>MGC</t>
        </is>
      </c>
      <c r="D78" t="inlineStr">
        <is>
          <t>Short</t>
        </is>
      </c>
      <c r="E78" t="n">
        <v>60</v>
      </c>
      <c r="F78" t="inlineStr">
        <is>
          <t>down</t>
        </is>
      </c>
      <c r="G78" t="inlineStr">
        <is>
          <t>down</t>
        </is>
      </c>
      <c r="H78" t="inlineStr">
        <is>
          <t>down</t>
        </is>
      </c>
      <c r="I78" t="inlineStr">
        <is>
          <t>up</t>
        </is>
      </c>
      <c r="J78" t="n">
        <v>49.5</v>
      </c>
      <c r="K78" t="inlineStr">
        <is>
          <t>bear</t>
        </is>
      </c>
      <c r="L78" t="inlineStr">
        <is>
          <t>+</t>
        </is>
      </c>
      <c r="M78" t="n">
        <v>23.3</v>
      </c>
      <c r="N78" t="n">
        <v>4.73</v>
      </c>
      <c r="O78" t="n">
        <v>4648.72</v>
      </c>
      <c r="P78" t="inlineStr">
        <is>
          <t>below</t>
        </is>
      </c>
      <c r="Q78" t="n">
        <v>4660.41</v>
      </c>
      <c r="R78" t="n">
        <v>0.61</v>
      </c>
      <c r="S78" t="n">
        <v>3129</v>
      </c>
      <c r="T78" t="n">
        <v>34</v>
      </c>
      <c r="U78" t="inlineStr">
        <is>
          <t>shallow</t>
        </is>
      </c>
      <c r="V78" t="inlineStr">
        <is>
          <t>Good</t>
        </is>
      </c>
      <c r="W78" t="n">
        <v>2</v>
      </c>
      <c r="X78" t="inlineStr">
        <is>
          <t>ORH/Round</t>
        </is>
      </c>
      <c r="Z78" t="n">
        <v>1.26</v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2026-08-28</t>
        </is>
      </c>
      <c r="B79" t="inlineStr">
        <is>
          <t>10:09</t>
        </is>
      </c>
      <c r="C79" t="inlineStr">
        <is>
          <t>MGC</t>
        </is>
      </c>
      <c r="D79" t="inlineStr">
        <is>
          <t>Short</t>
        </is>
      </c>
      <c r="E79" t="n">
        <v>426</v>
      </c>
      <c r="F79" t="inlineStr">
        <is>
          <t>down</t>
        </is>
      </c>
      <c r="G79" t="inlineStr">
        <is>
          <t>down</t>
        </is>
      </c>
      <c r="H79" t="inlineStr">
        <is>
          <t>down</t>
        </is>
      </c>
      <c r="I79" t="inlineStr">
        <is>
          <t>down</t>
        </is>
      </c>
      <c r="J79" t="n">
        <v>27.3</v>
      </c>
      <c r="K79" t="inlineStr">
        <is>
          <t>bear</t>
        </is>
      </c>
      <c r="L79" t="inlineStr">
        <is>
          <t>-</t>
        </is>
      </c>
      <c r="M79" t="n">
        <v>22.3</v>
      </c>
      <c r="N79" t="n">
        <v>12.36</v>
      </c>
      <c r="O79" t="n">
        <v>4643.29</v>
      </c>
      <c r="P79" t="inlineStr">
        <is>
          <t>below</t>
        </is>
      </c>
      <c r="Q79" t="n">
        <v>4656.24</v>
      </c>
      <c r="R79" t="n">
        <v>9.59</v>
      </c>
      <c r="S79" t="n">
        <v>-4681</v>
      </c>
      <c r="T79" t="n">
        <v>33</v>
      </c>
      <c r="U79" t="inlineStr">
        <is>
          <t>shallow</t>
        </is>
      </c>
      <c r="V79" t="inlineStr">
        <is>
          <t>Good</t>
        </is>
      </c>
      <c r="W79" t="n">
        <v>2</v>
      </c>
      <c r="X79" t="inlineStr">
        <is>
          <t>Round</t>
        </is>
      </c>
      <c r="Y79" t="inlineStr">
        <is>
          <t>bullish pin/hammer</t>
        </is>
      </c>
      <c r="Z79" t="n">
        <v>7.85</v>
      </c>
      <c r="AA79" t="inlineStr">
        <is>
          <t>Yes</t>
        </is>
      </c>
      <c r="AB79" t="inlineStr">
        <is>
          <t>Yes</t>
        </is>
      </c>
    </row>
    <row r="80">
      <c r="A80" t="inlineStr">
        <is>
          <t>2026-08-28</t>
        </is>
      </c>
      <c r="B80" t="inlineStr">
        <is>
          <t>10:25</t>
        </is>
      </c>
      <c r="C80" t="inlineStr">
        <is>
          <t>MNQ</t>
        </is>
      </c>
      <c r="D80" t="inlineStr">
        <is>
          <t>Short</t>
        </is>
      </c>
      <c r="E80" t="n">
        <v>134</v>
      </c>
      <c r="F80" t="inlineStr">
        <is>
          <t>up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53.9</v>
      </c>
      <c r="K80" t="inlineStr">
        <is>
          <t>bear</t>
        </is>
      </c>
      <c r="L80" t="inlineStr">
        <is>
          <t>-</t>
        </is>
      </c>
      <c r="M80" t="n">
        <v>15</v>
      </c>
      <c r="N80" t="n">
        <v>48.7</v>
      </c>
      <c r="O80" t="n">
        <v>29621.34</v>
      </c>
      <c r="P80" t="inlineStr">
        <is>
          <t>above</t>
        </is>
      </c>
      <c r="Q80" t="n">
        <v>29597.96</v>
      </c>
      <c r="R80" t="n">
        <v>1.38</v>
      </c>
      <c r="S80" t="n">
        <v>-1405</v>
      </c>
      <c r="T80" t="n">
        <v>68</v>
      </c>
      <c r="U80" t="inlineStr">
        <is>
          <t>deep</t>
        </is>
      </c>
      <c r="V80" t="inlineStr">
        <is>
          <t>Weak</t>
        </is>
      </c>
      <c r="W80" t="n">
        <v>1</v>
      </c>
      <c r="X80" t="inlineStr">
        <is>
          <t>Round</t>
        </is>
      </c>
      <c r="Y80" t="inlineStr">
        <is>
          <t>bullish pin/hammer</t>
        </is>
      </c>
      <c r="Z80" t="n">
        <v>1.44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2026-08-28</t>
        </is>
      </c>
      <c r="B81" t="inlineStr">
        <is>
          <t>10:40</t>
        </is>
      </c>
      <c r="C81" t="inlineStr">
        <is>
          <t>MNQ</t>
        </is>
      </c>
      <c r="D81" t="inlineStr">
        <is>
          <t>Short</t>
        </is>
      </c>
      <c r="E81" t="n">
        <v>-102</v>
      </c>
      <c r="F81" t="inlineStr">
        <is>
          <t>up</t>
        </is>
      </c>
      <c r="G81" t="inlineStr">
        <is>
          <t>up</t>
        </is>
      </c>
      <c r="H81" t="inlineStr">
        <is>
          <t>down</t>
        </is>
      </c>
      <c r="I81" t="inlineStr">
        <is>
          <t>up</t>
        </is>
      </c>
      <c r="J81" t="n">
        <v>64.59999999999999</v>
      </c>
      <c r="K81" t="inlineStr">
        <is>
          <t>bull</t>
        </is>
      </c>
      <c r="L81" t="inlineStr">
        <is>
          <t>+</t>
        </is>
      </c>
      <c r="M81" t="n">
        <v>16.3</v>
      </c>
      <c r="N81" t="n">
        <v>50.22</v>
      </c>
      <c r="O81" t="n">
        <v>29632.07</v>
      </c>
      <c r="P81" t="inlineStr">
        <is>
          <t>above</t>
        </is>
      </c>
      <c r="Q81" t="n">
        <v>29597.61</v>
      </c>
      <c r="R81" t="n">
        <v>1.62</v>
      </c>
      <c r="S81" t="n">
        <v>7992</v>
      </c>
      <c r="V81" t="inlineStr">
        <is>
          <t>No setup</t>
        </is>
      </c>
      <c r="W81" t="n">
        <v>0</v>
      </c>
      <c r="X81" t="inlineStr">
        <is>
          <t>PDH/ONH/ORH/Round</t>
        </is>
      </c>
      <c r="Y81" t="inlineStr">
        <is>
          <t>strong bullish close</t>
        </is>
      </c>
      <c r="Z81" t="n">
        <v>1.08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2026-08-28</t>
        </is>
      </c>
      <c r="B82" t="inlineStr">
        <is>
          <t>11:12</t>
        </is>
      </c>
      <c r="C82" t="inlineStr">
        <is>
          <t>MNQ</t>
        </is>
      </c>
      <c r="D82" t="inlineStr">
        <is>
          <t>Short</t>
        </is>
      </c>
      <c r="E82" t="n">
        <v>-13.5</v>
      </c>
      <c r="F82" t="inlineStr">
        <is>
          <t>up</t>
        </is>
      </c>
      <c r="G82" t="inlineStr">
        <is>
          <t>up</t>
        </is>
      </c>
      <c r="H82" t="inlineStr">
        <is>
          <t>up</t>
        </is>
      </c>
      <c r="I82" t="inlineStr">
        <is>
          <t>up</t>
        </is>
      </c>
      <c r="J82" t="n">
        <v>60.3</v>
      </c>
      <c r="K82" t="inlineStr">
        <is>
          <t>bull</t>
        </is>
      </c>
      <c r="L82" t="inlineStr">
        <is>
          <t>+</t>
        </is>
      </c>
      <c r="M82" t="n">
        <v>22.7</v>
      </c>
      <c r="N82" t="n">
        <v>45.18</v>
      </c>
      <c r="O82" t="n">
        <v>29661.43</v>
      </c>
      <c r="P82" t="inlineStr">
        <is>
          <t>above</t>
        </is>
      </c>
      <c r="Q82" t="n">
        <v>29677.41</v>
      </c>
      <c r="R82" t="n">
        <v>1.54</v>
      </c>
      <c r="S82" t="n">
        <v>19065</v>
      </c>
      <c r="T82" t="n">
        <v>16</v>
      </c>
      <c r="U82" t="inlineStr">
        <is>
          <t>shallow</t>
        </is>
      </c>
      <c r="V82" t="inlineStr">
        <is>
          <t>No setup</t>
        </is>
      </c>
      <c r="W82" t="n">
        <v>0</v>
      </c>
      <c r="X82" t="inlineStr">
        <is>
          <t>Round</t>
        </is>
      </c>
      <c r="Z82" t="n">
        <v>0.62</v>
      </c>
      <c r="AA82" t="inlineStr">
        <is>
          <t>No</t>
        </is>
      </c>
      <c r="AB82" t="inlineStr">
        <is>
          <t>No</t>
        </is>
      </c>
    </row>
    <row r="83">
      <c r="A83" t="inlineStr">
        <is>
          <t>2026-08-28</t>
        </is>
      </c>
      <c r="B83" t="inlineStr">
        <is>
          <t>12:53</t>
        </is>
      </c>
      <c r="C83" t="inlineStr">
        <is>
          <t>MNQ</t>
        </is>
      </c>
      <c r="D83" t="inlineStr">
        <is>
          <t>Long</t>
        </is>
      </c>
      <c r="E83" t="n">
        <v>-162</v>
      </c>
      <c r="F83" t="inlineStr">
        <is>
          <t>flat</t>
        </is>
      </c>
      <c r="G83" t="inlineStr">
        <is>
          <t>up</t>
        </is>
      </c>
      <c r="H83" t="inlineStr">
        <is>
          <t>down</t>
        </is>
      </c>
      <c r="I83" t="inlineStr">
        <is>
          <t>down</t>
        </is>
      </c>
      <c r="J83" t="n">
        <v>39.7</v>
      </c>
      <c r="K83" t="inlineStr">
        <is>
          <t>bear</t>
        </is>
      </c>
      <c r="L83" t="inlineStr">
        <is>
          <t>-</t>
        </is>
      </c>
      <c r="M83" t="n">
        <v>31.6</v>
      </c>
      <c r="N83" t="n">
        <v>49.23</v>
      </c>
      <c r="O83" t="n">
        <v>29635.25</v>
      </c>
      <c r="P83" t="inlineStr">
        <is>
          <t>below</t>
        </is>
      </c>
      <c r="Q83" t="n">
        <v>29651.01</v>
      </c>
      <c r="R83" t="n">
        <v>1.55</v>
      </c>
      <c r="S83" t="n">
        <v>-22938</v>
      </c>
      <c r="T83" t="n">
        <v>14</v>
      </c>
      <c r="U83" t="inlineStr">
        <is>
          <t>extended (no pullback)</t>
        </is>
      </c>
      <c r="V83" t="inlineStr">
        <is>
          <t>No setup</t>
        </is>
      </c>
      <c r="W83" t="n">
        <v>0</v>
      </c>
      <c r="X83" t="inlineStr">
        <is>
          <t>Round</t>
        </is>
      </c>
      <c r="Y83" t="inlineStr">
        <is>
          <t>strong bearish close</t>
        </is>
      </c>
      <c r="Z83" t="n">
        <v>0.67</v>
      </c>
      <c r="AA83" t="inlineStr">
        <is>
          <t>No</t>
        </is>
      </c>
      <c r="AB83" t="inlineStr">
        <is>
          <t>No</t>
        </is>
      </c>
    </row>
    <row r="84">
      <c r="A84" t="inlineStr">
        <is>
          <t>2026-08-30</t>
        </is>
      </c>
      <c r="B84" t="inlineStr">
        <is>
          <t>18:03</t>
        </is>
      </c>
      <c r="C84" t="inlineStr">
        <is>
          <t>MGC</t>
        </is>
      </c>
      <c r="D84" t="inlineStr">
        <is>
          <t>Long</t>
        </is>
      </c>
      <c r="E84" t="n">
        <v>199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down</t>
        </is>
      </c>
      <c r="J84" t="n">
        <v>41.4</v>
      </c>
      <c r="K84" t="inlineStr">
        <is>
          <t>bear</t>
        </is>
      </c>
      <c r="L84" t="inlineStr">
        <is>
          <t>+</t>
        </is>
      </c>
      <c r="M84" t="n">
        <v>41.8</v>
      </c>
      <c r="N84" t="n">
        <v>6.92</v>
      </c>
      <c r="T84" t="n">
        <v>87</v>
      </c>
      <c r="U84" t="inlineStr">
        <is>
          <t>broke the leg (reversal risk)</t>
        </is>
      </c>
      <c r="V84" t="inlineStr">
        <is>
          <t>No setup</t>
        </is>
      </c>
      <c r="W84" t="n">
        <v>0</v>
      </c>
      <c r="X84" t="inlineStr">
        <is>
          <t>Round</t>
        </is>
      </c>
      <c r="Z84" t="n">
        <v>0</v>
      </c>
      <c r="AA84" t="inlineStr">
        <is>
          <t>No</t>
        </is>
      </c>
      <c r="AB84" t="inlineStr">
        <is>
          <t>No</t>
        </is>
      </c>
    </row>
    <row r="85">
      <c r="A85" t="inlineStr">
        <is>
          <t>2026-08-30</t>
        </is>
      </c>
      <c r="B85" t="inlineStr">
        <is>
          <t>18:28</t>
        </is>
      </c>
      <c r="C85" t="inlineStr">
        <is>
          <t>MGC</t>
        </is>
      </c>
      <c r="D85" t="inlineStr">
        <is>
          <t>Short</t>
        </is>
      </c>
      <c r="E85" t="n">
        <v>25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down</t>
        </is>
      </c>
      <c r="J85" t="n">
        <v>48.9</v>
      </c>
      <c r="K85" t="inlineStr">
        <is>
          <t>bear</t>
        </is>
      </c>
      <c r="L85" t="inlineStr">
        <is>
          <t>+</t>
        </is>
      </c>
      <c r="M85" t="n">
        <v>37.9</v>
      </c>
      <c r="N85" t="n">
        <v>6.88</v>
      </c>
      <c r="O85" t="n">
        <v>4508.79</v>
      </c>
      <c r="P85" t="inlineStr">
        <is>
          <t>above</t>
        </is>
      </c>
      <c r="Q85" t="n">
        <v>4507.59</v>
      </c>
      <c r="R85" t="n">
        <v>5.83</v>
      </c>
      <c r="S85" t="n">
        <v>1941</v>
      </c>
      <c r="T85" t="n">
        <v>32</v>
      </c>
      <c r="U85" t="inlineStr">
        <is>
          <t>shallow</t>
        </is>
      </c>
      <c r="V85" t="inlineStr">
        <is>
          <t>Good</t>
        </is>
      </c>
      <c r="W85" t="n">
        <v>2</v>
      </c>
      <c r="X85" t="inlineStr">
        <is>
          <t>Round</t>
        </is>
      </c>
      <c r="Y85" t="inlineStr">
        <is>
          <t>bearish engulfing</t>
        </is>
      </c>
      <c r="Z85" t="n">
        <v>1.74</v>
      </c>
      <c r="AA85" t="inlineStr">
        <is>
          <t>Yes</t>
        </is>
      </c>
      <c r="AB85" t="inlineStr">
        <is>
          <t>Yes</t>
        </is>
      </c>
    </row>
    <row r="86">
      <c r="A86" t="inlineStr">
        <is>
          <t>2026-08-30</t>
        </is>
      </c>
      <c r="B86" t="inlineStr">
        <is>
          <t>21:25</t>
        </is>
      </c>
      <c r="C86" t="inlineStr">
        <is>
          <t>MGC</t>
        </is>
      </c>
      <c r="D86" t="inlineStr">
        <is>
          <t>Short</t>
        </is>
      </c>
      <c r="E86" t="n">
        <v>42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down</t>
        </is>
      </c>
      <c r="J86" t="n">
        <v>41.9</v>
      </c>
      <c r="K86" t="inlineStr">
        <is>
          <t>bear</t>
        </is>
      </c>
      <c r="L86" t="inlineStr">
        <is>
          <t>-</t>
        </is>
      </c>
      <c r="M86" t="n">
        <v>18.1</v>
      </c>
      <c r="N86" t="n">
        <v>9.199999999999999</v>
      </c>
      <c r="O86" t="n">
        <v>4505.22</v>
      </c>
      <c r="P86" t="inlineStr">
        <is>
          <t>below</t>
        </is>
      </c>
      <c r="Q86" t="n">
        <v>4507.43</v>
      </c>
      <c r="R86" t="n">
        <v>1</v>
      </c>
      <c r="S86" t="n">
        <v>4282</v>
      </c>
      <c r="T86" t="n">
        <v>23</v>
      </c>
      <c r="U86" t="inlineStr">
        <is>
          <t>shallow</t>
        </is>
      </c>
      <c r="V86" t="inlineStr">
        <is>
          <t>No setup</t>
        </is>
      </c>
      <c r="W86" t="n">
        <v>0</v>
      </c>
      <c r="X86" t="inlineStr">
        <is>
          <t>No</t>
        </is>
      </c>
      <c r="Y86" t="inlineStr">
        <is>
          <t>strong bearish close</t>
        </is>
      </c>
      <c r="Z86" t="n">
        <v>0.58</v>
      </c>
      <c r="AA86" t="inlineStr">
        <is>
          <t>Yes</t>
        </is>
      </c>
      <c r="AB86" t="inlineStr">
        <is>
          <t>Yes</t>
        </is>
      </c>
    </row>
    <row r="87">
      <c r="A87" t="inlineStr">
        <is>
          <t>2026-08-30</t>
        </is>
      </c>
      <c r="B87" t="inlineStr">
        <is>
          <t>23:30</t>
        </is>
      </c>
      <c r="C87" t="inlineStr">
        <is>
          <t>MGC</t>
        </is>
      </c>
      <c r="D87" t="inlineStr">
        <is>
          <t>Short</t>
        </is>
      </c>
      <c r="E87" t="n">
        <v>326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45.4</v>
      </c>
      <c r="K87" t="inlineStr">
        <is>
          <t>bear</t>
        </is>
      </c>
      <c r="L87" t="inlineStr">
        <is>
          <t>+</t>
        </is>
      </c>
      <c r="M87" t="n">
        <v>27.7</v>
      </c>
      <c r="N87" t="n">
        <v>7.94</v>
      </c>
      <c r="O87" t="n">
        <v>4490.93</v>
      </c>
      <c r="P87" t="inlineStr">
        <is>
          <t>below</t>
        </is>
      </c>
      <c r="Q87" t="n">
        <v>4507.27</v>
      </c>
      <c r="R87" t="n">
        <v>1.42</v>
      </c>
      <c r="S87" t="n">
        <v>232</v>
      </c>
      <c r="T87" t="n">
        <v>36</v>
      </c>
      <c r="U87" t="inlineStr">
        <is>
          <t>shallow</t>
        </is>
      </c>
      <c r="V87" t="inlineStr">
        <is>
          <t>Good</t>
        </is>
      </c>
      <c r="W87" t="n">
        <v>2</v>
      </c>
      <c r="X87" t="inlineStr">
        <is>
          <t>Round</t>
        </is>
      </c>
      <c r="Y87" t="inlineStr">
        <is>
          <t>strong bearish close</t>
        </is>
      </c>
      <c r="Z87" t="n">
        <v>0.38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00:07</t>
        </is>
      </c>
      <c r="C88" t="inlineStr">
        <is>
          <t>MGC</t>
        </is>
      </c>
      <c r="D88" t="inlineStr">
        <is>
          <t>Short</t>
        </is>
      </c>
      <c r="E88" t="n">
        <v>47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41.7</v>
      </c>
      <c r="K88" t="inlineStr">
        <is>
          <t>bear</t>
        </is>
      </c>
      <c r="L88" t="inlineStr">
        <is>
          <t>+</t>
        </is>
      </c>
      <c r="M88" t="n">
        <v>23.9</v>
      </c>
      <c r="N88" t="n">
        <v>6.09</v>
      </c>
      <c r="O88" t="n">
        <v>4490.24</v>
      </c>
      <c r="P88" t="inlineStr">
        <is>
          <t>below</t>
        </is>
      </c>
      <c r="Q88" t="n">
        <v>4507.27</v>
      </c>
      <c r="R88" t="n">
        <v>1.14</v>
      </c>
      <c r="S88" t="n">
        <v>-265</v>
      </c>
      <c r="T88" t="n">
        <v>30</v>
      </c>
      <c r="U88" t="inlineStr">
        <is>
          <t>shallow</t>
        </is>
      </c>
      <c r="V88" t="inlineStr">
        <is>
          <t>Weak</t>
        </is>
      </c>
      <c r="W88" t="n">
        <v>1</v>
      </c>
      <c r="X88" t="inlineStr">
        <is>
          <t>Round</t>
        </is>
      </c>
      <c r="Z88" t="n">
        <v>0.44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00:11</t>
        </is>
      </c>
      <c r="C89" t="inlineStr">
        <is>
          <t>MGC</t>
        </is>
      </c>
      <c r="D89" t="inlineStr">
        <is>
          <t>Long</t>
        </is>
      </c>
      <c r="E89" t="n">
        <v>46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45.4</v>
      </c>
      <c r="K89" t="inlineStr">
        <is>
          <t>bear</t>
        </is>
      </c>
      <c r="L89" t="inlineStr">
        <is>
          <t>+</t>
        </is>
      </c>
      <c r="M89" t="n">
        <v>23.2</v>
      </c>
      <c r="N89" t="n">
        <v>6.08</v>
      </c>
      <c r="O89" t="n">
        <v>4489.88</v>
      </c>
      <c r="P89" t="inlineStr">
        <is>
          <t>below</t>
        </is>
      </c>
      <c r="Q89" t="n">
        <v>4507.27</v>
      </c>
      <c r="R89" t="n">
        <v>3.58</v>
      </c>
      <c r="S89" t="n">
        <v>178</v>
      </c>
      <c r="T89" t="n">
        <v>44</v>
      </c>
      <c r="U89" t="inlineStr">
        <is>
          <t>golden</t>
        </is>
      </c>
      <c r="V89" t="inlineStr">
        <is>
          <t>Weak</t>
        </is>
      </c>
      <c r="W89" t="n">
        <v>1</v>
      </c>
      <c r="X89" t="inlineStr">
        <is>
          <t>No</t>
        </is>
      </c>
      <c r="Y89" t="inlineStr">
        <is>
          <t>bullish engulfing</t>
        </is>
      </c>
      <c r="Z89" t="n">
        <v>1.38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00:40</t>
        </is>
      </c>
      <c r="C90" t="inlineStr">
        <is>
          <t>MGC</t>
        </is>
      </c>
      <c r="D90" t="inlineStr">
        <is>
          <t>Short</t>
        </is>
      </c>
      <c r="E90" t="n">
        <v>-161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up</t>
        </is>
      </c>
      <c r="J90" t="n">
        <v>46.6</v>
      </c>
      <c r="K90" t="inlineStr">
        <is>
          <t>bear</t>
        </is>
      </c>
      <c r="L90" t="inlineStr">
        <is>
          <t>+</t>
        </is>
      </c>
      <c r="M90" t="n">
        <v>19.3</v>
      </c>
      <c r="N90" t="n">
        <v>5.43</v>
      </c>
      <c r="O90" t="n">
        <v>4489.21</v>
      </c>
      <c r="P90" t="inlineStr">
        <is>
          <t>below</t>
        </is>
      </c>
      <c r="Q90" t="n">
        <v>4507.27</v>
      </c>
      <c r="R90" t="n">
        <v>0.9399999999999999</v>
      </c>
      <c r="S90" t="n">
        <v>643</v>
      </c>
      <c r="T90" t="n">
        <v>30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Round</t>
        </is>
      </c>
      <c r="Z90" t="n">
        <v>0.46</v>
      </c>
      <c r="AA90" t="inlineStr">
        <is>
          <t>No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09:42</t>
        </is>
      </c>
      <c r="C91" t="inlineStr">
        <is>
          <t>MNQ</t>
        </is>
      </c>
      <c r="D91" t="inlineStr">
        <is>
          <t>Short</t>
        </is>
      </c>
      <c r="E91" t="n">
        <v>134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up</t>
        </is>
      </c>
      <c r="J91" t="n">
        <v>45.8</v>
      </c>
      <c r="K91" t="inlineStr">
        <is>
          <t>bear</t>
        </is>
      </c>
      <c r="L91" t="inlineStr">
        <is>
          <t>+</t>
        </is>
      </c>
      <c r="M91" t="n">
        <v>20.5</v>
      </c>
      <c r="N91" t="n">
        <v>32.05</v>
      </c>
      <c r="O91" t="n">
        <v>29437.27</v>
      </c>
      <c r="P91" t="inlineStr">
        <is>
          <t>below</t>
        </is>
      </c>
      <c r="Q91" t="n">
        <v>29467.73</v>
      </c>
      <c r="R91" t="n">
        <v>0.89</v>
      </c>
      <c r="S91" t="n">
        <v>-14094</v>
      </c>
      <c r="T91" t="n">
        <v>31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PDL</t>
        </is>
      </c>
      <c r="Y91" t="inlineStr">
        <is>
          <t>bearish pin</t>
        </is>
      </c>
      <c r="Z91" t="n">
        <v>4.01</v>
      </c>
      <c r="AA91" t="inlineStr">
        <is>
          <t>No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09:56</t>
        </is>
      </c>
      <c r="C92" t="inlineStr">
        <is>
          <t>MNQ</t>
        </is>
      </c>
      <c r="D92" t="inlineStr">
        <is>
          <t>Long</t>
        </is>
      </c>
      <c r="E92" t="n">
        <v>-129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up</t>
        </is>
      </c>
      <c r="J92" t="n">
        <v>52.2</v>
      </c>
      <c r="K92" t="inlineStr">
        <is>
          <t>bull</t>
        </is>
      </c>
      <c r="L92" t="inlineStr">
        <is>
          <t>+</t>
        </is>
      </c>
      <c r="M92" t="n">
        <v>24.9</v>
      </c>
      <c r="N92" t="n">
        <v>38.19</v>
      </c>
      <c r="O92" t="n">
        <v>29438.28</v>
      </c>
      <c r="P92" t="inlineStr">
        <is>
          <t>above</t>
        </is>
      </c>
      <c r="Q92" t="n">
        <v>29466.76</v>
      </c>
      <c r="R92" t="n">
        <v>0.74</v>
      </c>
      <c r="S92" t="n">
        <v>-8659</v>
      </c>
      <c r="T92" t="n">
        <v>40</v>
      </c>
      <c r="U92" t="inlineStr">
        <is>
          <t>golden</t>
        </is>
      </c>
      <c r="V92" t="inlineStr">
        <is>
          <t>Good</t>
        </is>
      </c>
      <c r="W92" t="n">
        <v>2</v>
      </c>
      <c r="X92" t="inlineStr">
        <is>
          <t>Round</t>
        </is>
      </c>
      <c r="Y92" t="inlineStr">
        <is>
          <t>strong bearish close</t>
        </is>
      </c>
      <c r="Z92" t="n">
        <v>1.68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10:01</t>
        </is>
      </c>
      <c r="C93" t="inlineStr">
        <is>
          <t>MGC</t>
        </is>
      </c>
      <c r="D93" t="inlineStr">
        <is>
          <t>Short</t>
        </is>
      </c>
      <c r="E93" t="n">
        <v>-78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28.6</v>
      </c>
      <c r="K93" t="inlineStr">
        <is>
          <t>bear</t>
        </is>
      </c>
      <c r="L93" t="inlineStr">
        <is>
          <t>-</t>
        </is>
      </c>
      <c r="M93" t="n">
        <v>32.7</v>
      </c>
      <c r="N93" t="n">
        <v>6.62</v>
      </c>
      <c r="O93" t="n">
        <v>4479.18</v>
      </c>
      <c r="P93" t="inlineStr">
        <is>
          <t>below</t>
        </is>
      </c>
      <c r="Q93" t="n">
        <v>4470.81</v>
      </c>
      <c r="R93" t="n">
        <v>0.8100000000000001</v>
      </c>
      <c r="S93" t="n">
        <v>-5219</v>
      </c>
      <c r="T93" t="n">
        <v>13</v>
      </c>
      <c r="U93" t="inlineStr">
        <is>
          <t>extended (no pullback)</t>
        </is>
      </c>
      <c r="V93" t="inlineStr">
        <is>
          <t>Weak</t>
        </is>
      </c>
      <c r="W93" t="n">
        <v>1</v>
      </c>
      <c r="X93" t="inlineStr">
        <is>
          <t>Round</t>
        </is>
      </c>
      <c r="Z93" t="n">
        <v>1.37</v>
      </c>
      <c r="AA93" t="inlineStr">
        <is>
          <t>Yes</t>
        </is>
      </c>
      <c r="AB93" t="inlineStr">
        <is>
          <t>Yes</t>
        </is>
      </c>
    </row>
    <row r="94">
      <c r="A94" t="inlineStr">
        <is>
          <t>2026-08-31</t>
        </is>
      </c>
      <c r="B94" t="inlineStr">
        <is>
          <t>10:11</t>
        </is>
      </c>
      <c r="C94" t="inlineStr">
        <is>
          <t>MNQ</t>
        </is>
      </c>
      <c r="D94" t="inlineStr">
        <is>
          <t>Short</t>
        </is>
      </c>
      <c r="E94" t="n">
        <v>-120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44.6</v>
      </c>
      <c r="K94" t="inlineStr">
        <is>
          <t>bear</t>
        </is>
      </c>
      <c r="L94" t="inlineStr">
        <is>
          <t>-</t>
        </is>
      </c>
      <c r="M94" t="n">
        <v>22.4</v>
      </c>
      <c r="N94" t="n">
        <v>39.3</v>
      </c>
      <c r="O94" t="n">
        <v>29429.98</v>
      </c>
      <c r="P94" t="inlineStr">
        <is>
          <t>below</t>
        </is>
      </c>
      <c r="Q94" t="n">
        <v>29467.56</v>
      </c>
      <c r="R94" t="n">
        <v>0.79</v>
      </c>
      <c r="S94" t="n">
        <v>-18288</v>
      </c>
      <c r="T94" t="n">
        <v>16</v>
      </c>
      <c r="U94" t="inlineStr">
        <is>
          <t>shallow</t>
        </is>
      </c>
      <c r="V94" t="inlineStr">
        <is>
          <t>A+</t>
        </is>
      </c>
      <c r="W94" t="n">
        <v>3</v>
      </c>
      <c r="X94" t="inlineStr">
        <is>
          <t>ORL/Round</t>
        </is>
      </c>
      <c r="Z94" t="n">
        <v>1.19</v>
      </c>
      <c r="AA94" t="inlineStr">
        <is>
          <t>Yes</t>
        </is>
      </c>
      <c r="AB94" t="inlineStr">
        <is>
          <t>Yes</t>
        </is>
      </c>
    </row>
    <row r="95">
      <c r="A95" t="inlineStr">
        <is>
          <t>2026-08-31</t>
        </is>
      </c>
      <c r="B95" t="inlineStr">
        <is>
          <t>10:28</t>
        </is>
      </c>
      <c r="C95" t="inlineStr">
        <is>
          <t>MGC</t>
        </is>
      </c>
      <c r="D95" t="inlineStr">
        <is>
          <t>Short</t>
        </is>
      </c>
      <c r="E95" t="n">
        <v>-126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33</v>
      </c>
      <c r="K95" t="inlineStr">
        <is>
          <t>bear</t>
        </is>
      </c>
      <c r="L95" t="inlineStr">
        <is>
          <t>-</t>
        </is>
      </c>
      <c r="M95" t="n">
        <v>33.9</v>
      </c>
      <c r="N95" t="n">
        <v>6.89</v>
      </c>
      <c r="O95" t="n">
        <v>4477.81</v>
      </c>
      <c r="P95" t="inlineStr">
        <is>
          <t>below</t>
        </is>
      </c>
      <c r="Q95" t="n">
        <v>4470.81</v>
      </c>
      <c r="R95" t="n">
        <v>0.66</v>
      </c>
      <c r="S95" t="n">
        <v>-4643</v>
      </c>
      <c r="T95" t="n">
        <v>13</v>
      </c>
      <c r="U95" t="inlineStr">
        <is>
          <t>extended (no pullback)</t>
        </is>
      </c>
      <c r="V95" t="inlineStr">
        <is>
          <t>Weak</t>
        </is>
      </c>
      <c r="W95" t="n">
        <v>1</v>
      </c>
      <c r="X95" t="inlineStr">
        <is>
          <t>Round</t>
        </is>
      </c>
      <c r="Z95" t="n">
        <v>0.5600000000000001</v>
      </c>
      <c r="AA95" t="inlineStr">
        <is>
          <t>Yes</t>
        </is>
      </c>
      <c r="AB95" t="inlineStr">
        <is>
          <t>Yes</t>
        </is>
      </c>
    </row>
    <row r="96">
      <c r="A96" t="inlineStr">
        <is>
          <t>2026-08-31</t>
        </is>
      </c>
      <c r="B96" t="inlineStr">
        <is>
          <t>10:41</t>
        </is>
      </c>
      <c r="C96" t="inlineStr">
        <is>
          <t>MNQ</t>
        </is>
      </c>
      <c r="D96" t="inlineStr">
        <is>
          <t>Long</t>
        </is>
      </c>
      <c r="E96" t="n">
        <v>250</v>
      </c>
      <c r="F96" t="inlineStr">
        <is>
          <t>down</t>
        </is>
      </c>
      <c r="G96" t="inlineStr">
        <is>
          <t>down</t>
        </is>
      </c>
      <c r="H96" t="inlineStr">
        <is>
          <t>down</t>
        </is>
      </c>
      <c r="I96" t="inlineStr">
        <is>
          <t>down</t>
        </is>
      </c>
      <c r="J96" t="n">
        <v>52.5</v>
      </c>
      <c r="K96" t="inlineStr">
        <is>
          <t>bear</t>
        </is>
      </c>
      <c r="L96" t="inlineStr">
        <is>
          <t>+</t>
        </is>
      </c>
      <c r="M96" t="n">
        <v>19.4</v>
      </c>
      <c r="N96" t="n">
        <v>40.2</v>
      </c>
      <c r="O96" t="n">
        <v>29420.35</v>
      </c>
      <c r="P96" t="inlineStr">
        <is>
          <t>below</t>
        </is>
      </c>
      <c r="Q96" t="n">
        <v>29429.81</v>
      </c>
      <c r="R96" t="n">
        <v>0.9399999999999999</v>
      </c>
      <c r="S96" t="n">
        <v>-15004</v>
      </c>
      <c r="T96" t="n">
        <v>31</v>
      </c>
      <c r="U96" t="inlineStr">
        <is>
          <t>shallow</t>
        </is>
      </c>
      <c r="V96" t="inlineStr">
        <is>
          <t>Good</t>
        </is>
      </c>
      <c r="W96" t="n">
        <v>2</v>
      </c>
      <c r="X96" t="inlineStr">
        <is>
          <t>Round</t>
        </is>
      </c>
      <c r="Z96" t="n">
        <v>0.83</v>
      </c>
      <c r="AA96" t="inlineStr">
        <is>
          <t>No</t>
        </is>
      </c>
      <c r="AB96" t="inlineStr">
        <is>
          <t>No</t>
        </is>
      </c>
    </row>
    <row r="97">
      <c r="A97" t="inlineStr">
        <is>
          <t>2026-08-31</t>
        </is>
      </c>
      <c r="B97" t="inlineStr">
        <is>
          <t>10:47</t>
        </is>
      </c>
      <c r="C97" t="inlineStr">
        <is>
          <t>MNQ</t>
        </is>
      </c>
      <c r="D97" t="inlineStr">
        <is>
          <t>Long</t>
        </is>
      </c>
      <c r="E97" t="n">
        <v>-87.5</v>
      </c>
      <c r="F97" t="inlineStr">
        <is>
          <t>down</t>
        </is>
      </c>
      <c r="G97" t="inlineStr">
        <is>
          <t>down</t>
        </is>
      </c>
      <c r="H97" t="inlineStr">
        <is>
          <t>down</t>
        </is>
      </c>
      <c r="I97" t="inlineStr">
        <is>
          <t>down</t>
        </is>
      </c>
      <c r="J97" t="n">
        <v>46.3</v>
      </c>
      <c r="K97" t="inlineStr">
        <is>
          <t>bear</t>
        </is>
      </c>
      <c r="L97" t="inlineStr">
        <is>
          <t>+</t>
        </is>
      </c>
      <c r="M97" t="n">
        <v>19</v>
      </c>
      <c r="N97" t="n">
        <v>40.48</v>
      </c>
      <c r="O97" t="n">
        <v>29419.89</v>
      </c>
      <c r="P97" t="inlineStr">
        <is>
          <t>below</t>
        </is>
      </c>
      <c r="Q97" t="n">
        <v>29429.81</v>
      </c>
      <c r="R97" t="n">
        <v>0.8</v>
      </c>
      <c r="S97" t="n">
        <v>-18068</v>
      </c>
      <c r="T97" t="n">
        <v>33</v>
      </c>
      <c r="U97" t="inlineStr">
        <is>
          <t>shallow</t>
        </is>
      </c>
      <c r="V97" t="inlineStr">
        <is>
          <t>Good</t>
        </is>
      </c>
      <c r="W97" t="n">
        <v>2</v>
      </c>
      <c r="X97" t="inlineStr">
        <is>
          <t>Round</t>
        </is>
      </c>
      <c r="Y97" t="inlineStr">
        <is>
          <t>bearish engulfing</t>
        </is>
      </c>
      <c r="Z97" t="n">
        <v>0.68</v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2026-08-31</t>
        </is>
      </c>
      <c r="B98" t="inlineStr">
        <is>
          <t>10:48</t>
        </is>
      </c>
      <c r="C98" t="inlineStr">
        <is>
          <t>MNQ</t>
        </is>
      </c>
      <c r="D98" t="inlineStr">
        <is>
          <t>Long</t>
        </is>
      </c>
      <c r="E98" t="n">
        <v>-57</v>
      </c>
      <c r="F98" t="inlineStr">
        <is>
          <t>down</t>
        </is>
      </c>
      <c r="G98" t="inlineStr">
        <is>
          <t>down</t>
        </is>
      </c>
      <c r="H98" t="inlineStr">
        <is>
          <t>down</t>
        </is>
      </c>
      <c r="I98" t="inlineStr">
        <is>
          <t>down</t>
        </is>
      </c>
      <c r="J98" t="n">
        <v>46.3</v>
      </c>
      <c r="K98" t="inlineStr">
        <is>
          <t>bear</t>
        </is>
      </c>
      <c r="L98" t="inlineStr">
        <is>
          <t>+</t>
        </is>
      </c>
      <c r="M98" t="n">
        <v>19</v>
      </c>
      <c r="N98" t="n">
        <v>40.48</v>
      </c>
      <c r="O98" t="n">
        <v>29419.89</v>
      </c>
      <c r="P98" t="inlineStr">
        <is>
          <t>below</t>
        </is>
      </c>
      <c r="Q98" t="n">
        <v>29429.81</v>
      </c>
      <c r="R98" t="n">
        <v>0.8</v>
      </c>
      <c r="S98" t="n">
        <v>-18068</v>
      </c>
      <c r="T98" t="n">
        <v>42</v>
      </c>
      <c r="U98" t="inlineStr">
        <is>
          <t>golden</t>
        </is>
      </c>
      <c r="V98" t="inlineStr">
        <is>
          <t>Good</t>
        </is>
      </c>
      <c r="W98" t="n">
        <v>2</v>
      </c>
      <c r="X98" t="inlineStr">
        <is>
          <t>ORL/Round</t>
        </is>
      </c>
      <c r="Y98" t="inlineStr">
        <is>
          <t>bearish engulfing</t>
        </is>
      </c>
      <c r="Z98" t="n">
        <v>0.68</v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2026-08-31</t>
        </is>
      </c>
      <c r="B99" t="inlineStr">
        <is>
          <t>10:55</t>
        </is>
      </c>
      <c r="C99" t="inlineStr">
        <is>
          <t>MGC</t>
        </is>
      </c>
      <c r="D99" t="inlineStr">
        <is>
          <t>Short</t>
        </is>
      </c>
      <c r="E99" t="n">
        <v>108</v>
      </c>
      <c r="F99" t="inlineStr">
        <is>
          <t>down</t>
        </is>
      </c>
      <c r="G99" t="inlineStr">
        <is>
          <t>down</t>
        </is>
      </c>
      <c r="H99" t="inlineStr">
        <is>
          <t>down</t>
        </is>
      </c>
      <c r="I99" t="inlineStr">
        <is>
          <t>down</t>
        </is>
      </c>
      <c r="J99" t="n">
        <v>47.9</v>
      </c>
      <c r="K99" t="inlineStr">
        <is>
          <t>bear</t>
        </is>
      </c>
      <c r="L99" t="inlineStr">
        <is>
          <t>+</t>
        </is>
      </c>
      <c r="M99" t="n">
        <v>25</v>
      </c>
      <c r="N99" t="n">
        <v>7.13</v>
      </c>
      <c r="O99" t="n">
        <v>4478.29</v>
      </c>
      <c r="P99" t="inlineStr">
        <is>
          <t>above</t>
        </is>
      </c>
      <c r="Q99" t="n">
        <v>4474.83</v>
      </c>
      <c r="R99" t="n">
        <v>0.95</v>
      </c>
      <c r="S99" t="n">
        <v>-4477</v>
      </c>
      <c r="T99" t="n">
        <v>36</v>
      </c>
      <c r="U99" t="inlineStr">
        <is>
          <t>shallow</t>
        </is>
      </c>
      <c r="V99" t="inlineStr">
        <is>
          <t>Good</t>
        </is>
      </c>
      <c r="W99" t="n">
        <v>2</v>
      </c>
      <c r="X99" t="inlineStr">
        <is>
          <t>No</t>
        </is>
      </c>
      <c r="Y99" t="inlineStr">
        <is>
          <t>strong bearish close</t>
        </is>
      </c>
      <c r="Z99" t="n">
        <v>0.7</v>
      </c>
      <c r="AA99" t="inlineStr">
        <is>
          <t>Yes</t>
        </is>
      </c>
      <c r="AB99" t="inlineStr">
        <is>
          <t>Yes</t>
        </is>
      </c>
    </row>
    <row r="100">
      <c r="A100" t="inlineStr">
        <is>
          <t>2026-08-31</t>
        </is>
      </c>
      <c r="B100" t="inlineStr">
        <is>
          <t>22:25</t>
        </is>
      </c>
      <c r="C100" t="inlineStr">
        <is>
          <t>MGC</t>
        </is>
      </c>
      <c r="D100" t="inlineStr">
        <is>
          <t>Long</t>
        </is>
      </c>
      <c r="E100" t="n">
        <v>-16</v>
      </c>
      <c r="F100" t="inlineStr">
        <is>
          <t>down</t>
        </is>
      </c>
      <c r="G100" t="inlineStr">
        <is>
          <t>down</t>
        </is>
      </c>
      <c r="H100" t="inlineStr">
        <is>
          <t>up</t>
        </is>
      </c>
      <c r="I100" t="inlineStr">
        <is>
          <t>down</t>
        </is>
      </c>
      <c r="J100" t="n">
        <v>41.4</v>
      </c>
      <c r="K100" t="inlineStr">
        <is>
          <t>bear</t>
        </is>
      </c>
      <c r="L100" t="inlineStr">
        <is>
          <t>-</t>
        </is>
      </c>
      <c r="M100" t="n">
        <v>15.4</v>
      </c>
      <c r="N100" t="n">
        <v>4.68</v>
      </c>
      <c r="O100" t="n">
        <v>4484.99</v>
      </c>
      <c r="P100" t="inlineStr">
        <is>
          <t>above</t>
        </is>
      </c>
      <c r="Q100" t="n">
        <v>4481.28</v>
      </c>
      <c r="R100" t="n">
        <v>0.77</v>
      </c>
      <c r="S100" t="n">
        <v>-7207</v>
      </c>
      <c r="T100" t="n">
        <v>49</v>
      </c>
      <c r="U100" t="inlineStr">
        <is>
          <t>golden</t>
        </is>
      </c>
      <c r="V100" t="inlineStr">
        <is>
          <t>Weak</t>
        </is>
      </c>
      <c r="W100" t="n">
        <v>1</v>
      </c>
      <c r="X100" t="inlineStr">
        <is>
          <t>Round</t>
        </is>
      </c>
      <c r="Y100" t="inlineStr">
        <is>
          <t>strong bearish close</t>
        </is>
      </c>
      <c r="Z100" t="n">
        <v>0.7</v>
      </c>
      <c r="AA100" t="inlineStr">
        <is>
          <t>No</t>
        </is>
      </c>
      <c r="AB100" t="inlineStr">
        <is>
          <t>No</t>
        </is>
      </c>
    </row>
    <row r="101">
      <c r="A101" t="inlineStr">
        <is>
          <t>2026-08-31</t>
        </is>
      </c>
      <c r="B101" t="inlineStr">
        <is>
          <t>22:26</t>
        </is>
      </c>
      <c r="C101" t="inlineStr">
        <is>
          <t>MGC</t>
        </is>
      </c>
      <c r="D101" t="inlineStr">
        <is>
          <t>Long</t>
        </is>
      </c>
      <c r="E101" t="n">
        <v>-60</v>
      </c>
      <c r="F101" t="inlineStr">
        <is>
          <t>down</t>
        </is>
      </c>
      <c r="G101" t="inlineStr">
        <is>
          <t>down</t>
        </is>
      </c>
      <c r="H101" t="inlineStr">
        <is>
          <t>up</t>
        </is>
      </c>
      <c r="I101" t="inlineStr">
        <is>
          <t>down</t>
        </is>
      </c>
      <c r="J101" t="n">
        <v>41.4</v>
      </c>
      <c r="K101" t="inlineStr">
        <is>
          <t>bear</t>
        </is>
      </c>
      <c r="L101" t="inlineStr">
        <is>
          <t>-</t>
        </is>
      </c>
      <c r="M101" t="n">
        <v>15.4</v>
      </c>
      <c r="N101" t="n">
        <v>4.68</v>
      </c>
      <c r="O101" t="n">
        <v>4484.99</v>
      </c>
      <c r="P101" t="inlineStr">
        <is>
          <t>above</t>
        </is>
      </c>
      <c r="Q101" t="n">
        <v>4481.28</v>
      </c>
      <c r="R101" t="n">
        <v>0.77</v>
      </c>
      <c r="S101" t="n">
        <v>-7207</v>
      </c>
      <c r="T101" t="n">
        <v>59</v>
      </c>
      <c r="U101" t="inlineStr">
        <is>
          <t>golden</t>
        </is>
      </c>
      <c r="V101" t="inlineStr">
        <is>
          <t>Weak</t>
        </is>
      </c>
      <c r="W101" t="n">
        <v>1</v>
      </c>
      <c r="X101" t="inlineStr">
        <is>
          <t>Round</t>
        </is>
      </c>
      <c r="Y101" t="inlineStr">
        <is>
          <t>strong bearish close</t>
        </is>
      </c>
      <c r="Z101" t="n">
        <v>0.7</v>
      </c>
      <c r="AA101" t="inlineStr">
        <is>
          <t>No</t>
        </is>
      </c>
      <c r="AB101" t="inlineStr">
        <is>
          <t>No</t>
        </is>
      </c>
    </row>
    <row r="102">
      <c r="A102" t="inlineStr">
        <is>
          <t>2026-08-31</t>
        </is>
      </c>
      <c r="B102" t="inlineStr">
        <is>
          <t>22:47</t>
        </is>
      </c>
      <c r="C102" t="inlineStr">
        <is>
          <t>MGC</t>
        </is>
      </c>
      <c r="D102" t="inlineStr">
        <is>
          <t>Short</t>
        </is>
      </c>
      <c r="E102" t="n">
        <v>-180</v>
      </c>
      <c r="F102" t="inlineStr">
        <is>
          <t>down</t>
        </is>
      </c>
      <c r="G102" t="inlineStr">
        <is>
          <t>down</t>
        </is>
      </c>
      <c r="H102" t="inlineStr">
        <is>
          <t>down</t>
        </is>
      </c>
      <c r="I102" t="inlineStr">
        <is>
          <t>down</t>
        </is>
      </c>
      <c r="J102" t="n">
        <v>38.6</v>
      </c>
      <c r="K102" t="inlineStr">
        <is>
          <t>bear</t>
        </is>
      </c>
      <c r="L102" t="inlineStr">
        <is>
          <t>-</t>
        </is>
      </c>
      <c r="M102" t="n">
        <v>20.3</v>
      </c>
      <c r="N102" t="n">
        <v>5.09</v>
      </c>
      <c r="O102" t="n">
        <v>4484.93</v>
      </c>
      <c r="P102" t="inlineStr">
        <is>
          <t>below</t>
        </is>
      </c>
      <c r="Q102" t="n">
        <v>4481.28</v>
      </c>
      <c r="R102" t="n">
        <v>2.63</v>
      </c>
      <c r="S102" t="n">
        <v>-7566</v>
      </c>
      <c r="T102" t="n">
        <v>12</v>
      </c>
      <c r="U102" t="inlineStr">
        <is>
          <t>extended (no pullback)</t>
        </is>
      </c>
      <c r="V102" t="inlineStr">
        <is>
          <t>Weak</t>
        </is>
      </c>
      <c r="W102" t="n">
        <v>1</v>
      </c>
      <c r="X102" t="inlineStr">
        <is>
          <t>Round</t>
        </is>
      </c>
      <c r="Y102" t="inlineStr">
        <is>
          <t>bullish engulfing</t>
        </is>
      </c>
      <c r="Z102" t="n">
        <v>2.86</v>
      </c>
      <c r="AA102" t="inlineStr">
        <is>
          <t>Yes</t>
        </is>
      </c>
      <c r="AB102" t="inlineStr">
        <is>
          <t>Yes</t>
        </is>
      </c>
    </row>
    <row r="103">
      <c r="A103" t="inlineStr">
        <is>
          <t>2026-08-31</t>
        </is>
      </c>
      <c r="B103" t="inlineStr">
        <is>
          <t>23:00</t>
        </is>
      </c>
      <c r="C103" t="inlineStr">
        <is>
          <t>MGC</t>
        </is>
      </c>
      <c r="D103" t="inlineStr">
        <is>
          <t>Short</t>
        </is>
      </c>
      <c r="E103" t="n">
        <v>230</v>
      </c>
      <c r="F103" t="inlineStr">
        <is>
          <t>down</t>
        </is>
      </c>
      <c r="G103" t="inlineStr">
        <is>
          <t>down</t>
        </is>
      </c>
      <c r="H103" t="inlineStr">
        <is>
          <t>down</t>
        </is>
      </c>
      <c r="I103" t="inlineStr">
        <is>
          <t>down</t>
        </is>
      </c>
      <c r="J103" t="n">
        <v>47.8</v>
      </c>
      <c r="K103" t="inlineStr">
        <is>
          <t>bear</t>
        </is>
      </c>
      <c r="L103" t="inlineStr">
        <is>
          <t>+</t>
        </is>
      </c>
      <c r="M103" t="n">
        <v>19.1</v>
      </c>
      <c r="N103" t="n">
        <v>5.06</v>
      </c>
      <c r="O103" t="n">
        <v>4485</v>
      </c>
      <c r="P103" t="inlineStr">
        <is>
          <t>above</t>
        </is>
      </c>
      <c r="Q103" t="n">
        <v>4481.28</v>
      </c>
      <c r="R103" t="n">
        <v>1.33</v>
      </c>
      <c r="S103" t="n">
        <v>-7426</v>
      </c>
      <c r="T103" t="n">
        <v>34</v>
      </c>
      <c r="U103" t="inlineStr">
        <is>
          <t>shallow</t>
        </is>
      </c>
      <c r="V103" t="inlineStr">
        <is>
          <t>Weak</t>
        </is>
      </c>
      <c r="W103" t="n">
        <v>1</v>
      </c>
      <c r="X103" t="inlineStr">
        <is>
          <t>Round</t>
        </is>
      </c>
      <c r="Y103" t="inlineStr">
        <is>
          <t>strong bearish close</t>
        </is>
      </c>
      <c r="Z103" t="n">
        <v>1.27</v>
      </c>
      <c r="AA103" t="inlineStr">
        <is>
          <t>Yes</t>
        </is>
      </c>
      <c r="AB103" t="inlineStr">
        <is>
          <t>Yes</t>
        </is>
      </c>
    </row>
    <row r="104">
      <c r="A104" t="inlineStr">
        <is>
          <t>2026-08-31</t>
        </is>
      </c>
      <c r="B104" t="inlineStr">
        <is>
          <t>23:58</t>
        </is>
      </c>
      <c r="C104" t="inlineStr">
        <is>
          <t>MGC</t>
        </is>
      </c>
      <c r="D104" t="inlineStr">
        <is>
          <t>Short</t>
        </is>
      </c>
      <c r="E104" t="n">
        <v>50</v>
      </c>
      <c r="F104" t="inlineStr">
        <is>
          <t>down</t>
        </is>
      </c>
      <c r="G104" t="inlineStr">
        <is>
          <t>down</t>
        </is>
      </c>
      <c r="H104" t="inlineStr">
        <is>
          <t>down</t>
        </is>
      </c>
      <c r="I104" t="inlineStr">
        <is>
          <t>down</t>
        </is>
      </c>
      <c r="J104" t="n">
        <v>46.4</v>
      </c>
      <c r="K104" t="inlineStr">
        <is>
          <t>bear</t>
        </is>
      </c>
      <c r="L104" t="inlineStr">
        <is>
          <t>+</t>
        </is>
      </c>
      <c r="M104" t="n">
        <v>17.7</v>
      </c>
      <c r="N104" t="n">
        <v>4.27</v>
      </c>
      <c r="O104" t="n">
        <v>4485.11</v>
      </c>
      <c r="P104" t="inlineStr">
        <is>
          <t>above</t>
        </is>
      </c>
      <c r="Q104" t="n">
        <v>4481.28</v>
      </c>
      <c r="R104" t="n">
        <v>3.73</v>
      </c>
      <c r="S104" t="n">
        <v>-7621</v>
      </c>
      <c r="T104" t="n">
        <v>29</v>
      </c>
      <c r="U104" t="inlineStr">
        <is>
          <t>shallow</t>
        </is>
      </c>
      <c r="V104" t="inlineStr">
        <is>
          <t>Weak</t>
        </is>
      </c>
      <c r="W104" t="n">
        <v>1</v>
      </c>
      <c r="X104" t="inlineStr">
        <is>
          <t>No</t>
        </is>
      </c>
      <c r="Y104" t="inlineStr">
        <is>
          <t>strong bearish close</t>
        </is>
      </c>
      <c r="Z104" t="n">
        <v>1.21</v>
      </c>
      <c r="AA104" t="inlineStr">
        <is>
          <t>Yes</t>
        </is>
      </c>
      <c r="AB104" t="inlineStr">
        <is>
          <t>Yes</t>
        </is>
      </c>
    </row>
    <row r="105">
      <c r="A105" t="inlineStr">
        <is>
          <t>2026-09-01</t>
        </is>
      </c>
      <c r="B105" t="inlineStr">
        <is>
          <t>00:02</t>
        </is>
      </c>
      <c r="C105" t="inlineStr">
        <is>
          <t>MGC</t>
        </is>
      </c>
      <c r="D105" t="inlineStr">
        <is>
          <t>Short</t>
        </is>
      </c>
      <c r="E105" t="n">
        <v>15</v>
      </c>
      <c r="F105" t="inlineStr">
        <is>
          <t>down</t>
        </is>
      </c>
      <c r="G105" t="inlineStr">
        <is>
          <t>down</t>
        </is>
      </c>
      <c r="H105" t="inlineStr">
        <is>
          <t>down</t>
        </is>
      </c>
      <c r="I105" t="inlineStr">
        <is>
          <t>down</t>
        </is>
      </c>
      <c r="J105" t="n">
        <v>44.9</v>
      </c>
      <c r="K105" t="inlineStr">
        <is>
          <t>bear</t>
        </is>
      </c>
      <c r="L105" t="inlineStr">
        <is>
          <t>+</t>
        </is>
      </c>
      <c r="M105" t="n">
        <v>17.8</v>
      </c>
      <c r="N105" t="n">
        <v>4.13</v>
      </c>
      <c r="O105" t="n">
        <v>4485.11</v>
      </c>
      <c r="P105" t="inlineStr">
        <is>
          <t>above</t>
        </is>
      </c>
      <c r="Q105" t="n">
        <v>4481.28</v>
      </c>
      <c r="R105" t="n">
        <v>0.65</v>
      </c>
      <c r="S105" t="n">
        <v>-7569</v>
      </c>
      <c r="T105" t="n">
        <v>28</v>
      </c>
      <c r="U105" t="inlineStr">
        <is>
          <t>shallow</t>
        </is>
      </c>
      <c r="V105" t="inlineStr">
        <is>
          <t>Weak</t>
        </is>
      </c>
      <c r="W105" t="n">
        <v>1</v>
      </c>
      <c r="X105" t="inlineStr">
        <is>
          <t>No</t>
        </is>
      </c>
      <c r="Z105" t="n">
        <v>0.43</v>
      </c>
      <c r="AA105" t="inlineStr">
        <is>
          <t>Yes</t>
        </is>
      </c>
      <c r="AB105" t="inlineStr">
        <is>
          <t>Yes</t>
        </is>
      </c>
    </row>
    <row r="106">
      <c r="A106" t="inlineStr">
        <is>
          <t>2026-09-01</t>
        </is>
      </c>
      <c r="B106" t="inlineStr">
        <is>
          <t>10:27</t>
        </is>
      </c>
      <c r="C106" t="inlineStr">
        <is>
          <t>MGC</t>
        </is>
      </c>
      <c r="D106" t="inlineStr">
        <is>
          <t>Short</t>
        </is>
      </c>
      <c r="E106" t="n">
        <v>31</v>
      </c>
      <c r="F106" t="inlineStr">
        <is>
          <t>down</t>
        </is>
      </c>
      <c r="G106" t="inlineStr">
        <is>
          <t>down</t>
        </is>
      </c>
      <c r="H106" t="inlineStr">
        <is>
          <t>down</t>
        </is>
      </c>
      <c r="I106" t="inlineStr">
        <is>
          <t>up</t>
        </is>
      </c>
      <c r="J106" t="n">
        <v>53.2</v>
      </c>
      <c r="K106" t="inlineStr">
        <is>
          <t>bull</t>
        </is>
      </c>
      <c r="L106" t="inlineStr">
        <is>
          <t>+</t>
        </is>
      </c>
      <c r="M106" t="n">
        <v>17.5</v>
      </c>
      <c r="N106" t="n">
        <v>9.140000000000001</v>
      </c>
      <c r="O106" t="n">
        <v>4408.15</v>
      </c>
      <c r="P106" t="inlineStr">
        <is>
          <t>above</t>
        </is>
      </c>
      <c r="Q106" t="n">
        <v>4410.7</v>
      </c>
      <c r="R106" t="n">
        <v>1.41</v>
      </c>
      <c r="S106" t="n">
        <v>2941</v>
      </c>
      <c r="T106" t="n">
        <v>70</v>
      </c>
      <c r="U106" t="inlineStr">
        <is>
          <t>deep</t>
        </is>
      </c>
      <c r="V106" t="inlineStr">
        <is>
          <t>No setup</t>
        </is>
      </c>
      <c r="W106" t="n">
        <v>0</v>
      </c>
      <c r="X106" t="inlineStr">
        <is>
          <t>ORH/Round</t>
        </is>
      </c>
      <c r="Y106" t="inlineStr">
        <is>
          <t>strong bearish close</t>
        </is>
      </c>
      <c r="Z106" t="n">
        <v>0.63</v>
      </c>
      <c r="AA106" t="inlineStr">
        <is>
          <t>No</t>
        </is>
      </c>
      <c r="AB106" t="inlineStr">
        <is>
          <t>Yes</t>
        </is>
      </c>
    </row>
    <row r="107">
      <c r="A107" t="inlineStr">
        <is>
          <t>2026-09-01</t>
        </is>
      </c>
      <c r="B107" t="inlineStr">
        <is>
          <t>10:39</t>
        </is>
      </c>
      <c r="C107" t="inlineStr">
        <is>
          <t>MNQ</t>
        </is>
      </c>
      <c r="D107" t="inlineStr">
        <is>
          <t>Long</t>
        </is>
      </c>
      <c r="E107" t="n">
        <v>482</v>
      </c>
      <c r="F107" t="inlineStr">
        <is>
          <t>down</t>
        </is>
      </c>
      <c r="G107" t="inlineStr">
        <is>
          <t>down</t>
        </is>
      </c>
      <c r="H107" t="inlineStr">
        <is>
          <t>up</t>
        </is>
      </c>
      <c r="I107" t="inlineStr">
        <is>
          <t>up</t>
        </is>
      </c>
      <c r="J107" t="n">
        <v>63.9</v>
      </c>
      <c r="K107" t="inlineStr">
        <is>
          <t>bull</t>
        </is>
      </c>
      <c r="L107" t="inlineStr">
        <is>
          <t>+</t>
        </is>
      </c>
      <c r="M107" t="n">
        <v>28.7</v>
      </c>
      <c r="N107" t="n">
        <v>36.4</v>
      </c>
      <c r="O107" t="n">
        <v>29122.13</v>
      </c>
      <c r="P107" t="inlineStr">
        <is>
          <t>above</t>
        </is>
      </c>
      <c r="Q107" t="n">
        <v>29094.86</v>
      </c>
      <c r="R107" t="n">
        <v>0.87</v>
      </c>
      <c r="S107" t="n">
        <v>9085</v>
      </c>
      <c r="T107" t="n">
        <v>4</v>
      </c>
      <c r="U107" t="inlineStr">
        <is>
          <t>extended (no pullback)</t>
        </is>
      </c>
      <c r="V107" t="inlineStr">
        <is>
          <t>No setup</t>
        </is>
      </c>
      <c r="W107" t="n">
        <v>0</v>
      </c>
      <c r="X107" t="inlineStr">
        <is>
          <t>Round</t>
        </is>
      </c>
      <c r="Z107" t="n">
        <v>0.78</v>
      </c>
      <c r="AA107" t="inlineStr">
        <is>
          <t>No</t>
        </is>
      </c>
      <c r="AB107" t="inlineStr">
        <is>
          <t>No</t>
        </is>
      </c>
    </row>
    <row r="108">
      <c r="A108" t="inlineStr">
        <is>
          <t>2026-09-01</t>
        </is>
      </c>
      <c r="B108" t="inlineStr">
        <is>
          <t>11:28</t>
        </is>
      </c>
      <c r="C108" t="inlineStr">
        <is>
          <t>MNQ</t>
        </is>
      </c>
      <c r="D108" t="inlineStr">
        <is>
          <t>Long</t>
        </is>
      </c>
      <c r="E108" t="n">
        <v>50</v>
      </c>
      <c r="F108" t="inlineStr">
        <is>
          <t>down</t>
        </is>
      </c>
      <c r="G108" t="inlineStr">
        <is>
          <t>down</t>
        </is>
      </c>
      <c r="H108" t="inlineStr">
        <is>
          <t>up</t>
        </is>
      </c>
      <c r="I108" t="inlineStr">
        <is>
          <t>up</t>
        </is>
      </c>
      <c r="J108" t="n">
        <v>61.7</v>
      </c>
      <c r="K108" t="inlineStr">
        <is>
          <t>bull</t>
        </is>
      </c>
      <c r="L108" t="inlineStr">
        <is>
          <t>+</t>
        </is>
      </c>
      <c r="M108" t="n">
        <v>32.7</v>
      </c>
      <c r="N108" t="n">
        <v>32.99</v>
      </c>
      <c r="O108" t="n">
        <v>29148.84</v>
      </c>
      <c r="P108" t="inlineStr">
        <is>
          <t>above</t>
        </is>
      </c>
      <c r="Q108" t="n">
        <v>29111.42</v>
      </c>
      <c r="R108" t="n">
        <v>0.79</v>
      </c>
      <c r="S108" t="n">
        <v>12475</v>
      </c>
      <c r="T108" t="n">
        <v>26</v>
      </c>
      <c r="U108" t="inlineStr">
        <is>
          <t>shallow</t>
        </is>
      </c>
      <c r="V108" t="inlineStr">
        <is>
          <t>No setup</t>
        </is>
      </c>
      <c r="W108" t="n">
        <v>0</v>
      </c>
      <c r="X108" t="inlineStr">
        <is>
          <t>Round</t>
        </is>
      </c>
      <c r="Y108" t="inlineStr">
        <is>
          <t>strong bullish close</t>
        </is>
      </c>
      <c r="Z108" t="n">
        <v>0.53</v>
      </c>
      <c r="AA108" t="inlineStr">
        <is>
          <t>No</t>
        </is>
      </c>
      <c r="AB108" t="inlineStr">
        <is>
          <t>No</t>
        </is>
      </c>
    </row>
    <row r="109">
      <c r="A109" t="inlineStr">
        <is>
          <t>2026-09-01</t>
        </is>
      </c>
      <c r="B109" t="inlineStr">
        <is>
          <t>12:25</t>
        </is>
      </c>
      <c r="C109" t="inlineStr">
        <is>
          <t>MNQ</t>
        </is>
      </c>
      <c r="D109" t="inlineStr">
        <is>
          <t>Long</t>
        </is>
      </c>
      <c r="E109" t="n">
        <v>-79</v>
      </c>
      <c r="F109" t="inlineStr">
        <is>
          <t>down</t>
        </is>
      </c>
      <c r="G109" t="inlineStr">
        <is>
          <t>down</t>
        </is>
      </c>
      <c r="H109" t="inlineStr">
        <is>
          <t>up</t>
        </is>
      </c>
      <c r="I109" t="inlineStr">
        <is>
          <t>down</t>
        </is>
      </c>
      <c r="J109" t="n">
        <v>40.5</v>
      </c>
      <c r="K109" t="inlineStr">
        <is>
          <t>bull</t>
        </is>
      </c>
      <c r="L109" t="inlineStr">
        <is>
          <t>-</t>
        </is>
      </c>
      <c r="M109" t="n">
        <v>33.1</v>
      </c>
      <c r="N109" t="n">
        <v>31.78</v>
      </c>
      <c r="O109" t="n">
        <v>29175.53</v>
      </c>
      <c r="P109" t="inlineStr">
        <is>
          <t>above</t>
        </is>
      </c>
      <c r="Q109" t="n">
        <v>29189.41</v>
      </c>
      <c r="R109" t="n">
        <v>2.11</v>
      </c>
      <c r="S109" t="n">
        <v>9979</v>
      </c>
      <c r="T109" t="n">
        <v>42</v>
      </c>
      <c r="U109" t="inlineStr">
        <is>
          <t>golden</t>
        </is>
      </c>
      <c r="V109" t="inlineStr">
        <is>
          <t>Weak</t>
        </is>
      </c>
      <c r="W109" t="n">
        <v>1</v>
      </c>
      <c r="X109" t="inlineStr">
        <is>
          <t>Round</t>
        </is>
      </c>
      <c r="Z109" t="n">
        <v>1.32</v>
      </c>
      <c r="AA109" t="inlineStr">
        <is>
          <t>No</t>
        </is>
      </c>
      <c r="AB109" t="inlineStr">
        <is>
          <t>No</t>
        </is>
      </c>
    </row>
    <row r="110">
      <c r="A110" t="inlineStr">
        <is>
          <t>2026-09-01</t>
        </is>
      </c>
      <c r="B110" t="inlineStr">
        <is>
          <t>14:47</t>
        </is>
      </c>
      <c r="C110" t="inlineStr">
        <is>
          <t>MNQ</t>
        </is>
      </c>
      <c r="D110" t="inlineStr">
        <is>
          <t>Long</t>
        </is>
      </c>
      <c r="E110" t="n">
        <v>308</v>
      </c>
      <c r="F110" t="inlineStr">
        <is>
          <t>down</t>
        </is>
      </c>
      <c r="G110" t="inlineStr">
        <is>
          <t>down</t>
        </is>
      </c>
      <c r="H110" t="inlineStr">
        <is>
          <t>down</t>
        </is>
      </c>
      <c r="I110" t="inlineStr">
        <is>
          <t>down</t>
        </is>
      </c>
      <c r="J110" t="n">
        <v>32.8</v>
      </c>
      <c r="K110" t="inlineStr">
        <is>
          <t>bear</t>
        </is>
      </c>
      <c r="L110" t="inlineStr">
        <is>
          <t>-</t>
        </is>
      </c>
      <c r="M110" t="n">
        <v>34.7</v>
      </c>
      <c r="N110" t="n">
        <v>28.96</v>
      </c>
      <c r="O110" t="n">
        <v>29159.72</v>
      </c>
      <c r="P110" t="inlineStr">
        <is>
          <t>below</t>
        </is>
      </c>
      <c r="Q110" t="n">
        <v>29108.57</v>
      </c>
      <c r="R110" t="n">
        <v>3.09</v>
      </c>
      <c r="S110" t="n">
        <v>1997</v>
      </c>
      <c r="V110" t="inlineStr">
        <is>
          <t>No setup</t>
        </is>
      </c>
      <c r="W110" t="n">
        <v>0</v>
      </c>
      <c r="X110" t="inlineStr">
        <is>
          <t>ORL/Round</t>
        </is>
      </c>
      <c r="Y110" t="inlineStr">
        <is>
          <t>strong bullish close</t>
        </is>
      </c>
      <c r="Z110" t="n">
        <v>2.34</v>
      </c>
      <c r="AA110" t="inlineStr">
        <is>
          <t>No</t>
        </is>
      </c>
      <c r="AB110" t="inlineStr">
        <is>
          <t>No</t>
        </is>
      </c>
    </row>
    <row r="111">
      <c r="A111" t="inlineStr">
        <is>
          <t>2026-09-01</t>
        </is>
      </c>
      <c r="B111" t="inlineStr">
        <is>
          <t>15:06</t>
        </is>
      </c>
      <c r="C111" t="inlineStr">
        <is>
          <t>MNQ</t>
        </is>
      </c>
      <c r="D111" t="inlineStr">
        <is>
          <t>Short</t>
        </is>
      </c>
      <c r="E111" t="n">
        <v>3</v>
      </c>
      <c r="F111" t="inlineStr">
        <is>
          <t>down</t>
        </is>
      </c>
      <c r="G111" t="inlineStr">
        <is>
          <t>down</t>
        </is>
      </c>
      <c r="H111" t="inlineStr">
        <is>
          <t>down</t>
        </is>
      </c>
      <c r="I111" t="inlineStr">
        <is>
          <t>down</t>
        </is>
      </c>
      <c r="J111" t="n">
        <v>48.3</v>
      </c>
      <c r="K111" t="inlineStr">
        <is>
          <t>bear</t>
        </is>
      </c>
      <c r="L111" t="inlineStr">
        <is>
          <t>+</t>
        </is>
      </c>
      <c r="M111" t="n">
        <v>33.6</v>
      </c>
      <c r="N111" t="n">
        <v>28.51</v>
      </c>
      <c r="O111" t="n">
        <v>29155.96</v>
      </c>
      <c r="P111" t="inlineStr">
        <is>
          <t>below</t>
        </is>
      </c>
      <c r="Q111" t="n">
        <v>29108.57</v>
      </c>
      <c r="R111" t="n">
        <v>1.23</v>
      </c>
      <c r="S111" t="n">
        <v>11202</v>
      </c>
      <c r="T111" t="n">
        <v>30</v>
      </c>
      <c r="U111" t="inlineStr">
        <is>
          <t>shallow</t>
        </is>
      </c>
      <c r="V111" t="inlineStr">
        <is>
          <t>Good</t>
        </is>
      </c>
      <c r="W111" t="n">
        <v>2</v>
      </c>
      <c r="X111" t="inlineStr">
        <is>
          <t>ONL/Round</t>
        </is>
      </c>
      <c r="Y111" t="inlineStr">
        <is>
          <t>strong bullish close</t>
        </is>
      </c>
      <c r="Z111" t="n">
        <v>0.83</v>
      </c>
      <c r="AA111" t="inlineStr">
        <is>
          <t>Yes</t>
        </is>
      </c>
      <c r="AB111" t="inlineStr">
        <is>
          <t>Yes</t>
        </is>
      </c>
    </row>
    <row r="112">
      <c r="A112" t="inlineStr">
        <is>
          <t>2026-09-01</t>
        </is>
      </c>
      <c r="B112" t="inlineStr">
        <is>
          <t>15:06</t>
        </is>
      </c>
      <c r="C112" t="inlineStr">
        <is>
          <t>MNQ</t>
        </is>
      </c>
      <c r="D112" t="inlineStr">
        <is>
          <t>Short</t>
        </is>
      </c>
      <c r="E112" t="n">
        <v>-88</v>
      </c>
      <c r="F112" t="inlineStr">
        <is>
          <t>down</t>
        </is>
      </c>
      <c r="G112" t="inlineStr">
        <is>
          <t>down</t>
        </is>
      </c>
      <c r="H112" t="inlineStr">
        <is>
          <t>down</t>
        </is>
      </c>
      <c r="I112" t="inlineStr">
        <is>
          <t>down</t>
        </is>
      </c>
      <c r="J112" t="n">
        <v>48.3</v>
      </c>
      <c r="K112" t="inlineStr">
        <is>
          <t>bear</t>
        </is>
      </c>
      <c r="L112" t="inlineStr">
        <is>
          <t>+</t>
        </is>
      </c>
      <c r="M112" t="n">
        <v>33.6</v>
      </c>
      <c r="N112" t="n">
        <v>28.51</v>
      </c>
      <c r="O112" t="n">
        <v>29155.96</v>
      </c>
      <c r="P112" t="inlineStr">
        <is>
          <t>below</t>
        </is>
      </c>
      <c r="Q112" t="n">
        <v>29108.57</v>
      </c>
      <c r="R112" t="n">
        <v>1.23</v>
      </c>
      <c r="S112" t="n">
        <v>11202</v>
      </c>
      <c r="T112" t="n">
        <v>31</v>
      </c>
      <c r="U112" t="inlineStr">
        <is>
          <t>shallow</t>
        </is>
      </c>
      <c r="V112" t="inlineStr">
        <is>
          <t>Good</t>
        </is>
      </c>
      <c r="W112" t="n">
        <v>2</v>
      </c>
      <c r="X112" t="inlineStr">
        <is>
          <t>Round</t>
        </is>
      </c>
      <c r="Y112" t="inlineStr">
        <is>
          <t>strong bullish close</t>
        </is>
      </c>
      <c r="Z112" t="n">
        <v>0.83</v>
      </c>
      <c r="AA112" t="inlineStr">
        <is>
          <t>Yes</t>
        </is>
      </c>
      <c r="AB112" t="inlineStr">
        <is>
          <t>Yes</t>
        </is>
      </c>
    </row>
    <row r="113">
      <c r="A113" t="inlineStr">
        <is>
          <t>2026-09-01</t>
        </is>
      </c>
      <c r="B113" t="inlineStr">
        <is>
          <t>22:52</t>
        </is>
      </c>
      <c r="C113" t="inlineStr">
        <is>
          <t>MGC</t>
        </is>
      </c>
      <c r="D113" t="inlineStr">
        <is>
          <t>Short</t>
        </is>
      </c>
      <c r="E113" t="n">
        <v>204</v>
      </c>
      <c r="F113" t="inlineStr">
        <is>
          <t>down</t>
        </is>
      </c>
      <c r="G113" t="inlineStr">
        <is>
          <t>down</t>
        </is>
      </c>
      <c r="H113" t="inlineStr">
        <is>
          <t>down</t>
        </is>
      </c>
      <c r="I113" t="inlineStr">
        <is>
          <t>down</t>
        </is>
      </c>
      <c r="J113" t="n">
        <v>46.1</v>
      </c>
      <c r="K113" t="inlineStr">
        <is>
          <t>bear</t>
        </is>
      </c>
      <c r="L113" t="inlineStr">
        <is>
          <t>+</t>
        </is>
      </c>
      <c r="M113" t="n">
        <v>20.8</v>
      </c>
      <c r="N113" t="n">
        <v>7.14</v>
      </c>
      <c r="O113" t="n">
        <v>4387.35</v>
      </c>
      <c r="P113" t="inlineStr">
        <is>
          <t>below</t>
        </is>
      </c>
      <c r="Q113" t="n">
        <v>4409.61</v>
      </c>
      <c r="R113" t="n">
        <v>1</v>
      </c>
      <c r="S113" t="n">
        <v>-2760</v>
      </c>
      <c r="T113" t="n">
        <v>36</v>
      </c>
      <c r="U113" t="inlineStr">
        <is>
          <t>shallow</t>
        </is>
      </c>
      <c r="V113" t="inlineStr">
        <is>
          <t>Good</t>
        </is>
      </c>
      <c r="W113" t="n">
        <v>2</v>
      </c>
      <c r="X113" t="inlineStr">
        <is>
          <t>Round</t>
        </is>
      </c>
      <c r="Y113" t="inlineStr">
        <is>
          <t>bearish engulfing</t>
        </is>
      </c>
      <c r="Z113" t="n">
        <v>0.39</v>
      </c>
      <c r="AA113" t="inlineStr">
        <is>
          <t>Yes</t>
        </is>
      </c>
      <c r="AB113" t="inlineStr">
        <is>
          <t>Yes</t>
        </is>
      </c>
    </row>
    <row r="114">
      <c r="A114" t="inlineStr">
        <is>
          <t>2026-09-02</t>
        </is>
      </c>
      <c r="B114" t="inlineStr">
        <is>
          <t>10:12</t>
        </is>
      </c>
      <c r="C114" t="inlineStr">
        <is>
          <t>MGC</t>
        </is>
      </c>
      <c r="D114" t="inlineStr">
        <is>
          <t>Long</t>
        </is>
      </c>
      <c r="E114" t="n">
        <v>-181</v>
      </c>
      <c r="F114" t="inlineStr">
        <is>
          <t>down</t>
        </is>
      </c>
      <c r="G114" t="inlineStr">
        <is>
          <t>up</t>
        </is>
      </c>
      <c r="H114" t="inlineStr">
        <is>
          <t>up</t>
        </is>
      </c>
      <c r="I114" t="inlineStr">
        <is>
          <t>up</t>
        </is>
      </c>
      <c r="J114" t="n">
        <v>73.5</v>
      </c>
      <c r="K114" t="inlineStr">
        <is>
          <t>bull</t>
        </is>
      </c>
      <c r="L114" t="inlineStr">
        <is>
          <t>+</t>
        </is>
      </c>
      <c r="M114" t="n">
        <v>57.2</v>
      </c>
      <c r="N114" t="n">
        <v>8.92</v>
      </c>
      <c r="O114" t="n">
        <v>4424.19</v>
      </c>
      <c r="P114" t="inlineStr">
        <is>
          <t>above</t>
        </is>
      </c>
      <c r="Q114" t="n">
        <v>4437.8</v>
      </c>
      <c r="R114" t="n">
        <v>2.24</v>
      </c>
      <c r="S114" t="n">
        <v>5433</v>
      </c>
      <c r="T114" t="n">
        <v>8</v>
      </c>
      <c r="U114" t="inlineStr">
        <is>
          <t>extended (no pullback)</t>
        </is>
      </c>
      <c r="V114" t="inlineStr">
        <is>
          <t>No setup</t>
        </is>
      </c>
      <c r="W114" t="n">
        <v>0</v>
      </c>
      <c r="X114" t="inlineStr">
        <is>
          <t>ORH/Round</t>
        </is>
      </c>
      <c r="Y114" t="inlineStr">
        <is>
          <t>bearish pin</t>
        </is>
      </c>
      <c r="Z114" t="n">
        <v>1.33</v>
      </c>
      <c r="AA114" t="inlineStr">
        <is>
          <t>Yes</t>
        </is>
      </c>
      <c r="AB114" t="inlineStr">
        <is>
          <t>No</t>
        </is>
      </c>
    </row>
    <row r="115">
      <c r="A115" t="inlineStr">
        <is>
          <t>2026-09-02</t>
        </is>
      </c>
      <c r="B115" t="inlineStr">
        <is>
          <t>11:02</t>
        </is>
      </c>
      <c r="C115" t="inlineStr">
        <is>
          <t>MGC</t>
        </is>
      </c>
      <c r="D115" t="inlineStr">
        <is>
          <t>Long</t>
        </is>
      </c>
      <c r="E115" t="n">
        <v>-150</v>
      </c>
      <c r="F115" t="inlineStr">
        <is>
          <t>down</t>
        </is>
      </c>
      <c r="G115" t="inlineStr">
        <is>
          <t>up</t>
        </is>
      </c>
      <c r="H115" t="inlineStr">
        <is>
          <t>up</t>
        </is>
      </c>
      <c r="I115" t="inlineStr">
        <is>
          <t>up</t>
        </is>
      </c>
      <c r="J115" t="n">
        <v>57.6</v>
      </c>
      <c r="K115" t="inlineStr">
        <is>
          <t>bull</t>
        </is>
      </c>
      <c r="L115" t="inlineStr">
        <is>
          <t>-</t>
        </is>
      </c>
      <c r="M115" t="n">
        <v>54.8</v>
      </c>
      <c r="N115" t="n">
        <v>7.52</v>
      </c>
      <c r="O115" t="n">
        <v>4426.54</v>
      </c>
      <c r="P115" t="inlineStr">
        <is>
          <t>below</t>
        </is>
      </c>
      <c r="Q115" t="n">
        <v>4438.82</v>
      </c>
      <c r="R115" t="n">
        <v>1</v>
      </c>
      <c r="S115" t="n">
        <v>4407</v>
      </c>
      <c r="T115" t="n">
        <v>24</v>
      </c>
      <c r="U115" t="inlineStr">
        <is>
          <t>shallow</t>
        </is>
      </c>
      <c r="V115" t="inlineStr">
        <is>
          <t>Weak</t>
        </is>
      </c>
      <c r="W115" t="n">
        <v>1</v>
      </c>
      <c r="X115" t="inlineStr">
        <is>
          <t>Round</t>
        </is>
      </c>
      <c r="Z115" t="n">
        <v>0.46</v>
      </c>
      <c r="AA115" t="inlineStr">
        <is>
          <t>Yes</t>
        </is>
      </c>
      <c r="AB115" t="inlineStr">
        <is>
          <t>No</t>
        </is>
      </c>
    </row>
    <row r="116">
      <c r="A116" t="inlineStr">
        <is>
          <t>2026-09-02</t>
        </is>
      </c>
      <c r="B116" t="inlineStr">
        <is>
          <t>14:10</t>
        </is>
      </c>
      <c r="C116" t="inlineStr">
        <is>
          <t>MGC</t>
        </is>
      </c>
      <c r="D116" t="inlineStr">
        <is>
          <t>Short</t>
        </is>
      </c>
      <c r="E116" t="n">
        <v>-141</v>
      </c>
      <c r="F116" t="inlineStr">
        <is>
          <t>down</t>
        </is>
      </c>
      <c r="G116" t="inlineStr">
        <is>
          <t>up</t>
        </is>
      </c>
      <c r="H116" t="inlineStr">
        <is>
          <t>up</t>
        </is>
      </c>
      <c r="I116" t="inlineStr">
        <is>
          <t>up</t>
        </is>
      </c>
      <c r="J116" t="n">
        <v>48.2</v>
      </c>
      <c r="K116" t="inlineStr">
        <is>
          <t>bull</t>
        </is>
      </c>
      <c r="L116" t="inlineStr">
        <is>
          <t>+</t>
        </is>
      </c>
      <c r="M116" t="n">
        <v>17.4</v>
      </c>
      <c r="N116" t="n">
        <v>4.19</v>
      </c>
      <c r="O116" t="n">
        <v>4423.21</v>
      </c>
      <c r="P116" t="inlineStr">
        <is>
          <t>below</t>
        </is>
      </c>
      <c r="Q116" t="n">
        <v>4438.82</v>
      </c>
      <c r="R116" t="n">
        <v>1.12</v>
      </c>
      <c r="S116" t="n">
        <v>3983</v>
      </c>
      <c r="T116" t="n">
        <v>21</v>
      </c>
      <c r="U116" t="inlineStr">
        <is>
          <t>shallow</t>
        </is>
      </c>
      <c r="V116" t="inlineStr">
        <is>
          <t>Weak</t>
        </is>
      </c>
      <c r="W116" t="n">
        <v>1</v>
      </c>
      <c r="X116" t="inlineStr">
        <is>
          <t>Round</t>
        </is>
      </c>
      <c r="Y116" t="inlineStr">
        <is>
          <t>strong bearish close</t>
        </is>
      </c>
      <c r="Z116" t="n">
        <v>0.77</v>
      </c>
      <c r="AA116" t="inlineStr">
        <is>
          <t>No</t>
        </is>
      </c>
      <c r="AB116" t="inlineStr">
        <is>
          <t>Yes</t>
        </is>
      </c>
    </row>
    <row r="117">
      <c r="A117" t="inlineStr">
        <is>
          <t>2026-09-02</t>
        </is>
      </c>
      <c r="B117" t="inlineStr">
        <is>
          <t>14:23</t>
        </is>
      </c>
      <c r="C117" t="inlineStr">
        <is>
          <t>MNQ</t>
        </is>
      </c>
      <c r="D117" t="inlineStr">
        <is>
          <t>Long</t>
        </is>
      </c>
      <c r="E117" t="n">
        <v>21</v>
      </c>
      <c r="F117" t="inlineStr">
        <is>
          <t>down</t>
        </is>
      </c>
      <c r="G117" t="inlineStr">
        <is>
          <t>down</t>
        </is>
      </c>
      <c r="H117" t="inlineStr">
        <is>
          <t>up</t>
        </is>
      </c>
      <c r="I117" t="inlineStr">
        <is>
          <t>up</t>
        </is>
      </c>
      <c r="J117" t="n">
        <v>55.5</v>
      </c>
      <c r="K117" t="inlineStr">
        <is>
          <t>bull</t>
        </is>
      </c>
      <c r="L117" t="inlineStr">
        <is>
          <t>+</t>
        </is>
      </c>
      <c r="M117" t="n">
        <v>11</v>
      </c>
      <c r="N117" t="n">
        <v>25.03</v>
      </c>
      <c r="O117" t="n">
        <v>29134.79</v>
      </c>
      <c r="P117" t="inlineStr">
        <is>
          <t>above</t>
        </is>
      </c>
      <c r="Q117" t="n">
        <v>29142.04</v>
      </c>
      <c r="R117" t="n">
        <v>1.08</v>
      </c>
      <c r="S117" t="n">
        <v>40503</v>
      </c>
      <c r="T117" t="n">
        <v>24</v>
      </c>
      <c r="U117" t="inlineStr">
        <is>
          <t>shallow</t>
        </is>
      </c>
      <c r="V117" t="inlineStr">
        <is>
          <t>Good</t>
        </is>
      </c>
      <c r="W117" t="n">
        <v>2</v>
      </c>
      <c r="X117" t="inlineStr">
        <is>
          <t>ONH</t>
        </is>
      </c>
      <c r="Z117" t="n">
        <v>1.02</v>
      </c>
      <c r="AA117" t="inlineStr">
        <is>
          <t>No</t>
        </is>
      </c>
      <c r="AB117" t="inlineStr">
        <is>
          <t>No</t>
        </is>
      </c>
    </row>
    <row r="118">
      <c r="A118" t="inlineStr">
        <is>
          <t>2026-09-02</t>
        </is>
      </c>
      <c r="B118" t="inlineStr">
        <is>
          <t>15:46</t>
        </is>
      </c>
      <c r="C118" t="inlineStr">
        <is>
          <t>MGC</t>
        </is>
      </c>
      <c r="D118" t="inlineStr">
        <is>
          <t>Short</t>
        </is>
      </c>
      <c r="E118" t="n">
        <v>-36</v>
      </c>
      <c r="F118" t="inlineStr">
        <is>
          <t>flat</t>
        </is>
      </c>
      <c r="G118" t="inlineStr">
        <is>
          <t>up</t>
        </is>
      </c>
      <c r="H118" t="inlineStr">
        <is>
          <t>up</t>
        </is>
      </c>
      <c r="I118" t="inlineStr">
        <is>
          <t>up</t>
        </is>
      </c>
      <c r="J118" t="n">
        <v>67.59999999999999</v>
      </c>
      <c r="K118" t="inlineStr">
        <is>
          <t>bull</t>
        </is>
      </c>
      <c r="L118" t="inlineStr">
        <is>
          <t>+</t>
        </is>
      </c>
      <c r="M118" t="n">
        <v>29.4</v>
      </c>
      <c r="N118" t="n">
        <v>3.76</v>
      </c>
      <c r="O118" t="n">
        <v>4423.37</v>
      </c>
      <c r="P118" t="inlineStr">
        <is>
          <t>above</t>
        </is>
      </c>
      <c r="Q118" t="n">
        <v>4419.53</v>
      </c>
      <c r="R118" t="n">
        <v>1.38</v>
      </c>
      <c r="S118" t="n">
        <v>5452</v>
      </c>
      <c r="V118" t="inlineStr">
        <is>
          <t>No setup</t>
        </is>
      </c>
      <c r="W118" t="n">
        <v>0</v>
      </c>
      <c r="X118" t="inlineStr">
        <is>
          <t>ORH</t>
        </is>
      </c>
      <c r="Z118" t="n">
        <v>1.67</v>
      </c>
      <c r="AA118" t="inlineStr">
        <is>
          <t>No</t>
        </is>
      </c>
      <c r="AB118" t="inlineStr">
        <is>
          <t>No</t>
        </is>
      </c>
    </row>
    <row r="119">
      <c r="A119" t="inlineStr">
        <is>
          <t>2026-09-03</t>
        </is>
      </c>
      <c r="B119" t="inlineStr">
        <is>
          <t>08:52</t>
        </is>
      </c>
      <c r="C119" t="inlineStr">
        <is>
          <t>MGC</t>
        </is>
      </c>
      <c r="D119" t="inlineStr">
        <is>
          <t>Long</t>
        </is>
      </c>
      <c r="E119" t="n">
        <v>88</v>
      </c>
      <c r="F119" t="inlineStr">
        <is>
          <t>up</t>
        </is>
      </c>
      <c r="G119" t="inlineStr">
        <is>
          <t>up</t>
        </is>
      </c>
      <c r="H119" t="inlineStr">
        <is>
          <t>up</t>
        </is>
      </c>
      <c r="I119" t="inlineStr">
        <is>
          <t>up</t>
        </is>
      </c>
      <c r="J119" t="n">
        <v>80.2</v>
      </c>
      <c r="K119" t="inlineStr">
        <is>
          <t>bull</t>
        </is>
      </c>
      <c r="L119" t="inlineStr">
        <is>
          <t>+</t>
        </is>
      </c>
      <c r="M119" t="n">
        <v>40.4</v>
      </c>
      <c r="N119" t="n">
        <v>8.81</v>
      </c>
      <c r="O119" t="n">
        <v>4456.6</v>
      </c>
      <c r="P119" t="inlineStr">
        <is>
          <t>above</t>
        </is>
      </c>
      <c r="Q119" t="n">
        <v>4473.35</v>
      </c>
      <c r="R119" t="n">
        <v>4.85</v>
      </c>
      <c r="S119" t="n">
        <v>21555</v>
      </c>
      <c r="T119" t="n">
        <v>3</v>
      </c>
      <c r="U119" t="inlineStr">
        <is>
          <t>extended (no pullback)</t>
        </is>
      </c>
      <c r="V119" t="inlineStr">
        <is>
          <t>Weak</t>
        </is>
      </c>
      <c r="W119" t="n">
        <v>1</v>
      </c>
      <c r="X119" t="inlineStr">
        <is>
          <t>Round</t>
        </is>
      </c>
      <c r="Y119" t="inlineStr">
        <is>
          <t>strong bullish close</t>
        </is>
      </c>
      <c r="Z119" t="n">
        <v>2.63</v>
      </c>
      <c r="AA119" t="inlineStr">
        <is>
          <t>Yes</t>
        </is>
      </c>
      <c r="AB119" t="inlineStr">
        <is>
          <t>Yes</t>
        </is>
      </c>
    </row>
    <row r="120">
      <c r="A120" t="inlineStr">
        <is>
          <t>2026-09-03</t>
        </is>
      </c>
      <c r="B120" t="inlineStr">
        <is>
          <t>09:22</t>
        </is>
      </c>
      <c r="C120" t="inlineStr">
        <is>
          <t>MGC</t>
        </is>
      </c>
      <c r="D120" t="inlineStr">
        <is>
          <t>Long</t>
        </is>
      </c>
      <c r="E120" t="n">
        <v>-15</v>
      </c>
      <c r="F120" t="inlineStr">
        <is>
          <t>up</t>
        </is>
      </c>
      <c r="G120" t="inlineStr">
        <is>
          <t>up</t>
        </is>
      </c>
      <c r="H120" t="inlineStr">
        <is>
          <t>up</t>
        </is>
      </c>
      <c r="I120" t="inlineStr">
        <is>
          <t>up</t>
        </is>
      </c>
      <c r="J120" t="n">
        <v>67.5</v>
      </c>
      <c r="K120" t="inlineStr">
        <is>
          <t>bull</t>
        </is>
      </c>
      <c r="L120" t="inlineStr">
        <is>
          <t>+</t>
        </is>
      </c>
      <c r="M120" t="n">
        <v>48.3</v>
      </c>
      <c r="N120" t="n">
        <v>8.210000000000001</v>
      </c>
      <c r="O120" t="n">
        <v>4462.78</v>
      </c>
      <c r="P120" t="inlineStr">
        <is>
          <t>above</t>
        </is>
      </c>
      <c r="Q120" t="n">
        <v>4475.5</v>
      </c>
      <c r="R120" t="n">
        <v>1.95</v>
      </c>
      <c r="S120" t="n">
        <v>17074</v>
      </c>
      <c r="T120" t="n">
        <v>20</v>
      </c>
      <c r="U120" t="inlineStr">
        <is>
          <t>shallow</t>
        </is>
      </c>
      <c r="V120" t="inlineStr">
        <is>
          <t>Weak</t>
        </is>
      </c>
      <c r="W120" t="n">
        <v>1</v>
      </c>
      <c r="X120" t="inlineStr">
        <is>
          <t>Round</t>
        </is>
      </c>
      <c r="Y120" t="inlineStr">
        <is>
          <t>strong bullish close</t>
        </is>
      </c>
      <c r="Z120" t="n">
        <v>0.91</v>
      </c>
      <c r="AA120" t="inlineStr">
        <is>
          <t>Yes</t>
        </is>
      </c>
      <c r="AB120" t="inlineStr">
        <is>
          <t>Yes</t>
        </is>
      </c>
    </row>
    <row r="121">
      <c r="A121" t="inlineStr">
        <is>
          <t>2026-09-03</t>
        </is>
      </c>
      <c r="B121" t="inlineStr">
        <is>
          <t>09:51</t>
        </is>
      </c>
      <c r="C121" t="inlineStr">
        <is>
          <t>MNQ</t>
        </is>
      </c>
      <c r="D121" t="inlineStr">
        <is>
          <t>Short</t>
        </is>
      </c>
      <c r="E121" t="n">
        <v>294</v>
      </c>
      <c r="F121" t="inlineStr">
        <is>
          <t>flat</t>
        </is>
      </c>
      <c r="G121" t="inlineStr">
        <is>
          <t>up</t>
        </is>
      </c>
      <c r="H121" t="inlineStr">
        <is>
          <t>up</t>
        </is>
      </c>
      <c r="I121" t="inlineStr">
        <is>
          <t>up</t>
        </is>
      </c>
      <c r="J121" t="n">
        <v>73.09999999999999</v>
      </c>
      <c r="K121" t="inlineStr">
        <is>
          <t>bull</t>
        </is>
      </c>
      <c r="L121" t="inlineStr">
        <is>
          <t>+</t>
        </is>
      </c>
      <c r="M121" t="n">
        <v>39.4</v>
      </c>
      <c r="N121" t="n">
        <v>42.35</v>
      </c>
      <c r="O121" t="n">
        <v>29302.31</v>
      </c>
      <c r="P121" t="inlineStr">
        <is>
          <t>above</t>
        </is>
      </c>
      <c r="Q121" t="n">
        <v>29254.5</v>
      </c>
      <c r="R121" t="n">
        <v>0.96</v>
      </c>
      <c r="S121" t="n">
        <v>27056</v>
      </c>
      <c r="V121" t="inlineStr">
        <is>
          <t>No setup</t>
        </is>
      </c>
      <c r="W121" t="n">
        <v>0</v>
      </c>
      <c r="X121" t="inlineStr">
        <is>
          <t>Round</t>
        </is>
      </c>
      <c r="Z121" t="n">
        <v>1.98</v>
      </c>
      <c r="AA121" t="inlineStr">
        <is>
          <t>No</t>
        </is>
      </c>
      <c r="AB121" t="inlineStr">
        <is>
          <t>No</t>
        </is>
      </c>
    </row>
    <row r="122">
      <c r="A122" t="inlineStr">
        <is>
          <t>2026-09-03</t>
        </is>
      </c>
      <c r="B122" t="inlineStr">
        <is>
          <t>09:56</t>
        </is>
      </c>
      <c r="C122" t="inlineStr">
        <is>
          <t>MGC</t>
        </is>
      </c>
      <c r="D122" t="inlineStr">
        <is>
          <t>Long</t>
        </is>
      </c>
      <c r="E122" t="n">
        <v>-168</v>
      </c>
      <c r="F122" t="inlineStr">
        <is>
          <t>up</t>
        </is>
      </c>
      <c r="G122" t="inlineStr">
        <is>
          <t>up</t>
        </is>
      </c>
      <c r="H122" t="inlineStr">
        <is>
          <t>up</t>
        </is>
      </c>
      <c r="I122" t="inlineStr">
        <is>
          <t>down</t>
        </is>
      </c>
      <c r="J122" t="n">
        <v>53.4</v>
      </c>
      <c r="K122" t="inlineStr">
        <is>
          <t>bull</t>
        </is>
      </c>
      <c r="L122" t="inlineStr">
        <is>
          <t>-</t>
        </is>
      </c>
      <c r="M122" t="n">
        <v>35.9</v>
      </c>
      <c r="N122" t="n">
        <v>8.48</v>
      </c>
      <c r="O122" t="n">
        <v>4515.76</v>
      </c>
      <c r="P122" t="inlineStr">
        <is>
          <t>below</t>
        </is>
      </c>
      <c r="Q122" t="n">
        <v>4510.53</v>
      </c>
      <c r="R122" t="n">
        <v>1.62</v>
      </c>
      <c r="S122" t="n">
        <v>17</v>
      </c>
      <c r="T122" t="n">
        <v>40</v>
      </c>
      <c r="U122" t="inlineStr">
        <is>
          <t>golden</t>
        </is>
      </c>
      <c r="V122" t="inlineStr">
        <is>
          <t>Good</t>
        </is>
      </c>
      <c r="W122" t="n">
        <v>2</v>
      </c>
      <c r="X122" t="inlineStr">
        <is>
          <t>Round</t>
        </is>
      </c>
      <c r="Y122" t="inlineStr">
        <is>
          <t>strong bullish close</t>
        </is>
      </c>
      <c r="Z122" t="n">
        <v>0.89</v>
      </c>
      <c r="AA122" t="inlineStr">
        <is>
          <t>No</t>
        </is>
      </c>
      <c r="AB122" t="inlineStr">
        <is>
          <t>Yes</t>
        </is>
      </c>
    </row>
    <row r="123">
      <c r="A123" t="inlineStr">
        <is>
          <t>2026-09-03</t>
        </is>
      </c>
      <c r="B123" t="inlineStr">
        <is>
          <t>10:08</t>
        </is>
      </c>
      <c r="C123" t="inlineStr">
        <is>
          <t>MGC</t>
        </is>
      </c>
      <c r="D123" t="inlineStr">
        <is>
          <t>Long</t>
        </is>
      </c>
      <c r="E123" t="n">
        <v>-184</v>
      </c>
      <c r="F123" t="inlineStr">
        <is>
          <t>up</t>
        </is>
      </c>
      <c r="G123" t="inlineStr">
        <is>
          <t>up</t>
        </is>
      </c>
      <c r="H123" t="inlineStr">
        <is>
          <t>up</t>
        </is>
      </c>
      <c r="I123" t="inlineStr">
        <is>
          <t>down</t>
        </is>
      </c>
      <c r="J123" t="n">
        <v>48.7</v>
      </c>
      <c r="K123" t="inlineStr">
        <is>
          <t>bull</t>
        </is>
      </c>
      <c r="L123" t="inlineStr">
        <is>
          <t>-</t>
        </is>
      </c>
      <c r="M123" t="n">
        <v>32.1</v>
      </c>
      <c r="N123" t="n">
        <v>9.08</v>
      </c>
      <c r="O123" t="n">
        <v>4514.95</v>
      </c>
      <c r="P123" t="inlineStr">
        <is>
          <t>above</t>
        </is>
      </c>
      <c r="Q123" t="n">
        <v>4510.53</v>
      </c>
      <c r="R123" t="n">
        <v>1.3</v>
      </c>
      <c r="S123" t="n">
        <v>-446</v>
      </c>
      <c r="T123" t="n">
        <v>33</v>
      </c>
      <c r="U123" t="inlineStr">
        <is>
          <t>shallow</t>
        </is>
      </c>
      <c r="V123" t="inlineStr">
        <is>
          <t>Good</t>
        </is>
      </c>
      <c r="W123" t="n">
        <v>2</v>
      </c>
      <c r="X123" t="inlineStr">
        <is>
          <t>Round</t>
        </is>
      </c>
      <c r="Y123" t="inlineStr">
        <is>
          <t>strong bearish close</t>
        </is>
      </c>
      <c r="Z123" t="n">
        <v>0.65</v>
      </c>
      <c r="AA123" t="inlineStr">
        <is>
          <t>No</t>
        </is>
      </c>
      <c r="AB123" t="inlineStr">
        <is>
          <t>Yes</t>
        </is>
      </c>
    </row>
    <row r="124">
      <c r="A124" t="inlineStr">
        <is>
          <t>2026-09-03</t>
        </is>
      </c>
      <c r="B124" t="inlineStr">
        <is>
          <t>10:30</t>
        </is>
      </c>
      <c r="C124" t="inlineStr">
        <is>
          <t>MNQ</t>
        </is>
      </c>
      <c r="D124" t="inlineStr">
        <is>
          <t>Short</t>
        </is>
      </c>
      <c r="E124" t="n">
        <v>271.5</v>
      </c>
      <c r="F124" t="inlineStr">
        <is>
          <t>flat</t>
        </is>
      </c>
      <c r="G124" t="inlineStr">
        <is>
          <t>up</t>
        </is>
      </c>
      <c r="H124" t="inlineStr">
        <is>
          <t>up</t>
        </is>
      </c>
      <c r="I124" t="inlineStr">
        <is>
          <t>up</t>
        </is>
      </c>
      <c r="J124" t="n">
        <v>53.2</v>
      </c>
      <c r="K124" t="inlineStr">
        <is>
          <t>bull</t>
        </is>
      </c>
      <c r="L124" t="inlineStr">
        <is>
          <t>-</t>
        </is>
      </c>
      <c r="M124" t="n">
        <v>35.2</v>
      </c>
      <c r="N124" t="n">
        <v>47.78</v>
      </c>
      <c r="O124" t="n">
        <v>29306.64</v>
      </c>
      <c r="P124" t="inlineStr">
        <is>
          <t>above</t>
        </is>
      </c>
      <c r="Q124" t="n">
        <v>29254.5</v>
      </c>
      <c r="R124" t="n">
        <v>1.11</v>
      </c>
      <c r="S124" t="n">
        <v>31939</v>
      </c>
      <c r="T124" t="n">
        <v>86</v>
      </c>
      <c r="U124" t="inlineStr">
        <is>
          <t>broke the leg (reversal risk)</t>
        </is>
      </c>
      <c r="V124" t="inlineStr">
        <is>
          <t>Weak</t>
        </is>
      </c>
      <c r="W124" t="n">
        <v>1</v>
      </c>
      <c r="X124" t="inlineStr">
        <is>
          <t>ORH/Round</t>
        </is>
      </c>
      <c r="Y124" t="inlineStr">
        <is>
          <t>strong bearish close</t>
        </is>
      </c>
      <c r="Z124" t="n">
        <v>1.14</v>
      </c>
      <c r="AA124" t="inlineStr">
        <is>
          <t>No</t>
        </is>
      </c>
      <c r="AB124" t="inlineStr">
        <is>
          <t>No</t>
        </is>
      </c>
    </row>
    <row r="125">
      <c r="A125" t="inlineStr">
        <is>
          <t>2026-09-03</t>
        </is>
      </c>
      <c r="B125" t="inlineStr">
        <is>
          <t>11:38</t>
        </is>
      </c>
      <c r="C125" t="inlineStr">
        <is>
          <t>MNQ</t>
        </is>
      </c>
      <c r="D125" t="inlineStr">
        <is>
          <t>Long</t>
        </is>
      </c>
      <c r="E125" t="n">
        <v>3</v>
      </c>
      <c r="F125" t="inlineStr">
        <is>
          <t>up</t>
        </is>
      </c>
      <c r="G125" t="inlineStr">
        <is>
          <t>up</t>
        </is>
      </c>
      <c r="H125" t="inlineStr">
        <is>
          <t>up</t>
        </is>
      </c>
      <c r="I125" t="inlineStr">
        <is>
          <t>up</t>
        </is>
      </c>
      <c r="J125" t="n">
        <v>73</v>
      </c>
      <c r="K125" t="inlineStr">
        <is>
          <t>bull</t>
        </is>
      </c>
      <c r="L125" t="inlineStr">
        <is>
          <t>+</t>
        </is>
      </c>
      <c r="M125" t="n">
        <v>41.6</v>
      </c>
      <c r="N125" t="n">
        <v>44.91</v>
      </c>
      <c r="O125" t="n">
        <v>29349.12</v>
      </c>
      <c r="P125" t="inlineStr">
        <is>
          <t>above</t>
        </is>
      </c>
      <c r="Q125" t="n">
        <v>29323.84</v>
      </c>
      <c r="R125" t="n">
        <v>0.97</v>
      </c>
      <c r="S125" t="n">
        <v>64457</v>
      </c>
      <c r="T125" t="n">
        <v>7</v>
      </c>
      <c r="U125" t="inlineStr">
        <is>
          <t>extended (no pullback)</t>
        </is>
      </c>
      <c r="V125" t="inlineStr">
        <is>
          <t>Weak</t>
        </is>
      </c>
      <c r="W125" t="n">
        <v>1</v>
      </c>
      <c r="X125" t="inlineStr">
        <is>
          <t>Round</t>
        </is>
      </c>
      <c r="Y125" t="inlineStr">
        <is>
          <t>strong bearish close</t>
        </is>
      </c>
      <c r="Z125" t="n">
        <v>0.55</v>
      </c>
      <c r="AA125" t="inlineStr">
        <is>
          <t>Yes</t>
        </is>
      </c>
      <c r="AB125" t="inlineStr">
        <is>
          <t>Yes</t>
        </is>
      </c>
    </row>
    <row r="126">
      <c r="A126" t="inlineStr">
        <is>
          <t>2026-09-03</t>
        </is>
      </c>
      <c r="B126" t="inlineStr">
        <is>
          <t>11:59</t>
        </is>
      </c>
      <c r="C126" t="inlineStr">
        <is>
          <t>MGC</t>
        </is>
      </c>
      <c r="D126" t="inlineStr">
        <is>
          <t>Short</t>
        </is>
      </c>
      <c r="E126" t="n">
        <v>-117</v>
      </c>
      <c r="F126" t="inlineStr">
        <is>
          <t>up</t>
        </is>
      </c>
      <c r="G126" t="inlineStr">
        <is>
          <t>up</t>
        </is>
      </c>
      <c r="H126" t="inlineStr">
        <is>
          <t>up</t>
        </is>
      </c>
      <c r="I126" t="inlineStr">
        <is>
          <t>up</t>
        </is>
      </c>
      <c r="J126" t="n">
        <v>56.1</v>
      </c>
      <c r="K126" t="inlineStr">
        <is>
          <t>bull</t>
        </is>
      </c>
      <c r="L126" t="inlineStr">
        <is>
          <t>-</t>
        </is>
      </c>
      <c r="M126" t="n">
        <v>25.8</v>
      </c>
      <c r="N126" t="n">
        <v>8.18</v>
      </c>
      <c r="O126" t="n">
        <v>4529.85</v>
      </c>
      <c r="P126" t="inlineStr">
        <is>
          <t>above</t>
        </is>
      </c>
      <c r="Q126" t="n">
        <v>4548.06</v>
      </c>
      <c r="R126" t="n">
        <v>1.06</v>
      </c>
      <c r="S126" t="n">
        <v>4865</v>
      </c>
      <c r="T126" t="n">
        <v>18</v>
      </c>
      <c r="U126" t="inlineStr">
        <is>
          <t>shallow</t>
        </is>
      </c>
      <c r="V126" t="inlineStr">
        <is>
          <t>Good</t>
        </is>
      </c>
      <c r="W126" t="n">
        <v>2</v>
      </c>
      <c r="X126" t="inlineStr">
        <is>
          <t>Round</t>
        </is>
      </c>
      <c r="Y126" t="inlineStr">
        <is>
          <t>strong bullish close</t>
        </is>
      </c>
      <c r="Z126" t="n">
        <v>0.53</v>
      </c>
      <c r="AA126" t="inlineStr">
        <is>
          <t>No</t>
        </is>
      </c>
      <c r="AB126" t="inlineStr">
        <is>
          <t>No</t>
        </is>
      </c>
    </row>
    <row r="127">
      <c r="A127" t="inlineStr">
        <is>
          <t>2026-09-03</t>
        </is>
      </c>
      <c r="B127" t="inlineStr">
        <is>
          <t>13:57</t>
        </is>
      </c>
      <c r="C127" t="inlineStr">
        <is>
          <t>MNQ</t>
        </is>
      </c>
      <c r="D127" t="inlineStr">
        <is>
          <t>Long</t>
        </is>
      </c>
      <c r="E127" t="n">
        <v>67.5</v>
      </c>
      <c r="F127" t="inlineStr">
        <is>
          <t>up</t>
        </is>
      </c>
      <c r="G127" t="inlineStr">
        <is>
          <t>up</t>
        </is>
      </c>
      <c r="H127" t="inlineStr">
        <is>
          <t>up</t>
        </is>
      </c>
      <c r="I127" t="inlineStr">
        <is>
          <t>up</t>
        </is>
      </c>
      <c r="J127" t="n">
        <v>65.3</v>
      </c>
      <c r="K127" t="inlineStr">
        <is>
          <t>bull</t>
        </is>
      </c>
      <c r="L127" t="inlineStr">
        <is>
          <t>-</t>
        </is>
      </c>
      <c r="M127" t="n">
        <v>33.2</v>
      </c>
      <c r="N127" t="n">
        <v>22.03</v>
      </c>
      <c r="O127" t="n">
        <v>29391.23</v>
      </c>
      <c r="P127" t="inlineStr">
        <is>
          <t>above</t>
        </is>
      </c>
      <c r="Q127" t="n">
        <v>29512.79</v>
      </c>
      <c r="R127" t="n">
        <v>0.99</v>
      </c>
      <c r="S127" t="n">
        <v>63685</v>
      </c>
      <c r="T127" t="n">
        <v>-4</v>
      </c>
      <c r="U127" t="inlineStr">
        <is>
          <t>extended (no pullback)</t>
        </is>
      </c>
      <c r="V127" t="inlineStr">
        <is>
          <t>Weak</t>
        </is>
      </c>
      <c r="W127" t="n">
        <v>1</v>
      </c>
      <c r="X127" t="inlineStr">
        <is>
          <t>No</t>
        </is>
      </c>
      <c r="Y127" t="inlineStr">
        <is>
          <t>strong bearish close</t>
        </is>
      </c>
      <c r="Z127" t="n">
        <v>0.79</v>
      </c>
      <c r="AA127" t="inlineStr">
        <is>
          <t>Yes</t>
        </is>
      </c>
      <c r="AB127" t="inlineStr">
        <is>
          <t>Yes</t>
        </is>
      </c>
    </row>
    <row r="128">
      <c r="A128" t="inlineStr">
        <is>
          <t>2026-09-03</t>
        </is>
      </c>
      <c r="B128" t="inlineStr">
        <is>
          <t>15:03</t>
        </is>
      </c>
      <c r="C128" t="inlineStr">
        <is>
          <t>MGC</t>
        </is>
      </c>
      <c r="D128" t="inlineStr">
        <is>
          <t>Short</t>
        </is>
      </c>
      <c r="E128" t="n">
        <v>-49</v>
      </c>
      <c r="F128" t="inlineStr">
        <is>
          <t>up</t>
        </is>
      </c>
      <c r="G128" t="inlineStr">
        <is>
          <t>up</t>
        </is>
      </c>
      <c r="H128" t="inlineStr">
        <is>
          <t>up</t>
        </is>
      </c>
      <c r="I128" t="inlineStr">
        <is>
          <t>down</t>
        </is>
      </c>
      <c r="J128" t="n">
        <v>31.6</v>
      </c>
      <c r="K128" t="inlineStr">
        <is>
          <t>bear</t>
        </is>
      </c>
      <c r="L128" t="inlineStr">
        <is>
          <t>-</t>
        </is>
      </c>
      <c r="M128" t="n">
        <v>26.8</v>
      </c>
      <c r="N128" t="n">
        <v>3.97</v>
      </c>
      <c r="O128" t="n">
        <v>4531.22</v>
      </c>
      <c r="P128" t="inlineStr">
        <is>
          <t>below</t>
        </is>
      </c>
      <c r="Q128" t="n">
        <v>4539.7</v>
      </c>
      <c r="R128" t="n">
        <v>1.01</v>
      </c>
      <c r="S128" t="n">
        <v>3362</v>
      </c>
      <c r="T128" t="n">
        <v>3</v>
      </c>
      <c r="U128" t="inlineStr">
        <is>
          <t>extended (no pullback)</t>
        </is>
      </c>
      <c r="V128" t="inlineStr">
        <is>
          <t>No setup</t>
        </is>
      </c>
      <c r="W128" t="n">
        <v>0</v>
      </c>
      <c r="X128" t="inlineStr">
        <is>
          <t>No</t>
        </is>
      </c>
      <c r="Y128" t="inlineStr">
        <is>
          <t>bearish pin</t>
        </is>
      </c>
      <c r="Z128" t="n">
        <v>0.66</v>
      </c>
      <c r="AA128" t="inlineStr">
        <is>
          <t>No</t>
        </is>
      </c>
      <c r="AB128" t="inlineStr">
        <is>
          <t>No</t>
        </is>
      </c>
    </row>
    <row r="129">
      <c r="A129" t="inlineStr">
        <is>
          <t>2026-09-03</t>
        </is>
      </c>
      <c r="B129" t="inlineStr">
        <is>
          <t>22:13</t>
        </is>
      </c>
      <c r="C129" t="inlineStr">
        <is>
          <t>MGC</t>
        </is>
      </c>
      <c r="D129" t="inlineStr">
        <is>
          <t>Long</t>
        </is>
      </c>
      <c r="E129" t="n">
        <v>-48</v>
      </c>
      <c r="F129" t="inlineStr">
        <is>
          <t>up</t>
        </is>
      </c>
      <c r="G129" t="inlineStr">
        <is>
          <t>up</t>
        </is>
      </c>
      <c r="H129" t="inlineStr">
        <is>
          <t>up</t>
        </is>
      </c>
      <c r="I129" t="inlineStr">
        <is>
          <t>down</t>
        </is>
      </c>
      <c r="J129" t="n">
        <v>53.4</v>
      </c>
      <c r="K129" t="inlineStr">
        <is>
          <t>bull</t>
        </is>
      </c>
      <c r="L129" t="inlineStr">
        <is>
          <t>+</t>
        </is>
      </c>
      <c r="M129" t="n">
        <v>14</v>
      </c>
      <c r="N129" t="n">
        <v>5.12</v>
      </c>
      <c r="O129" t="n">
        <v>4529.29</v>
      </c>
      <c r="P129" t="inlineStr">
        <is>
          <t>below</t>
        </is>
      </c>
      <c r="Q129" t="n">
        <v>4522.99</v>
      </c>
      <c r="R129" t="n">
        <v>0.57</v>
      </c>
      <c r="S129" t="n">
        <v>1579</v>
      </c>
      <c r="T129" t="n">
        <v>20</v>
      </c>
      <c r="U129" t="inlineStr">
        <is>
          <t>shallow</t>
        </is>
      </c>
      <c r="V129" t="inlineStr">
        <is>
          <t>Good</t>
        </is>
      </c>
      <c r="W129" t="n">
        <v>2</v>
      </c>
      <c r="X129" t="inlineStr">
        <is>
          <t>No</t>
        </is>
      </c>
      <c r="Z129" t="n">
        <v>0.68</v>
      </c>
      <c r="AA129" t="inlineStr">
        <is>
          <t>No</t>
        </is>
      </c>
      <c r="AB129" t="inlineStr">
        <is>
          <t>Yes</t>
        </is>
      </c>
    </row>
    <row r="130">
      <c r="A130" t="inlineStr">
        <is>
          <t>2026-09-03</t>
        </is>
      </c>
      <c r="B130" t="inlineStr">
        <is>
          <t>22:45</t>
        </is>
      </c>
      <c r="C130" t="inlineStr">
        <is>
          <t>MGC</t>
        </is>
      </c>
      <c r="D130" t="inlineStr">
        <is>
          <t>Long</t>
        </is>
      </c>
      <c r="E130" t="n">
        <v>72</v>
      </c>
      <c r="F130" t="inlineStr">
        <is>
          <t>up</t>
        </is>
      </c>
      <c r="G130" t="inlineStr">
        <is>
          <t>up</t>
        </is>
      </c>
      <c r="H130" t="inlineStr">
        <is>
          <t>up</t>
        </is>
      </c>
      <c r="I130" t="inlineStr">
        <is>
          <t>down</t>
        </is>
      </c>
      <c r="J130" t="n">
        <v>50</v>
      </c>
      <c r="K130" t="inlineStr">
        <is>
          <t>bear</t>
        </is>
      </c>
      <c r="L130" t="inlineStr">
        <is>
          <t>-</t>
        </is>
      </c>
      <c r="M130" t="n">
        <v>10.5</v>
      </c>
      <c r="N130" t="n">
        <v>5.2</v>
      </c>
      <c r="O130" t="n">
        <v>4529.07</v>
      </c>
      <c r="P130" t="inlineStr">
        <is>
          <t>below</t>
        </is>
      </c>
      <c r="Q130" t="n">
        <v>4522.99</v>
      </c>
      <c r="R130" t="n">
        <v>0.71</v>
      </c>
      <c r="S130" t="n">
        <v>1139</v>
      </c>
      <c r="T130" t="n">
        <v>66</v>
      </c>
      <c r="U130" t="inlineStr">
        <is>
          <t>deep</t>
        </is>
      </c>
      <c r="V130" t="inlineStr">
        <is>
          <t>No setup</t>
        </is>
      </c>
      <c r="W130" t="n">
        <v>0</v>
      </c>
      <c r="X130" t="inlineStr">
        <is>
          <t>Round</t>
        </is>
      </c>
      <c r="Y130" t="inlineStr">
        <is>
          <t>strong bullish close</t>
        </is>
      </c>
      <c r="Z130" t="n">
        <v>0.64</v>
      </c>
      <c r="AA130" t="inlineStr">
        <is>
          <t>No</t>
        </is>
      </c>
      <c r="AB13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2026-09-05T19:24:35Z</dcterms:modified>
  <cp:lastModifiedBy>Abdul Basit</cp:lastModifiedBy>
</cp:coreProperties>
</file>