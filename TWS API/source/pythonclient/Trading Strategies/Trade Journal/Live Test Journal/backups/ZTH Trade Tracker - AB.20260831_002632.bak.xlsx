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Indicators" sheetId="5" state="visible" r:id="rId5"/>
    <sheet xmlns:r="http://schemas.openxmlformats.org/officeDocument/2006/relationships" name="Economic News" sheetId="6" state="visible" r:id="rId6"/>
    <sheet xmlns:r="http://schemas.openxmlformats.org/officeDocument/2006/relationships" name="Analysis" sheetId="7" state="visible" r:id="rId7"/>
    <sheet xmlns:r="http://schemas.openxmlformats.org/officeDocument/2006/relationships" name="AI Suggestion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/>
      <c r="B84" s="6" t="n"/>
      <c r="C84" s="10" t="n"/>
      <c r="D84" s="5" t="n"/>
      <c r="E84" s="5" t="n"/>
      <c r="F84" s="5" t="n"/>
      <c r="G84" s="5" t="n"/>
      <c r="H84" s="5" t="n"/>
      <c r="I84" s="5" t="n"/>
      <c r="J84" s="5" t="n"/>
      <c r="K84" s="8" t="n"/>
      <c r="L84" s="8" t="n"/>
      <c r="M84" s="5" t="n"/>
      <c r="N84" s="16" t="n"/>
      <c r="O84" s="9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/>
      <c r="B85" s="6" t="n"/>
      <c r="C85" s="5" t="n"/>
      <c r="D85" s="5" t="n"/>
      <c r="E85" s="5" t="n"/>
      <c r="F85" s="5" t="n"/>
      <c r="G85" s="5" t="n"/>
      <c r="H85" s="5" t="n"/>
      <c r="I85" s="5" t="n"/>
      <c r="J85" s="5" t="n"/>
      <c r="K85" s="8" t="n"/>
      <c r="L85" s="8" t="n"/>
      <c r="M85" s="5" t="n"/>
      <c r="N85" s="16" t="n"/>
      <c r="O85" s="9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6" t="n"/>
      <c r="C86" s="5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6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6" t="n"/>
      <c r="C87" s="5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6" t="n"/>
      <c r="O87" s="9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6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6" t="n"/>
      <c r="O88" s="9" t="n"/>
      <c r="P88" s="5" t="n"/>
      <c r="Q88" s="5" t="n"/>
      <c r="R88" s="5" t="n"/>
      <c r="S88" s="11" t="n"/>
      <c r="T88" s="11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6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6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6" t="n"/>
      <c r="C90" s="5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6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6" t="n"/>
      <c r="C91" s="5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6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6" t="n"/>
      <c r="C92" s="5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6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6" t="n"/>
      <c r="C93" s="5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6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6" t="n"/>
      <c r="C94" s="5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6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6" t="n"/>
      <c r="C95" s="5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6" t="n"/>
      <c r="C96" s="5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6" t="n"/>
      <c r="C97" s="5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6" t="n"/>
      <c r="C98" s="5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6" t="n"/>
      <c r="C99" s="5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6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6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6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6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IF(AND(N124&lt;&gt;"",F124&lt;&gt;"",H124&lt;&gt;"",D124&lt;&gt;""), N124/(F124*H124*VLOOKUP(D124,Multipliers!A:B,2,FALSE)),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IF(AND(N125&lt;&gt;"",F125&lt;&gt;"",H125&lt;&gt;"",D125&lt;&gt;""), N125/(F125*H125*VLOOKUP(D125,Multipliers!A:B,2,FALSE)),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IF(AND(N126&lt;&gt;"",F126&lt;&gt;"",H126&lt;&gt;"",D126&lt;&gt;""), N126/(F126*H126*VLOOKUP(D126,Multipliers!A:B,2,FALSE)),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9">
        <f>IF(AND(N127&lt;&gt;"",F127&lt;&gt;"",H127&lt;&gt;"",D127&lt;&gt;""), N127/(F127*H127*VLOOKUP(D127,Multipliers!A:B,2,FALSE)), "")</f>
        <v/>
      </c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9">
        <f>IF(AND(N128&lt;&gt;"",F128&lt;&gt;"",H128&lt;&gt;"",D128&lt;&gt;""), N128/(F128*H128*VLOOKUP(D128,Multipliers!A:B,2,FALSE)), "")</f>
        <v/>
      </c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>
      <c r="A999" s="5" t="n"/>
      <c r="B999" s="6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8" t="n"/>
      <c r="L999" s="8" t="n"/>
      <c r="M999" s="5" t="n"/>
      <c r="N999" s="16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  <row r="1000" ht="15.75" customHeight="1">
      <c r="A1000" s="5" t="n"/>
      <c r="B1000" s="6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8" t="n"/>
      <c r="L1000" s="8" t="n"/>
      <c r="M1000" s="5" t="n"/>
      <c r="N1000" s="16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</row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8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-4139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-4139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-4277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-4277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1.53</v>
      </c>
      <c r="S6" t="n">
        <v>-3600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1.33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-2319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75.2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4441.15</v>
      </c>
      <c r="P8" t="inlineStr">
        <is>
          <t>above</t>
        </is>
      </c>
      <c r="Q8" t="n">
        <v>4444.25</v>
      </c>
      <c r="R8" t="n">
        <v>2.29</v>
      </c>
      <c r="S8" t="n">
        <v>-1466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70.7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1.94</v>
      </c>
      <c r="S9" t="n">
        <v>-1475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1.17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68.7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4442.43</v>
      </c>
      <c r="P10" t="inlineStr">
        <is>
          <t>above</t>
        </is>
      </c>
      <c r="Q10" t="n">
        <v>4444.2</v>
      </c>
      <c r="R10" t="n">
        <v>2.07</v>
      </c>
      <c r="S10" t="n">
        <v>-1566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61.2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-1758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-2061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73.5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29698.61</v>
      </c>
      <c r="P13" t="inlineStr">
        <is>
          <t>above</t>
        </is>
      </c>
      <c r="Q13" t="n">
        <v>29634.79</v>
      </c>
      <c r="R13" t="n">
        <v>0.8</v>
      </c>
      <c r="S13" t="n">
        <v>-21162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48.5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4457.91</v>
      </c>
      <c r="P14" t="inlineStr">
        <is>
          <t>above</t>
        </is>
      </c>
      <c r="Q14" t="n">
        <v>4466.39</v>
      </c>
      <c r="R14" t="n">
        <v>1.28</v>
      </c>
      <c r="S14" t="n">
        <v>5281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9.69</v>
      </c>
      <c r="O16" t="n">
        <v>4478.61</v>
      </c>
      <c r="P16" t="inlineStr">
        <is>
          <t>above</t>
        </is>
      </c>
      <c r="Q16" t="n">
        <v>4474.18</v>
      </c>
      <c r="R16" t="n">
        <v>1.17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29904.64</v>
      </c>
      <c r="P17" t="inlineStr">
        <is>
          <t>below</t>
        </is>
      </c>
      <c r="Q17" t="n">
        <v>29878.13</v>
      </c>
      <c r="R17" t="n">
        <v>0.78</v>
      </c>
      <c r="S17" t="n">
        <v>-16673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-16919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29898.09</v>
      </c>
      <c r="P19" t="inlineStr">
        <is>
          <t>below</t>
        </is>
      </c>
      <c r="Q19" t="n">
        <v>29908.09</v>
      </c>
      <c r="R19" t="n">
        <v>0.87</v>
      </c>
      <c r="S19" t="n">
        <v>-16809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bearish engulfing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-20548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47.1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5.09</v>
      </c>
      <c r="O21" t="n">
        <v>4478.13</v>
      </c>
      <c r="P21" t="inlineStr">
        <is>
          <t>below</t>
        </is>
      </c>
      <c r="Q21" t="n">
        <v>4479.5</v>
      </c>
      <c r="R21" t="n">
        <v>0.74</v>
      </c>
      <c r="S21" t="n">
        <v>-2057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4465.02</v>
      </c>
      <c r="P22" t="inlineStr">
        <is>
          <t>below</t>
        </is>
      </c>
      <c r="Q22" t="n">
        <v>4479.13</v>
      </c>
      <c r="R22" t="n">
        <v>0.38</v>
      </c>
      <c r="S22" t="n">
        <v>-878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83.90000000000001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29997.05</v>
      </c>
      <c r="P23" t="inlineStr">
        <is>
          <t>above</t>
        </is>
      </c>
      <c r="Q23" t="n">
        <v>29902.34</v>
      </c>
      <c r="R23" t="n">
        <v>1.07</v>
      </c>
      <c r="S23" t="n">
        <v>33318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bullish engulfing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1803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40</v>
      </c>
      <c r="K25" t="inlineStr">
        <is>
          <t>bear</t>
        </is>
      </c>
      <c r="L25" t="inlineStr">
        <is>
          <t>+</t>
        </is>
      </c>
      <c r="M25" t="n">
        <v>53.2</v>
      </c>
      <c r="N25" t="n">
        <v>5.88</v>
      </c>
      <c r="O25" t="n">
        <v>4413.25</v>
      </c>
      <c r="P25" t="inlineStr">
        <is>
          <t>below</t>
        </is>
      </c>
      <c r="Q25" t="n">
        <v>4431.23</v>
      </c>
      <c r="R25" t="n">
        <v>0.5600000000000001</v>
      </c>
      <c r="S25" t="n">
        <v>-5048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39.9</v>
      </c>
      <c r="K26" t="inlineStr">
        <is>
          <t>bear</t>
        </is>
      </c>
      <c r="L26" t="inlineStr">
        <is>
          <t>+</t>
        </is>
      </c>
      <c r="M26" t="n">
        <v>53.4</v>
      </c>
      <c r="N26" t="n">
        <v>5.72</v>
      </c>
      <c r="O26" t="n">
        <v>4413.12</v>
      </c>
      <c r="P26" t="inlineStr">
        <is>
          <t>below</t>
        </is>
      </c>
      <c r="Q26" t="n">
        <v>4431.23</v>
      </c>
      <c r="R26" t="n">
        <v>1</v>
      </c>
      <c r="S26" t="n">
        <v>-4888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896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4.21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43.8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30231.85</v>
      </c>
      <c r="P28" t="inlineStr">
        <is>
          <t>below</t>
        </is>
      </c>
      <c r="Q28" t="n">
        <v>30229.28</v>
      </c>
      <c r="R28" t="n">
        <v>0.6899999999999999</v>
      </c>
      <c r="S28" t="n">
        <v>-759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Y28" t="inlineStr">
        <is>
          <t>bearish engulfing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36.8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</v>
      </c>
      <c r="P29" t="inlineStr">
        <is>
          <t>below</t>
        </is>
      </c>
      <c r="Q29" t="n">
        <v>30239.55</v>
      </c>
      <c r="R29" t="n">
        <v>1.02</v>
      </c>
      <c r="S29" t="n">
        <v>-24836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30155.18</v>
      </c>
      <c r="P30" t="inlineStr">
        <is>
          <t>below</t>
        </is>
      </c>
      <c r="Q30" t="n">
        <v>30239.55</v>
      </c>
      <c r="R30" t="n">
        <v>0.74</v>
      </c>
      <c r="S30" t="n">
        <v>-26489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</v>
      </c>
      <c r="P31" t="inlineStr">
        <is>
          <t>below</t>
        </is>
      </c>
      <c r="Q31" t="n">
        <v>30239.55</v>
      </c>
      <c r="R31" t="n">
        <v>0.74</v>
      </c>
      <c r="S31" t="n">
        <v>-24912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30153.36</v>
      </c>
      <c r="P32" t="inlineStr">
        <is>
          <t>below</t>
        </is>
      </c>
      <c r="Q32" t="n">
        <v>30239.55</v>
      </c>
      <c r="R32" t="n">
        <v>0.77</v>
      </c>
      <c r="S32" t="n">
        <v>-25695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50.9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32.47</v>
      </c>
      <c r="O33" t="n">
        <v>30212.48</v>
      </c>
      <c r="P33" t="inlineStr">
        <is>
          <t>above</t>
        </is>
      </c>
      <c r="Q33" t="n">
        <v>30201.93</v>
      </c>
      <c r="R33" t="n">
        <v>0.63</v>
      </c>
      <c r="S33" t="n">
        <v>-10161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64.8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4456.85</v>
      </c>
      <c r="P34" t="inlineStr">
        <is>
          <t>above</t>
        </is>
      </c>
      <c r="Q34" t="n">
        <v>4457.35</v>
      </c>
      <c r="R34" t="n">
        <v>0.57</v>
      </c>
      <c r="S34" t="n">
        <v>733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52.7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0.91</v>
      </c>
      <c r="S35" t="n">
        <v>-4114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4452.09</v>
      </c>
      <c r="P36" t="inlineStr">
        <is>
          <t>above</t>
        </is>
      </c>
      <c r="Q36" t="n">
        <v>4442.54</v>
      </c>
      <c r="R36" t="n">
        <v>1.54</v>
      </c>
      <c r="S36" t="n">
        <v>5145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53.3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4452.41</v>
      </c>
      <c r="P37" t="inlineStr">
        <is>
          <t>above</t>
        </is>
      </c>
      <c r="Q37" t="n">
        <v>4442.54</v>
      </c>
      <c r="R37" t="n">
        <v>0.87</v>
      </c>
      <c r="S37" t="n">
        <v>4442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38.3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29665.83</v>
      </c>
      <c r="P38" t="inlineStr">
        <is>
          <t>below</t>
        </is>
      </c>
      <c r="Q38" t="n">
        <v>29691.77</v>
      </c>
      <c r="R38" t="n">
        <v>1.22</v>
      </c>
      <c r="S38" t="n">
        <v>-16698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1.44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29663.28</v>
      </c>
      <c r="P39" t="inlineStr">
        <is>
          <t>below</t>
        </is>
      </c>
      <c r="Q39" t="n">
        <v>29691.77</v>
      </c>
      <c r="R39" t="n">
        <v>1.36</v>
      </c>
      <c r="S39" t="n">
        <v>-12869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4449.95</v>
      </c>
      <c r="P40" t="inlineStr">
        <is>
          <t>below</t>
        </is>
      </c>
      <c r="Q40" t="n">
        <v>4442.54</v>
      </c>
      <c r="R40" t="n">
        <v>1</v>
      </c>
      <c r="S40" t="n">
        <v>2379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45.7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44.56</v>
      </c>
      <c r="O41" t="n">
        <v>29645.48</v>
      </c>
      <c r="P41" t="inlineStr">
        <is>
          <t>below</t>
        </is>
      </c>
      <c r="Q41" t="n">
        <v>29694.91</v>
      </c>
      <c r="R41" t="n">
        <v>1.37</v>
      </c>
      <c r="S41" t="n">
        <v>-16521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52.1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29547.53</v>
      </c>
      <c r="P42" t="inlineStr">
        <is>
          <t>above</t>
        </is>
      </c>
      <c r="Q42" t="n">
        <v>29591.36</v>
      </c>
      <c r="R42" t="n">
        <v>0.72</v>
      </c>
      <c r="S42" t="n">
        <v>-19271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5.75</v>
      </c>
      <c r="O43" t="n">
        <v>4537.68</v>
      </c>
      <c r="P43" t="inlineStr">
        <is>
          <t>above</t>
        </is>
      </c>
      <c r="Q43" t="n">
        <v>4542.69</v>
      </c>
      <c r="R43" t="n">
        <v>10.78</v>
      </c>
      <c r="S43" t="n">
        <v>7624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29.16</v>
      </c>
      <c r="O44" t="n">
        <v>29547.31</v>
      </c>
      <c r="P44" t="inlineStr">
        <is>
          <t>below</t>
        </is>
      </c>
      <c r="Q44" t="n">
        <v>29545.49</v>
      </c>
      <c r="R44" t="n">
        <v>0.86</v>
      </c>
      <c r="S44" t="n">
        <v>-30960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59.8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4535.72</v>
      </c>
      <c r="P45" t="inlineStr">
        <is>
          <t>above</t>
        </is>
      </c>
      <c r="Q45" t="n">
        <v>4535.01</v>
      </c>
      <c r="R45" t="n">
        <v>0.95</v>
      </c>
      <c r="S45" t="n">
        <v>3823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54.47</v>
      </c>
      <c r="O46" t="n">
        <v>29386.98</v>
      </c>
      <c r="P46" t="inlineStr">
        <is>
          <t>below</t>
        </is>
      </c>
      <c r="Q46" t="n">
        <v>29355.18</v>
      </c>
      <c r="R46" t="n">
        <v>1.07</v>
      </c>
      <c r="S46" t="n">
        <v>16090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4641.08</v>
      </c>
      <c r="P47" t="inlineStr">
        <is>
          <t>below</t>
        </is>
      </c>
      <c r="Q47" t="n">
        <v>4638.84</v>
      </c>
      <c r="R47" t="n">
        <v>1.4</v>
      </c>
      <c r="S47" t="n">
        <v>247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51.3</v>
      </c>
      <c r="K48" t="inlineStr">
        <is>
          <t>bear</t>
        </is>
      </c>
      <c r="L48" t="inlineStr">
        <is>
          <t>+</t>
        </is>
      </c>
      <c r="M48" t="n">
        <v>17.6</v>
      </c>
      <c r="N48" t="n">
        <v>4.28</v>
      </c>
      <c r="O48" t="n">
        <v>4671.8</v>
      </c>
      <c r="P48" t="inlineStr">
        <is>
          <t>below</t>
        </is>
      </c>
      <c r="Q48" t="n">
        <v>4676.31</v>
      </c>
      <c r="R48" t="n">
        <v>2.21</v>
      </c>
      <c r="S48" t="n">
        <v>-749</v>
      </c>
      <c r="T48" t="n">
        <v>203</v>
      </c>
      <c r="U48" t="inlineStr">
        <is>
          <t>broke the leg (reversal risk)</t>
        </is>
      </c>
      <c r="V48" t="inlineStr">
        <is>
          <t>No setup</t>
        </is>
      </c>
      <c r="W48" t="n">
        <v>0</v>
      </c>
      <c r="X48" t="inlineStr">
        <is>
          <t>Round</t>
        </is>
      </c>
      <c r="Y48" t="inlineStr">
        <is>
          <t>strong bearish close</t>
        </is>
      </c>
      <c r="Z48" t="n">
        <v>1.17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4671.43</v>
      </c>
      <c r="P49" t="inlineStr">
        <is>
          <t>below</t>
        </is>
      </c>
      <c r="Q49" t="n">
        <v>4676.31</v>
      </c>
      <c r="R49" t="n">
        <v>1.73</v>
      </c>
      <c r="S49" t="n">
        <v>-780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1.06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45.7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4678.24</v>
      </c>
      <c r="P50" t="inlineStr">
        <is>
          <t>below</t>
        </is>
      </c>
      <c r="Q50" t="n">
        <v>4676.12</v>
      </c>
      <c r="R50" t="n">
        <v>3.05</v>
      </c>
      <c r="S50" t="n">
        <v>-872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7.73</v>
      </c>
      <c r="O51" t="n">
        <v>4676.43</v>
      </c>
      <c r="P51" t="inlineStr">
        <is>
          <t>below</t>
        </is>
      </c>
      <c r="Q51" t="n">
        <v>4676.95</v>
      </c>
      <c r="R51" t="n">
        <v>3.53</v>
      </c>
      <c r="S51" t="n">
        <v>-764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57.5</v>
      </c>
      <c r="K52" t="inlineStr">
        <is>
          <t>bull</t>
        </is>
      </c>
      <c r="L52" t="inlineStr">
        <is>
          <t>-</t>
        </is>
      </c>
      <c r="M52" t="n">
        <v>20.3</v>
      </c>
      <c r="N52" t="n">
        <v>8.4</v>
      </c>
      <c r="O52" t="n">
        <v>4682.74</v>
      </c>
      <c r="P52" t="inlineStr">
        <is>
          <t>below</t>
        </is>
      </c>
      <c r="Q52" t="n">
        <v>4675.82</v>
      </c>
      <c r="R52" t="n">
        <v>1.84</v>
      </c>
      <c r="S52" t="n">
        <v>961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12.8</v>
      </c>
      <c r="N53" t="n">
        <v>6.16</v>
      </c>
      <c r="O53" t="n">
        <v>4684.49</v>
      </c>
      <c r="P53" t="inlineStr">
        <is>
          <t>above</t>
        </is>
      </c>
      <c r="Q53" t="n">
        <v>4675.82</v>
      </c>
      <c r="R53" t="n">
        <v>0.92</v>
      </c>
      <c r="S53" t="n">
        <v>473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53.2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bearish engulfing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48.7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29047.93</v>
      </c>
      <c r="P55" t="inlineStr">
        <is>
          <t>above</t>
        </is>
      </c>
      <c r="Q55" t="n">
        <v>29002.3</v>
      </c>
      <c r="R55" t="n">
        <v>0.83</v>
      </c>
      <c r="S55" t="n">
        <v>-22771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0.91</v>
      </c>
      <c r="S56" t="n">
        <v>-28547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33.4</v>
      </c>
      <c r="K57" t="inlineStr">
        <is>
          <t>bear</t>
        </is>
      </c>
      <c r="L57" t="inlineStr">
        <is>
          <t>-</t>
        </is>
      </c>
      <c r="M57" t="n">
        <v>29</v>
      </c>
      <c r="N57" t="n">
        <v>8.199999999999999</v>
      </c>
      <c r="O57" t="n">
        <v>4667.8</v>
      </c>
      <c r="P57" t="inlineStr">
        <is>
          <t>below</t>
        </is>
      </c>
      <c r="Q57" t="n">
        <v>4671.26</v>
      </c>
      <c r="R57" t="n">
        <v>1.07</v>
      </c>
      <c r="S57" t="n">
        <v>-1228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1.35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34.9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29315.35</v>
      </c>
      <c r="P58" t="inlineStr">
        <is>
          <t>below</t>
        </is>
      </c>
      <c r="Q58" t="n">
        <v>29329.98</v>
      </c>
      <c r="R58" t="n">
        <v>1.01</v>
      </c>
      <c r="S58" t="n">
        <v>-12925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32.3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46.07</v>
      </c>
      <c r="O59" t="n">
        <v>29300.24</v>
      </c>
      <c r="P59" t="inlineStr">
        <is>
          <t>below</t>
        </is>
      </c>
      <c r="Q59" t="n">
        <v>29342.1</v>
      </c>
      <c r="R59" t="n">
        <v>1.74</v>
      </c>
      <c r="S59" t="n">
        <v>-15569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</v>
      </c>
      <c r="P60" t="inlineStr">
        <is>
          <t>above</t>
        </is>
      </c>
      <c r="Q60" t="n">
        <v>4677.28</v>
      </c>
      <c r="R60" t="n">
        <v>1</v>
      </c>
      <c r="S60" t="n">
        <v>4023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38.5</v>
      </c>
      <c r="K61" t="inlineStr">
        <is>
          <t>bear</t>
        </is>
      </c>
      <c r="L61" t="inlineStr">
        <is>
          <t>-</t>
        </is>
      </c>
      <c r="M61" t="n">
        <v>24.2</v>
      </c>
      <c r="N61" t="n">
        <v>4.83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4291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56.2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1.02</v>
      </c>
      <c r="S62" t="n">
        <v>1062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4677.35</v>
      </c>
      <c r="P63" t="inlineStr">
        <is>
          <t>above</t>
        </is>
      </c>
      <c r="Q63" t="n">
        <v>4683.11</v>
      </c>
      <c r="R63" t="n">
        <v>0.62</v>
      </c>
      <c r="S63" t="n">
        <v>1237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50.6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4664.41</v>
      </c>
      <c r="P64" t="inlineStr">
        <is>
          <t>below</t>
        </is>
      </c>
      <c r="Q64" t="n">
        <v>4653.95</v>
      </c>
      <c r="R64" t="n">
        <v>1.54</v>
      </c>
      <c r="S64" t="n">
        <v>1823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40.2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4664.02</v>
      </c>
      <c r="P65" t="inlineStr">
        <is>
          <t>below</t>
        </is>
      </c>
      <c r="Q65" t="n">
        <v>4653.95</v>
      </c>
      <c r="R65" t="n">
        <v>1.21</v>
      </c>
      <c r="S65" t="n">
        <v>241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</v>
      </c>
      <c r="P66" t="inlineStr">
        <is>
          <t>below</t>
        </is>
      </c>
      <c r="Q66" t="n">
        <v>4653.95</v>
      </c>
      <c r="R66" t="n">
        <v>0.6899999999999999</v>
      </c>
      <c r="S66" t="n">
        <v>1646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19153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23.81</v>
      </c>
      <c r="O68" t="n">
        <v>29284.87</v>
      </c>
      <c r="P68" t="inlineStr">
        <is>
          <t>above</t>
        </is>
      </c>
      <c r="Q68" t="n">
        <v>29225.22</v>
      </c>
      <c r="R68" t="n">
        <v>1.07</v>
      </c>
      <c r="S68" t="n">
        <v>18721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</v>
      </c>
      <c r="K69" t="inlineStr">
        <is>
          <t>bear</t>
        </is>
      </c>
      <c r="L69" t="inlineStr">
        <is>
          <t>-</t>
        </is>
      </c>
      <c r="M69" t="n">
        <v>39.4</v>
      </c>
      <c r="N69" t="n">
        <v>28.02</v>
      </c>
      <c r="O69" t="n">
        <v>29295.47</v>
      </c>
      <c r="P69" t="inlineStr">
        <is>
          <t>above</t>
        </is>
      </c>
      <c r="Q69" t="n">
        <v>29225.22</v>
      </c>
      <c r="R69" t="n">
        <v>1</v>
      </c>
      <c r="S69" t="n">
        <v>14869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0.61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41.8</v>
      </c>
      <c r="K70" t="inlineStr">
        <is>
          <t>bear</t>
        </is>
      </c>
      <c r="L70" t="inlineStr">
        <is>
          <t>-</t>
        </is>
      </c>
      <c r="M70" t="n">
        <v>37.7</v>
      </c>
      <c r="N70" t="n">
        <v>29.13</v>
      </c>
      <c r="O70" t="n">
        <v>29296.6</v>
      </c>
      <c r="P70" t="inlineStr">
        <is>
          <t>above</t>
        </is>
      </c>
      <c r="Q70" t="n">
        <v>29225.22</v>
      </c>
      <c r="R70" t="n">
        <v>1.27</v>
      </c>
      <c r="S70" t="n">
        <v>14789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bullish engulfing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</v>
      </c>
      <c r="N71" t="n">
        <v>27.73</v>
      </c>
      <c r="O71" t="n">
        <v>29297.38</v>
      </c>
      <c r="P71" t="inlineStr">
        <is>
          <t>above</t>
        </is>
      </c>
      <c r="Q71" t="n">
        <v>29225.22</v>
      </c>
      <c r="R71" t="n">
        <v>1.13</v>
      </c>
      <c r="S71" t="n">
        <v>15723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52.9</v>
      </c>
      <c r="K72" t="inlineStr">
        <is>
          <t>bear</t>
        </is>
      </c>
      <c r="L72" t="inlineStr">
        <is>
          <t>+</t>
        </is>
      </c>
      <c r="M72" t="n">
        <v>29.8</v>
      </c>
      <c r="N72" t="n">
        <v>27.15</v>
      </c>
      <c r="O72" t="n">
        <v>29298.36</v>
      </c>
      <c r="P72" t="inlineStr">
        <is>
          <t>above</t>
        </is>
      </c>
      <c r="Q72" t="n">
        <v>29225.22</v>
      </c>
      <c r="R72" t="n">
        <v>1.27</v>
      </c>
      <c r="S72" t="n">
        <v>16639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51.8</v>
      </c>
      <c r="K73" t="inlineStr">
        <is>
          <t>bull</t>
        </is>
      </c>
      <c r="L73" t="inlineStr">
        <is>
          <t>+</t>
        </is>
      </c>
      <c r="M73" t="n">
        <v>16.6</v>
      </c>
      <c r="N73" t="n">
        <v>24.8</v>
      </c>
      <c r="O73" t="n">
        <v>29301.87</v>
      </c>
      <c r="P73" t="inlineStr">
        <is>
          <t>above</t>
        </is>
      </c>
      <c r="Q73" t="n">
        <v>29225.22</v>
      </c>
      <c r="R73" t="n">
        <v>0.51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36.9</v>
      </c>
      <c r="K74" t="inlineStr">
        <is>
          <t>bear</t>
        </is>
      </c>
      <c r="L74" t="inlineStr">
        <is>
          <t>-</t>
        </is>
      </c>
      <c r="M74" t="n">
        <v>24.3</v>
      </c>
      <c r="N74" t="n">
        <v>6.47</v>
      </c>
      <c r="O74" t="n">
        <v>4632.87</v>
      </c>
      <c r="P74" t="inlineStr">
        <is>
          <t>above</t>
        </is>
      </c>
      <c r="Q74" t="n">
        <v>4630.68</v>
      </c>
      <c r="R74" t="n">
        <v>0.92</v>
      </c>
      <c r="S74" t="n">
        <v>-2558</v>
      </c>
      <c r="T74" t="n">
        <v>40</v>
      </c>
      <c r="U74" t="inlineStr">
        <is>
          <t>golden</t>
        </is>
      </c>
      <c r="V74" t="inlineStr">
        <is>
          <t>Good</t>
        </is>
      </c>
      <c r="W74" t="n">
        <v>2</v>
      </c>
      <c r="X74" t="inlineStr">
        <is>
          <t>No</t>
        </is>
      </c>
      <c r="Y74" t="inlineStr">
        <is>
          <t>bullish engulfing</t>
        </is>
      </c>
      <c r="Z74" t="n">
        <v>1.7</v>
      </c>
      <c r="AA74" t="inlineStr">
        <is>
          <t>Yes</t>
        </is>
      </c>
      <c r="AB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46</v>
      </c>
      <c r="K75" t="inlineStr">
        <is>
          <t>bear</t>
        </is>
      </c>
      <c r="L75" t="inlineStr">
        <is>
          <t>-</t>
        </is>
      </c>
      <c r="M75" t="n">
        <v>29.7</v>
      </c>
      <c r="N75" t="n">
        <v>7.41</v>
      </c>
      <c r="O75" t="n">
        <v>4629.45</v>
      </c>
      <c r="P75" t="inlineStr">
        <is>
          <t>above</t>
        </is>
      </c>
      <c r="Q75" t="n">
        <v>4630.62</v>
      </c>
      <c r="R75" t="n">
        <v>0.7</v>
      </c>
      <c r="S75" t="n">
        <v>-1346</v>
      </c>
      <c r="T75" t="n">
        <v>50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>
        <is>
          <t>bullish engulfing</t>
        </is>
      </c>
      <c r="Z75" t="n">
        <v>0.72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22.3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9.59</v>
      </c>
      <c r="S76" t="n">
        <v>-4681</v>
      </c>
      <c r="T76" t="n">
        <v>33</v>
      </c>
      <c r="U76" t="inlineStr">
        <is>
          <t>shallow</t>
        </is>
      </c>
      <c r="V76" t="inlineStr">
        <is>
          <t>Good</t>
        </is>
      </c>
      <c r="W76" t="n">
        <v>2</v>
      </c>
      <c r="X76" t="inlineStr">
        <is>
          <t>Round</t>
        </is>
      </c>
      <c r="Y76" t="inlineStr">
        <is>
          <t>bullish pin/hammer</t>
        </is>
      </c>
      <c r="Z76" t="n">
        <v>7.85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53.9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29621.34</v>
      </c>
      <c r="P77" t="inlineStr">
        <is>
          <t>above</t>
        </is>
      </c>
      <c r="Q77" t="n">
        <v>29597.96</v>
      </c>
      <c r="R77" t="n">
        <v>1.34</v>
      </c>
      <c r="S77" t="n">
        <v>-1405</v>
      </c>
      <c r="T77" t="n">
        <v>68</v>
      </c>
      <c r="U77" t="inlineStr">
        <is>
          <t>deep</t>
        </is>
      </c>
      <c r="V77" t="inlineStr">
        <is>
          <t>Weak</t>
        </is>
      </c>
      <c r="W77" t="n">
        <v>1</v>
      </c>
      <c r="X77" t="inlineStr">
        <is>
          <t>Round</t>
        </is>
      </c>
      <c r="Y77" t="inlineStr">
        <is>
          <t>bullish pin/hammer</t>
        </is>
      </c>
      <c r="Z77" t="n">
        <v>1.44</v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64.59999999999999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29632.07</v>
      </c>
      <c r="P78" t="inlineStr">
        <is>
          <t>above</t>
        </is>
      </c>
      <c r="Q78" t="n">
        <v>29597.61</v>
      </c>
      <c r="R78" t="n">
        <v>1.62</v>
      </c>
      <c r="S78" t="n">
        <v>7992</v>
      </c>
      <c r="V78" t="inlineStr">
        <is>
          <t>No setup</t>
        </is>
      </c>
      <c r="W78" t="n">
        <v>0</v>
      </c>
      <c r="X78" t="inlineStr">
        <is>
          <t>PDH/ONH/ORH/Round</t>
        </is>
      </c>
      <c r="Y78" t="inlineStr">
        <is>
          <t>strong bullish close</t>
        </is>
      </c>
      <c r="Z78" t="n">
        <v>1.08</v>
      </c>
      <c r="AA78" t="inlineStr">
        <is>
          <t>No</t>
        </is>
      </c>
      <c r="AB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60.3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1.43</v>
      </c>
      <c r="S79" t="n">
        <v>19065</v>
      </c>
      <c r="T79" t="n">
        <v>16</v>
      </c>
      <c r="U79" t="inlineStr">
        <is>
          <t>shallow</t>
        </is>
      </c>
      <c r="V79" t="inlineStr">
        <is>
          <t>No setup</t>
        </is>
      </c>
      <c r="W79" t="n">
        <v>0</v>
      </c>
      <c r="X79" t="inlineStr">
        <is>
          <t>Round</t>
        </is>
      </c>
      <c r="Z79" t="n">
        <v>0.62</v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1.55</v>
      </c>
      <c r="S80" t="n">
        <v>-22938</v>
      </c>
      <c r="T80" t="n">
        <v>14</v>
      </c>
      <c r="U80" t="inlineStr">
        <is>
          <t>extended (no pullback)</t>
        </is>
      </c>
      <c r="V80" t="inlineStr">
        <is>
          <t>No setup</t>
        </is>
      </c>
      <c r="W80" t="n">
        <v>0</v>
      </c>
      <c r="X80" t="inlineStr">
        <is>
          <t>Round</t>
        </is>
      </c>
      <c r="Y80" t="inlineStr">
        <is>
          <t>strong bearish close</t>
        </is>
      </c>
      <c r="Z80" t="n">
        <v>0.67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2026-08-30</t>
        </is>
      </c>
      <c r="B81" t="inlineStr">
        <is>
          <t>18:03</t>
        </is>
      </c>
      <c r="C81" t="inlineStr">
        <is>
          <t>MGC</t>
        </is>
      </c>
      <c r="D81" t="inlineStr">
        <is>
          <t>Long</t>
        </is>
      </c>
      <c r="E81" t="n">
        <v>199</v>
      </c>
      <c r="F81" t="inlineStr">
        <is>
          <t>down</t>
        </is>
      </c>
      <c r="G81" t="inlineStr">
        <is>
          <t>down</t>
        </is>
      </c>
      <c r="H81" t="inlineStr">
        <is>
          <t>down</t>
        </is>
      </c>
      <c r="I81" t="inlineStr">
        <is>
          <t>down</t>
        </is>
      </c>
      <c r="J81" t="n">
        <v>41.4</v>
      </c>
      <c r="K81" t="inlineStr">
        <is>
          <t>bear</t>
        </is>
      </c>
      <c r="L81" t="inlineStr">
        <is>
          <t>+</t>
        </is>
      </c>
      <c r="M81" t="n">
        <v>41.8</v>
      </c>
      <c r="N81" t="n">
        <v>6.92</v>
      </c>
      <c r="T81" t="n">
        <v>87</v>
      </c>
      <c r="U81" t="inlineStr">
        <is>
          <t>broke the leg (reversal risk)</t>
        </is>
      </c>
      <c r="V81" t="inlineStr">
        <is>
          <t>No setup</t>
        </is>
      </c>
      <c r="W81" t="n">
        <v>0</v>
      </c>
      <c r="X81" t="inlineStr">
        <is>
          <t>Round</t>
        </is>
      </c>
      <c r="Z81" t="n">
        <v>0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2026-08-30</t>
        </is>
      </c>
      <c r="B82" t="inlineStr">
        <is>
          <t>18:28</t>
        </is>
      </c>
      <c r="C82" t="inlineStr">
        <is>
          <t>MGC</t>
        </is>
      </c>
      <c r="D82" t="inlineStr">
        <is>
          <t>Short</t>
        </is>
      </c>
      <c r="E82" t="n">
        <v>25</v>
      </c>
      <c r="F82" t="inlineStr">
        <is>
          <t>down</t>
        </is>
      </c>
      <c r="G82" t="inlineStr">
        <is>
          <t>down</t>
        </is>
      </c>
      <c r="H82" t="inlineStr">
        <is>
          <t>down</t>
        </is>
      </c>
      <c r="I82" t="inlineStr">
        <is>
          <t>down</t>
        </is>
      </c>
      <c r="J82" t="n">
        <v>48.9</v>
      </c>
      <c r="K82" t="inlineStr">
        <is>
          <t>bear</t>
        </is>
      </c>
      <c r="L82" t="inlineStr">
        <is>
          <t>+</t>
        </is>
      </c>
      <c r="M82" t="n">
        <v>37.9</v>
      </c>
      <c r="N82" t="n">
        <v>6.88</v>
      </c>
      <c r="O82" t="n">
        <v>4508.79</v>
      </c>
      <c r="P82" t="inlineStr">
        <is>
          <t>above</t>
        </is>
      </c>
      <c r="Q82" t="n">
        <v>4507.59</v>
      </c>
      <c r="R82" t="n">
        <v>5.83</v>
      </c>
      <c r="S82" t="n">
        <v>1941</v>
      </c>
      <c r="T82" t="n">
        <v>32</v>
      </c>
      <c r="U82" t="inlineStr">
        <is>
          <t>shallow</t>
        </is>
      </c>
      <c r="V82" t="inlineStr">
        <is>
          <t>Good</t>
        </is>
      </c>
      <c r="W82" t="n">
        <v>2</v>
      </c>
      <c r="X82" t="inlineStr">
        <is>
          <t>Round</t>
        </is>
      </c>
      <c r="Y82" t="inlineStr">
        <is>
          <t>bearish engulfing</t>
        </is>
      </c>
      <c r="Z82" t="n">
        <v>1.74</v>
      </c>
      <c r="AA82" t="inlineStr">
        <is>
          <t>Yes</t>
        </is>
      </c>
      <c r="AB82" t="inlineStr">
        <is>
          <t>Yes</t>
        </is>
      </c>
    </row>
    <row r="83">
      <c r="A83" t="inlineStr">
        <is>
          <t>2026-08-31</t>
        </is>
      </c>
      <c r="B83" t="inlineStr">
        <is>
          <t>00:07</t>
        </is>
      </c>
      <c r="C83" t="inlineStr">
        <is>
          <t>MGC</t>
        </is>
      </c>
      <c r="D83" t="inlineStr">
        <is>
          <t>Short</t>
        </is>
      </c>
      <c r="E83" t="n">
        <v>47</v>
      </c>
      <c r="F83" t="inlineStr">
        <is>
          <t>down</t>
        </is>
      </c>
      <c r="G83" t="inlineStr">
        <is>
          <t>down</t>
        </is>
      </c>
      <c r="H83" t="inlineStr">
        <is>
          <t>down</t>
        </is>
      </c>
      <c r="I83" t="inlineStr">
        <is>
          <t>down</t>
        </is>
      </c>
      <c r="J83" t="n">
        <v>42.3</v>
      </c>
      <c r="K83" t="inlineStr">
        <is>
          <t>bear</t>
        </is>
      </c>
      <c r="L83" t="inlineStr">
        <is>
          <t>+</t>
        </is>
      </c>
      <c r="M83" t="n">
        <v>36.6</v>
      </c>
      <c r="N83" t="n">
        <v>8.94</v>
      </c>
      <c r="O83" t="n">
        <v>4491.95</v>
      </c>
      <c r="P83" t="inlineStr">
        <is>
          <t>below</t>
        </is>
      </c>
      <c r="Q83" t="n">
        <v>4507.27</v>
      </c>
      <c r="R83" t="n">
        <v>1.17</v>
      </c>
      <c r="S83" t="n">
        <v>1674</v>
      </c>
      <c r="T83" t="n">
        <v>30</v>
      </c>
      <c r="U83" t="inlineStr">
        <is>
          <t>shallow</t>
        </is>
      </c>
      <c r="V83" t="inlineStr">
        <is>
          <t>Weak</t>
        </is>
      </c>
      <c r="W83" t="n">
        <v>1</v>
      </c>
      <c r="X83" t="inlineStr">
        <is>
          <t>Round</t>
        </is>
      </c>
      <c r="Z83" t="n">
        <v>0.3</v>
      </c>
      <c r="AA83" t="inlineStr">
        <is>
          <t>Yes</t>
        </is>
      </c>
      <c r="AB8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2026-08-31 00:21</t>
        </is>
      </c>
    </row>
    <row r="3">
      <c r="A3" t="inlineStr">
        <is>
          <t>Date range</t>
        </is>
      </c>
      <c r="B3" t="inlineStr">
        <is>
          <t>2026-08-11 → 2026-08-31</t>
        </is>
      </c>
    </row>
    <row r="4">
      <c r="A4" t="inlineStr">
        <is>
          <t>Trades</t>
        </is>
      </c>
      <c r="B4" t="n">
        <v>82</v>
      </c>
    </row>
    <row r="5">
      <c r="A5" t="inlineStr">
        <is>
          <t>Win rate</t>
        </is>
      </c>
      <c r="B5" t="inlineStr">
        <is>
          <t>56.1%</t>
        </is>
      </c>
    </row>
    <row r="6">
      <c r="A6" t="inlineStr">
        <is>
          <t>Total P&amp;L</t>
        </is>
      </c>
      <c r="B6" t="n">
        <v>2080.5</v>
      </c>
    </row>
    <row r="7">
      <c r="A7" t="inlineStr">
        <is>
          <t>Profit factor</t>
        </is>
      </c>
      <c r="B7" t="n">
        <v>1.28</v>
      </c>
    </row>
    <row r="8">
      <c r="A8" t="inlineStr">
        <is>
          <t>Expectancy / trade</t>
        </is>
      </c>
      <c r="B8" t="n">
        <v>25.37</v>
      </c>
    </row>
    <row r="9">
      <c r="A9" t="inlineStr">
        <is>
          <t>Avg win</t>
        </is>
      </c>
      <c r="B9" t="n">
        <v>209.41</v>
      </c>
    </row>
    <row r="10">
      <c r="A10" t="inlineStr">
        <is>
          <t>Avg loss</t>
        </is>
      </c>
      <c r="B10" t="n">
        <v>-209.79</v>
      </c>
    </row>
    <row r="11">
      <c r="A11" t="inlineStr">
        <is>
          <t>Avg RR targeted</t>
        </is>
      </c>
      <c r="B11" t="n">
        <v>1.33</v>
      </c>
    </row>
    <row r="12">
      <c r="A12" t="inlineStr">
        <is>
          <t>Avg RR realized</t>
        </is>
      </c>
      <c r="B12" t="n">
        <v>0.02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78</v>
      </c>
      <c r="C19" t="inlineStr">
        <is>
          <t>55%</t>
        </is>
      </c>
      <c r="D19" t="n">
        <v>1947.5</v>
      </c>
      <c r="E19" t="n">
        <v>24.97</v>
      </c>
    </row>
    <row r="20">
      <c r="A20" t="inlineStr">
        <is>
          <t>Gap up</t>
        </is>
      </c>
      <c r="B20" t="n">
        <v>1</v>
      </c>
      <c r="C20" t="inlineStr">
        <is>
          <t>100%</t>
        </is>
      </c>
      <c r="D20" t="n">
        <v>199</v>
      </c>
      <c r="E20" t="n">
        <v>199</v>
      </c>
    </row>
    <row r="21">
      <c r="A21" t="inlineStr">
        <is>
          <t>Rejection</t>
        </is>
      </c>
      <c r="B21" t="n">
        <v>1</v>
      </c>
      <c r="C21" t="inlineStr">
        <is>
          <t>100%</t>
        </is>
      </c>
      <c r="D21" t="n">
        <v>134</v>
      </c>
      <c r="E21" t="n">
        <v>134</v>
      </c>
    </row>
    <row r="22">
      <c r="A22" t="inlineStr">
        <is>
          <t>ZTH Indicator</t>
        </is>
      </c>
      <c r="B22" t="n">
        <v>1</v>
      </c>
      <c r="C22" t="inlineStr">
        <is>
          <t>100%</t>
        </is>
      </c>
      <c r="D22" t="n">
        <v>25</v>
      </c>
      <c r="E22" t="n">
        <v>25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46</v>
      </c>
      <c r="C27" t="inlineStr">
        <is>
          <t>57%</t>
        </is>
      </c>
      <c r="D27" t="n">
        <v>1709</v>
      </c>
      <c r="E27" t="n">
        <v>37.15</v>
      </c>
    </row>
    <row r="28">
      <c r="A28" t="inlineStr">
        <is>
          <t>MNQ</t>
        </is>
      </c>
      <c r="B28" t="n">
        <v>36</v>
      </c>
      <c r="C28" t="inlineStr">
        <is>
          <t>56%</t>
        </is>
      </c>
      <c r="D28" t="n">
        <v>371.5</v>
      </c>
      <c r="E28" t="n">
        <v>10.32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45</v>
      </c>
      <c r="C32" t="inlineStr">
        <is>
          <t>53%</t>
        </is>
      </c>
      <c r="D32" t="n">
        <v>2349</v>
      </c>
      <c r="E32" t="n">
        <v>52.2</v>
      </c>
    </row>
    <row r="33">
      <c r="A33" t="inlineStr">
        <is>
          <t>Short</t>
        </is>
      </c>
      <c r="B33" t="n">
        <v>37</v>
      </c>
      <c r="C33" t="inlineStr">
        <is>
          <t>59%</t>
        </is>
      </c>
      <c r="D33" t="n">
        <v>-268.5</v>
      </c>
      <c r="E33" t="n">
        <v>-7.26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2</v>
      </c>
      <c r="C37" t="inlineStr">
        <is>
          <t>100%</t>
        </is>
      </c>
      <c r="D37" t="n">
        <v>63</v>
      </c>
      <c r="E37" t="n">
        <v>31.5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15</v>
      </c>
      <c r="C39" t="inlineStr">
        <is>
          <t>73%</t>
        </is>
      </c>
      <c r="D39" t="n">
        <v>1902.5</v>
      </c>
      <c r="E39" t="n">
        <v>126.83</v>
      </c>
    </row>
    <row r="40">
      <c r="A40" t="inlineStr">
        <is>
          <t>10:00</t>
        </is>
      </c>
      <c r="B40" t="n">
        <v>16</v>
      </c>
      <c r="C40" t="inlineStr">
        <is>
          <t>50%</t>
        </is>
      </c>
      <c r="D40" t="n">
        <v>295.5</v>
      </c>
      <c r="E40" t="n">
        <v>18.47</v>
      </c>
    </row>
    <row r="41">
      <c r="A41" t="inlineStr">
        <is>
          <t>11:00</t>
        </is>
      </c>
      <c r="B41" t="n">
        <v>10</v>
      </c>
      <c r="C41" t="inlineStr">
        <is>
          <t>40%</t>
        </is>
      </c>
      <c r="D41" t="n">
        <v>-139</v>
      </c>
      <c r="E41" t="n">
        <v>-13.9</v>
      </c>
    </row>
    <row r="42">
      <c r="A42" t="inlineStr">
        <is>
          <t>12:00</t>
        </is>
      </c>
      <c r="B42" t="n">
        <v>6</v>
      </c>
      <c r="C42" t="inlineStr">
        <is>
          <t>83%</t>
        </is>
      </c>
      <c r="D42" t="n">
        <v>-2</v>
      </c>
      <c r="E42" t="n">
        <v>-0.33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2</v>
      </c>
      <c r="C44" t="inlineStr">
        <is>
          <t>0%</t>
        </is>
      </c>
      <c r="D44" t="n">
        <v>-402</v>
      </c>
      <c r="E44" t="n">
        <v>-201</v>
      </c>
    </row>
    <row r="45">
      <c r="A45" t="inlineStr">
        <is>
          <t>15:00</t>
        </is>
      </c>
      <c r="B45" t="n">
        <v>1</v>
      </c>
      <c r="C45" t="inlineStr">
        <is>
          <t>0%</t>
        </is>
      </c>
      <c r="D45" t="n">
        <v>-120</v>
      </c>
      <c r="E45" t="n">
        <v>-120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4</v>
      </c>
      <c r="C48" t="inlineStr">
        <is>
          <t>50%</t>
        </is>
      </c>
      <c r="D48" t="n">
        <v>457</v>
      </c>
      <c r="E48" t="n">
        <v>114.25</v>
      </c>
    </row>
    <row r="49">
      <c r="A49" t="inlineStr">
        <is>
          <t>21:00</t>
        </is>
      </c>
      <c r="B49" t="n">
        <v>5</v>
      </c>
      <c r="C49" t="inlineStr">
        <is>
          <t>80%</t>
        </is>
      </c>
      <c r="D49" t="n">
        <v>503</v>
      </c>
      <c r="E49" t="n">
        <v>100.6</v>
      </c>
    </row>
    <row r="50">
      <c r="A50" t="inlineStr">
        <is>
          <t>22:00</t>
        </is>
      </c>
      <c r="B50" t="n">
        <v>5</v>
      </c>
      <c r="C50" t="inlineStr">
        <is>
          <t>40%</t>
        </is>
      </c>
      <c r="D50" t="n">
        <v>1886</v>
      </c>
      <c r="E50" t="n">
        <v>377.2</v>
      </c>
    </row>
    <row r="51">
      <c r="A51" t="inlineStr">
        <is>
          <t>23:00</t>
        </is>
      </c>
      <c r="B51" t="n">
        <v>5</v>
      </c>
      <c r="C51" t="inlineStr">
        <is>
          <t>40%</t>
        </is>
      </c>
      <c r="D51" t="n">
        <v>-805</v>
      </c>
      <c r="E51" t="n">
        <v>-161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9</v>
      </c>
      <c r="C55" t="inlineStr">
        <is>
          <t>56%</t>
        </is>
      </c>
      <c r="D55" t="n">
        <v>1387</v>
      </c>
      <c r="E55" t="n">
        <v>154.11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7</v>
      </c>
      <c r="C57" t="inlineStr">
        <is>
          <t>57%</t>
        </is>
      </c>
      <c r="D57" t="n">
        <v>387</v>
      </c>
      <c r="E57" t="n">
        <v>55.29</v>
      </c>
    </row>
    <row r="58">
      <c r="A58" t="inlineStr">
        <is>
          <t>Wed</t>
        </is>
      </c>
      <c r="B58" t="n">
        <v>25</v>
      </c>
      <c r="C58" t="inlineStr">
        <is>
          <t>60%</t>
        </is>
      </c>
      <c r="D58" t="n">
        <v>-8.5</v>
      </c>
      <c r="E58" t="n">
        <v>-0.34</v>
      </c>
    </row>
    <row r="59">
      <c r="A59" t="inlineStr">
        <is>
          <t>Mon</t>
        </is>
      </c>
      <c r="B59" t="n">
        <v>8</v>
      </c>
      <c r="C59" t="inlineStr">
        <is>
          <t>50%</t>
        </is>
      </c>
      <c r="D59" t="n">
        <v>-190.5</v>
      </c>
      <c r="E59" t="n">
        <v>-23.81</v>
      </c>
    </row>
    <row r="60">
      <c r="A60" t="inlineStr">
        <is>
          <t>Tue</t>
        </is>
      </c>
      <c r="B60" t="n">
        <v>21</v>
      </c>
      <c r="C60" t="inlineStr">
        <is>
          <t>48%</t>
        </is>
      </c>
      <c r="D60" t="n">
        <v>-425</v>
      </c>
      <c r="E60" t="n">
        <v>-20.24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12 trades on 2026-08-26 (&gt; 6)</t>
        </is>
      </c>
    </row>
    <row r="66">
      <c r="A66" t="inlineStr">
        <is>
          <t>Possible revenge trade</t>
        </is>
      </c>
      <c r="B66" t="inlineStr">
        <is>
          <t>MGC Short at 08/11 19:34 — 4 min after a loss, size 10</t>
        </is>
      </c>
    </row>
    <row r="67">
      <c r="A67" t="inlineStr">
        <is>
          <t>Possible revenge trade</t>
        </is>
      </c>
      <c r="B67" t="inlineStr">
        <is>
          <t>MGC Long at 08/11 23:25 — 14 min after a loss, size 10</t>
        </is>
      </c>
    </row>
    <row r="68">
      <c r="A68" t="inlineStr">
        <is>
          <t>Possible revenge trade</t>
        </is>
      </c>
      <c r="B68" t="inlineStr">
        <is>
          <t>MGC Short at 08/11 23:36 — 11 min after a loss, size 20</t>
        </is>
      </c>
    </row>
    <row r="69">
      <c r="A69" t="inlineStr">
        <is>
          <t>Possible revenge trade</t>
        </is>
      </c>
      <c r="B69" t="inlineStr">
        <is>
          <t>MGC Short at 08/13 22:59 — 9 min after a loss, size 3</t>
        </is>
      </c>
    </row>
    <row r="70">
      <c r="A70" t="inlineStr">
        <is>
          <t>Possible revenge trade</t>
        </is>
      </c>
      <c r="B70" t="inlineStr">
        <is>
          <t>MGC Long at 08/18 10:08 — 8 min after a loss, size 3</t>
        </is>
      </c>
    </row>
    <row r="71">
      <c r="A71" t="inlineStr">
        <is>
          <t>Possible revenge trade</t>
        </is>
      </c>
      <c r="B71" t="inlineStr">
        <is>
          <t>MNQ Short at 08/18 10:21 — 5 min after a loss, size 3</t>
        </is>
      </c>
    </row>
    <row r="72">
      <c r="A72" t="inlineStr">
        <is>
          <t>Possible revenge trade</t>
        </is>
      </c>
      <c r="B72" t="inlineStr">
        <is>
          <t>MGC Long at 08/23 19:46 — 11 min after a loss, size 1</t>
        </is>
      </c>
    </row>
    <row r="73">
      <c r="A73" t="inlineStr">
        <is>
          <t>Possible revenge trade</t>
        </is>
      </c>
      <c r="B73" t="inlineStr">
        <is>
          <t>MGC Long at 08/23 20:28 — 5 min after a loss, size 2</t>
        </is>
      </c>
    </row>
    <row r="74">
      <c r="A74" t="inlineStr">
        <is>
          <t>Possible revenge trade</t>
        </is>
      </c>
      <c r="B74" t="inlineStr">
        <is>
          <t>MNQ Short at 08/24 11:13 — 15 min after a loss, size 5</t>
        </is>
      </c>
    </row>
    <row r="75">
      <c r="A75" t="inlineStr">
        <is>
          <t>Possible revenge trade</t>
        </is>
      </c>
      <c r="B75" t="inlineStr">
        <is>
          <t>MGC Short at 08/26 11:55 — 9 min after a loss, size 5</t>
        </is>
      </c>
    </row>
    <row r="76">
      <c r="A76" t="inlineStr">
        <is>
          <t>Possible revenge trade</t>
        </is>
      </c>
      <c r="B76" t="inlineStr">
        <is>
          <t>MNQ Long at 08/26 21:16 — 11 min after a loss, size 12</t>
        </is>
      </c>
    </row>
    <row r="77">
      <c r="A77" t="inlineStr">
        <is>
          <t>Stop overrun</t>
        </is>
      </c>
      <c r="B77" t="inlineStr">
        <is>
          <t>MNQ 08/12 11:57 realized RR -1.19 (worse than -1R)</t>
        </is>
      </c>
    </row>
    <row r="78">
      <c r="A78" t="inlineStr">
        <is>
          <t>Stop overrun</t>
        </is>
      </c>
      <c r="B78" t="inlineStr">
        <is>
          <t>MNQ 08/18 10:21 realized RR -1.19 (worse than -1R)</t>
        </is>
      </c>
    </row>
    <row r="79">
      <c r="A79" t="inlineStr">
        <is>
          <t>Winner cut short</t>
        </is>
      </c>
      <c r="B79" t="inlineStr">
        <is>
          <t>MGC 08/11 19:27 took 0.18R of 0.42R target</t>
        </is>
      </c>
    </row>
    <row r="80">
      <c r="A80" t="inlineStr">
        <is>
          <t>Winner cut short</t>
        </is>
      </c>
      <c r="B80" t="inlineStr">
        <is>
          <t>MNQ 08/25 10:32 took 0.49R of 2.16R target</t>
        </is>
      </c>
    </row>
    <row r="81">
      <c r="A81" t="inlineStr">
        <is>
          <t>Inconsistent sizing</t>
        </is>
      </c>
      <c r="B81" t="inlineStr">
        <is>
          <t>Position size varies a lot (CV 1.10)</t>
        </is>
      </c>
    </row>
    <row r="82">
      <c r="A82" t="inlineStr">
        <is>
          <t>Negative-edge hour</t>
        </is>
      </c>
      <c r="B82" t="inlineStr">
        <is>
          <t>12:00: 6 trades, 83% win, $-2 total</t>
        </is>
      </c>
    </row>
    <row r="83">
      <c r="A83" t="inlineStr">
        <is>
          <t>Negative-edge hour</t>
        </is>
      </c>
      <c r="B83" t="inlineStr">
        <is>
          <t>11:00: 10 trades, 40% win, $-139 total</t>
        </is>
      </c>
    </row>
    <row r="84">
      <c r="A84" t="inlineStr">
        <is>
          <t>Negative-edge hour</t>
        </is>
      </c>
      <c r="B84" t="inlineStr">
        <is>
          <t>23:00: 5 trades, 40% win, $-805 total</t>
        </is>
      </c>
    </row>
    <row r="85">
      <c r="A85" t="inlineStr">
        <is>
          <t>Negative-edge hour</t>
        </is>
      </c>
      <c r="B85" t="inlineStr">
        <is>
          <t>19:00: 7 trades, 57% win, $-1471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## Overall Read</t>
        </is>
      </c>
    </row>
    <row r="4">
      <c r="A4" s="14" t="inlineStr"/>
    </row>
    <row r="5">
      <c r="A5" s="14" t="inlineStr">
        <is>
          <t>You made **+$2,080.50** across 82 trades this stretch — profitable, but on thin ice. PF 1.28 and expectancy of **$25.37/trade** is a real but fragile edge, and the breakdown shows that edge is far more concentrated and fragile than the top-line number suggests.</t>
        </is>
      </c>
    </row>
    <row r="6">
      <c r="A6" s="14" t="inlineStr"/>
    </row>
    <row r="7">
      <c r="A7" s="14" t="inlineStr">
        <is>
          <t>**The single biggest red flag in this data:** your **oversized trades are carrying the entire month.** The 13 trades tagged "Oversized" produced **$1,377.50 of your $2,080.50 total P&amp;L (66%)**. Strip those out and your other 69 trades made just ~$703, or **~$10/trade expectancy** — barely above breakeven. You are not yet a consistently profitable trader at your normal size; you're a breakeven-ish trader who got bailed out by a handful of oversized, often impulsive bets that happened to work. That's not repeatable — it's variance you got paid for this time.</t>
        </is>
      </c>
    </row>
    <row r="8">
      <c r="A8" s="14" t="inlineStr"/>
    </row>
    <row r="9">
      <c r="A9" s="14" t="inlineStr">
        <is>
          <t>## 1. Your RR math is inverted — this is costing you the most</t>
        </is>
      </c>
    </row>
    <row r="10">
      <c r="A10" s="14" t="inlineStr"/>
    </row>
    <row r="11">
      <c r="A11" s="14" t="inlineStr">
        <is>
          <t>- **Targeted RR: 1.33 → Realized RR: 0.02.** That's not a rounding gap, that's your entire edge evaporating between plan and execution.</t>
        </is>
      </c>
    </row>
    <row r="12">
      <c r="A12" s="14" t="inlineStr">
        <is>
          <t>- Confirming this: **avg_win ($209.41) ≈ avg_loss (-$209.79)** almost exactly, even though you're supposedly targeting 1.33:1. Your edge is currently 100% win-rate-driven (56%), 0% reward-driven — which is a fragile place to live.</t>
        </is>
      </c>
    </row>
    <row r="13">
      <c r="A13" s="14" t="inlineStr">
        <is>
          <t>- Two flagged mechanisms explain it:</t>
        </is>
      </c>
    </row>
    <row r="14">
      <c r="A14" s="14" t="inlineStr">
        <is>
          <t xml:space="preserve">  - **Winners cut short:** MGC 08/11 took 0.18R of a 0.42R target; MNQ 08/25 10:32 took **0.49R of a 2.16R target** (visible in your log — you closed a trade that was tracking for 2.16R at less than a quarter of the way there).</t>
        </is>
      </c>
    </row>
    <row r="15">
      <c r="A15" s="14" t="inlineStr">
        <is>
          <t xml:space="preserve">  - **Stops overrun:** MNQ 08/12 and MNQ 08/18 both ran to **-1.19R**, worse than planned risk. Notably, the 08/18 overrun happened *during a revenge trade* — compounding the two worst habits at once.</t>
        </is>
      </c>
    </row>
    <row r="16">
      <c r="A16" s="14" t="inlineStr"/>
    </row>
    <row r="17">
      <c r="A17" s="14" t="inlineStr">
        <is>
          <t>**Fix:** you're managing risk in the wrong direction — clamping winners, loosening losers. Put a hard rule in place: once a stop is set, it does not move against you, full stop (literally). And build a mechanical partial/trail rule for winners past 1R so "flinching and taking 0.5R" isn't a decision you get to make in the moment.</t>
        </is>
      </c>
    </row>
    <row r="18">
      <c r="A18" s="14" t="inlineStr"/>
    </row>
    <row r="19">
      <c r="A19" s="14" t="inlineStr">
        <is>
          <t>## 2. Revenge trading is currently profitable — that will not last</t>
        </is>
      </c>
    </row>
    <row r="20">
      <c r="A20" s="14" t="inlineStr"/>
    </row>
    <row r="21">
      <c r="A21" s="14" t="inlineStr">
        <is>
          <t>12 trades flagged as revenge entries (within minutes of a prior loss) net **+$2,286** with a 58% win rate. Good result, terrible process. Look at the size pattern: your normal size is 2–3 contracts, but revenge trades show **size 10, size 20, size 12** — 4-6x normal. You got away with it this time (e.g., the size-12 MNQ long on 08/26 21:16 worked, +$302). One of these will be the size-20 version of your -$1,310 largest loss, and it will erase weeks of grinding. Combined with the "Inconsistent sizing" flag (CV 1.10), this tells me sizing is currently emotional, not systematic.</t>
        </is>
      </c>
    </row>
    <row r="22">
      <c r="A22" s="14" t="inlineStr"/>
    </row>
    <row r="23">
      <c r="A23" s="14" t="inlineStr">
        <is>
          <t>**Fix:** hard cooldown rule — no re-entry within N minutes of a loss, and size caps that don't flex upward intraday regardless of conviction.</t>
        </is>
      </c>
    </row>
    <row r="24">
      <c r="A24" s="14" t="inlineStr"/>
    </row>
    <row r="25">
      <c r="A25" s="14" t="inlineStr">
        <is>
          <t>## 3. Your setup filter data is the best news in here — use it</t>
        </is>
      </c>
    </row>
    <row r="26">
      <c r="A26" s="14" t="inlineStr"/>
    </row>
    <row r="27">
      <c r="A27" s="14" t="inlineStr">
        <is>
          <t>You have excellent indicator-tagging discipline, and it reveals a very clean signal:</t>
        </is>
      </c>
    </row>
    <row r="28">
      <c r="A28" s="14" t="inlineStr"/>
    </row>
    <row r="29">
      <c r="A29" s="14" t="inlineStr">
        <is>
          <t>| Filter | Expectancy | N |</t>
        </is>
      </c>
    </row>
    <row r="30">
      <c r="A30" s="14" t="inlineStr">
        <is>
          <t>|---|---|---|</t>
        </is>
      </c>
    </row>
    <row r="31">
      <c r="A31" s="14" t="inlineStr">
        <is>
          <t>| Pullback grade: **Good** | **+$189.20** | 25 |</t>
        </is>
      </c>
    </row>
    <row r="32">
      <c r="A32" s="14" t="inlineStr">
        <is>
          <t>| Pullback grade: Weak | **-$45.14** | 42 |</t>
        </is>
      </c>
    </row>
    <row r="33">
      <c r="A33" s="14" t="inlineStr">
        <is>
          <t>| Pullback grade: No setup | **-$55.19** | 13 |</t>
        </is>
      </c>
    </row>
    <row r="34">
      <c r="A34" s="14" t="inlineStr">
        <is>
          <t>| With 1H trend | +$66.77 | 51 |</t>
        </is>
      </c>
    </row>
    <row r="35">
      <c r="A35" s="14" t="inlineStr">
        <is>
          <t>| Against/unclear 1H trend | -$42.74 | 31 |</t>
        </is>
      </c>
    </row>
    <row r="36">
      <c r="A36" s="14" t="inlineStr">
        <is>
          <t>| At a key level | +$75.79 | 56 |</t>
        </is>
      </c>
    </row>
    <row r="37">
      <c r="A37" s="14" t="inlineStr">
        <is>
          <t>| Not at a key level | -$83.23 | 26 |</t>
        </is>
      </c>
    </row>
    <row r="38">
      <c r="A38" s="14" t="inlineStr">
        <is>
          <t>| ADX ≥ 25 (trend) | +$63.74 | 35 |</t>
        </is>
      </c>
    </row>
    <row r="39">
      <c r="A39" s="14" t="inlineStr">
        <is>
          <t>| ADX &lt; 20 (chop) | -$53.12 | 29 |</t>
        </is>
      </c>
    </row>
    <row r="40">
      <c r="A40" s="14" t="inlineStr">
        <is>
          <t>| MACD with trade | +$72.17 | 48 |</t>
        </is>
      </c>
    </row>
    <row r="41">
      <c r="A41" s="14" t="inlineStr">
        <is>
          <t>| MACD against trade | -$40.69 | 34 |</t>
        </is>
      </c>
    </row>
    <row r="42">
      <c r="A42" s="14" t="inlineStr"/>
    </row>
    <row r="43">
      <c r="A43" s="14" t="inlineStr">
        <is>
          <t>**67% of your trades (55 of 82) are graded "Weak" or "No setup" pullbacks, and they're bleeding money** (-$45 to -$55 expectancy each). Meanwhile every trade graded "Good" nets +$189 on average. This is the cleanest, most actionable finding in the data: your Break-and-Retest setup *works* — you just take it on too many mediocre pullbacks. If you simply refused every trade that wasn't graded Good/A+, at-key-level, with the 1H trend, and with MACD confirming, your expectancy would likely triple. This is a selection problem, not an execution problem.</t>
        </is>
      </c>
    </row>
    <row r="44">
      <c r="A44" s="14" t="inlineStr"/>
    </row>
    <row r="45">
      <c r="A45" s="14" t="inlineStr">
        <is>
          <t>## 4. Time &amp; day patterns worth respecting</t>
        </is>
      </c>
    </row>
    <row r="46">
      <c r="A46" s="14" t="inlineStr"/>
    </row>
    <row r="47">
      <c r="A47" s="14" t="inlineStr">
        <is>
          <t>- **09:00 hour is your gold mine:** 15 trades, 73% win rate, **+$126.83 expectancy**. Whatever you're doing at the open, do more of it.</t>
        </is>
      </c>
    </row>
    <row r="48">
      <c r="A48" s="14" t="inlineStr">
        <is>
          <t>- **19:00 and 23:00 are bleeding you dry:** -$1,470.50 and -$805 respectively, both driven by a few outsized losses rather than low win rate (19:00 is actually 57% winners but still net deeply negative — meaning your losers in that window are large). These look like late-session/overnight fatigue trades.</t>
        </is>
      </c>
    </row>
    <row r="49">
      <c r="A49" s="14" t="inlineStr">
        <is>
          <t>- **Wed and Tue carry the most volume (25 and 21 trades) but are flat-to-negative** (-$8.50 and -$425), while your lower-volume days (Thu, Fri, Sun) are strongly profitable. You may be trading size/frequency on the wrong days — the days you trade most aren't your best days.</t>
        </is>
      </c>
    </row>
    <row r="50">
      <c r="A50" s="14" t="inlineStr"/>
    </row>
    <row r="51">
      <c r="A51" s="14" t="inlineStr">
        <is>
          <t>## 5. Longs are your book; shorts are dead weight</t>
        </is>
      </c>
    </row>
    <row r="52">
      <c r="A52" s="14" t="inlineStr"/>
    </row>
    <row r="53">
      <c r="A53" s="14" t="inlineStr">
        <is>
          <t>Longs: +$2,349, 53% win, expectancy +$52.20. Shorts: **-$268, 59% win rate but expectancy -$7.26** — you win shorts *more often* than longs but make *less* on them, meaning your short-side RR management is specifically worse than your long-side. Worth isolating in review: are you cutting short winners faster or letting short losers run further than on longs?</t>
        </is>
      </c>
    </row>
    <row r="54">
      <c r="A54" s="14" t="inlineStr"/>
    </row>
    <row r="55">
      <c r="A55" s="14" t="inlineStr">
        <is>
          <t>## Priority action list</t>
        </is>
      </c>
    </row>
    <row r="56">
      <c r="A56" s="14" t="inlineStr">
        <is>
          <t>1. **Stop sizing up on tilt.** Cap size mechanically; no exceptions in the moment. This is the highest-consequence leak even though it hasn't bitten you yet.</t>
        </is>
      </c>
    </row>
    <row r="57">
      <c r="A57" s="14" t="inlineStr">
        <is>
          <t>2. **Only take Break-and-Retest when pullback grade is Good/A+.** Skip Weak and No-setup grades entirely for a month and compare.</t>
        </is>
      </c>
    </row>
    <row r="58">
      <c r="A58" s="14" t="inlineStr">
        <is>
          <t>3. **Fix the RR asymmetry:** stops don't widen, winners get a mechanical trail/partial past 1R instead of discretionary early exits.</t>
        </is>
      </c>
    </row>
    <row r="59">
      <c r="A59" s="14" t="inlineStr">
        <is>
          <t>4. **Review your short-side exit process** separately from longs — same setup, worse RR outcome.</t>
        </is>
      </c>
    </row>
    <row r="60">
      <c r="A60" s="14" t="inlineStr">
        <is>
          <t>5. **Look hard at what happens after 18:00** — that's where your largest, least-explained losses cluster.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2026-08-31T04:23:35Z</dcterms:modified>
  <cp:lastModifiedBy>Abdul Basit</cp:lastModifiedBy>
</cp:coreProperties>
</file>