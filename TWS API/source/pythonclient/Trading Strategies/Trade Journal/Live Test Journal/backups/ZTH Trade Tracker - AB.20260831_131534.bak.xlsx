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92</v>
      </c>
      <c r="B87" s="22" t="n">
        <v>46265</v>
      </c>
      <c r="C87" s="10" t="n">
        <v>0.03986111111111111</v>
      </c>
      <c r="D87" s="5" t="inlineStr">
        <is>
          <t>MGC</t>
        </is>
      </c>
      <c r="E87" s="5" t="inlineStr">
        <is>
          <t>Long</t>
        </is>
      </c>
      <c r="F87" s="5" t="n">
        <v>4473.6</v>
      </c>
      <c r="G87" s="5" t="n">
        <v>4472.7</v>
      </c>
      <c r="H87" s="5" t="n">
        <v>3</v>
      </c>
      <c r="I87" s="5" t="n"/>
      <c r="J87" s="5" t="n"/>
      <c r="K87" s="8">
        <f>IF(AND(I87&lt;&gt;"",J87&lt;&gt;"",F87&lt;&gt;""), (J87-F87)/(F87-I87), "")</f>
        <v/>
      </c>
      <c r="L87" s="8">
        <f>IF(AND(F87&lt;&gt;"",G87&lt;&gt;"",I87&lt;&gt;""), (G87-F87)/(F87-I87), "")</f>
        <v/>
      </c>
      <c r="M87" s="5">
        <f>IF(N87&gt;0,"Win",IF(N87&lt;0,"Loss",""))</f>
        <v/>
      </c>
      <c r="N87" s="16">
        <f>IF(AND(F87&lt;&gt;"",G87&lt;&gt;"",H87&lt;&gt;"",D87&lt;&gt;""), IF(E87="Long", (G87-F87)*H87*VLOOKUP(D87,Multipliers!A:B,2,FALSE), (F87-G87)*H87*VLOOKUP(D87,Multipliers!A:B,2,FALSE)), "")</f>
        <v/>
      </c>
      <c r="O87" s="9">
        <f>IF(AND(N87&lt;&gt;"",F87&lt;&gt;"",H87&lt;&gt;"",D87&lt;&gt;""), N87/(F87*H87*VLOOKUP(D87,Multipliers!A:B,2,FALSE)),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5" t="inlineStr">
        <is>
          <t>MGC</t>
        </is>
      </c>
      <c r="T87" s="5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93</v>
      </c>
      <c r="B88" s="22" t="n">
        <v>46265</v>
      </c>
      <c r="C88" s="10" t="n">
        <v>0.4046875</v>
      </c>
      <c r="D88" s="5" t="inlineStr">
        <is>
          <t>MNQ</t>
        </is>
      </c>
      <c r="E88" s="5" t="inlineStr">
        <is>
          <t>Short</t>
        </is>
      </c>
      <c r="F88" s="5" t="n">
        <v>29429</v>
      </c>
      <c r="G88" s="5" t="n">
        <v>29395.5</v>
      </c>
      <c r="H88" s="5" t="n">
        <v>2</v>
      </c>
      <c r="I88" s="5" t="n">
        <v>29454</v>
      </c>
      <c r="J88" s="5" t="n">
        <v>29395.5</v>
      </c>
      <c r="K88" s="8">
        <f>IF(AND(I88&lt;&gt;"",J88&lt;&gt;"",F88&lt;&gt;""), (J88-F88)/(F88-I88), "")</f>
        <v/>
      </c>
      <c r="L88" s="8">
        <f>IF(AND(F88&lt;&gt;"",G88&lt;&gt;"",I88&lt;&gt;""), (G88-F88)/(F88-I88), "")</f>
        <v/>
      </c>
      <c r="M88" s="5">
        <f>IF(N88&gt;0,"Win",IF(N88&lt;0,"Loss",""))</f>
        <v/>
      </c>
      <c r="N88" s="16">
        <f>IF(AND(F88&lt;&gt;"",G88&lt;&gt;"",H88&lt;&gt;"",D88&lt;&gt;""), IF(E88="Long", (G88-F88)*H88*VLOOKUP(D88,Multipliers!A:B,2,FALSE), (F88-G88)*H88*VLOOKUP(D88,Multipliers!A:B,2,FALSE)), "")</f>
        <v/>
      </c>
      <c r="O88" s="9">
        <f>IF(AND(N88&lt;&gt;"",F88&lt;&gt;"",H88&lt;&gt;"",D88&lt;&gt;""), N88/(F88*H88*VLOOKUP(D88,Multipliers!A:B,2,FALSE)),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11" t="inlineStr">
        <is>
          <t>MNQ</t>
        </is>
      </c>
      <c r="T88" s="11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94</v>
      </c>
      <c r="B89" s="22" t="n">
        <v>46265</v>
      </c>
      <c r="C89" s="10" t="n">
        <v>0.4141898148148148</v>
      </c>
      <c r="D89" s="5" t="inlineStr">
        <is>
          <t>MNQ</t>
        </is>
      </c>
      <c r="E89" s="5" t="inlineStr">
        <is>
          <t>Long</t>
        </is>
      </c>
      <c r="F89" s="5" t="n">
        <v>29460.75</v>
      </c>
      <c r="G89" s="5" t="n">
        <v>29439.25</v>
      </c>
      <c r="H89" s="5" t="n">
        <v>3</v>
      </c>
      <c r="I89" s="5" t="n">
        <v>29439.25</v>
      </c>
      <c r="J89" s="5" t="n">
        <v>29468</v>
      </c>
      <c r="K89" s="8">
        <f>IF(AND(I89&lt;&gt;"",J89&lt;&gt;"",F89&lt;&gt;""), (J89-F89)/(F89-I89), "")</f>
        <v/>
      </c>
      <c r="L89" s="8">
        <f>IF(AND(F89&lt;&gt;"",G89&lt;&gt;"",I89&lt;&gt;""), (G89-F89)/(F89-I89), "")</f>
        <v/>
      </c>
      <c r="M89" s="5">
        <f>IF(N89&gt;0,"Win",IF(N89&lt;0,"Loss",""))</f>
        <v/>
      </c>
      <c r="N89" s="16">
        <f>IF(AND(F89&lt;&gt;"",G89&lt;&gt;"",H89&lt;&gt;"",D89&lt;&gt;""), IF(E89="Long", (G89-F89)*H89*VLOOKUP(D89,Multipliers!A:B,2,FALSE), (F89-G89)*H89*VLOOKUP(D89,Multipliers!A:B,2,FALSE)), "")</f>
        <v/>
      </c>
      <c r="O89" s="9">
        <f>IF(AND(N89&lt;&gt;"",F89&lt;&gt;"",H89&lt;&gt;"",D89&lt;&gt;""), N89/(F89*H89*VLOOKUP(D89,Multipliers!A:B,2,FALSE)),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95</v>
      </c>
      <c r="B90" s="22" t="n">
        <v>46265</v>
      </c>
      <c r="C90" s="10" t="n">
        <v>0.424074074074074</v>
      </c>
      <c r="D90" s="5" t="inlineStr">
        <is>
          <t>MGC</t>
        </is>
      </c>
      <c r="E90" s="5" t="inlineStr">
        <is>
          <t>Long</t>
        </is>
      </c>
      <c r="F90" s="5" t="n">
        <v>4475.3</v>
      </c>
      <c r="G90" s="5" t="n">
        <v>4472.8</v>
      </c>
      <c r="H90" s="5" t="n">
        <v>3</v>
      </c>
      <c r="I90" s="5" t="n"/>
      <c r="J90" s="5" t="n"/>
      <c r="K90" s="8">
        <f>IF(AND(I90&lt;&gt;"",J90&lt;&gt;"",F90&lt;&gt;""), (J90-F90)/(F90-I90), "")</f>
        <v/>
      </c>
      <c r="L90" s="8">
        <f>IF(AND(F90&lt;&gt;"",G90&lt;&gt;"",I90&lt;&gt;""), (G90-F90)/(F90-I90), "")</f>
        <v/>
      </c>
      <c r="M90" s="5">
        <f>IF(N90&gt;0,"Win",IF(N90&lt;0,"Loss",""))</f>
        <v/>
      </c>
      <c r="N90" s="16">
        <f>IF(AND(F90&lt;&gt;"",G90&lt;&gt;"",H90&lt;&gt;"",D90&lt;&gt;""), IF(E90="Long", (G90-F90)*H90*VLOOKUP(D90,Multipliers!A:B,2,FALSE), (F90-G90)*H90*VLOOKUP(D90,Multipliers!A:B,2,FALSE)), "")</f>
        <v/>
      </c>
      <c r="O90" s="9">
        <f>IF(AND(N90&lt;&gt;"",F90&lt;&gt;"",H90&lt;&gt;"",D90&lt;&gt;""), N90/(F90*H90*VLOOKUP(D90,Multipliers!A:B,2,FALSE)),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MGC</t>
        </is>
      </c>
      <c r="T90" s="5" t="n"/>
      <c r="U90" s="5" t="n"/>
      <c r="V90" s="5" t="inlineStr">
        <is>
          <t>Revenge trade, 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96</v>
      </c>
      <c r="B91" s="22" t="n">
        <v>46265</v>
      </c>
      <c r="C91" s="10" t="n">
        <v>0.4248032407407407</v>
      </c>
      <c r="D91" s="5" t="inlineStr">
        <is>
          <t>MNQ</t>
        </is>
      </c>
      <c r="E91" s="5" t="inlineStr">
        <is>
          <t>Short</t>
        </is>
      </c>
      <c r="F91" s="5" t="n">
        <v>29395</v>
      </c>
      <c r="G91" s="5" t="n">
        <v>29415</v>
      </c>
      <c r="H91" s="5" t="n">
        <v>3</v>
      </c>
      <c r="I91" s="5" t="n">
        <v>29415</v>
      </c>
      <c r="J91" s="5" t="n">
        <v>29394</v>
      </c>
      <c r="K91" s="8">
        <f>IF(AND(I91&lt;&gt;"",J91&lt;&gt;"",F91&lt;&gt;""), (J91-F91)/(F91-I91), "")</f>
        <v/>
      </c>
      <c r="L91" s="8">
        <f>IF(AND(F91&lt;&gt;"",G91&lt;&gt;"",I91&lt;&gt;""), (G91-F91)/(F91-I91), "")</f>
        <v/>
      </c>
      <c r="M91" s="5">
        <f>IF(N91&gt;0,"Win",IF(N91&lt;0,"Loss",""))</f>
        <v/>
      </c>
      <c r="N91" s="16">
        <f>IF(AND(F91&lt;&gt;"",G91&lt;&gt;"",H91&lt;&gt;"",D91&lt;&gt;""), IF(E91="Long", (G91-F91)*H91*VLOOKUP(D91,Multipliers!A:B,2,FALSE), (F91-G91)*H91*VLOOKUP(D91,Multipliers!A:B,2,FALSE)), "")</f>
        <v/>
      </c>
      <c r="O91" s="9">
        <f>IF(AND(N91&lt;&gt;"",F91&lt;&gt;"",H91&lt;&gt;"",D91&lt;&gt;""), N91/(F91*H91*VLOOKUP(D91,Multipliers!A:B,2,FALSE)),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Revenge trade, 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97</v>
      </c>
      <c r="B92" s="22" t="n">
        <v>46265</v>
      </c>
      <c r="C92" s="10" t="n">
        <v>0.4452083333333333</v>
      </c>
      <c r="D92" s="5" t="inlineStr">
        <is>
          <t>MNQ</t>
        </is>
      </c>
      <c r="E92" s="5" t="inlineStr">
        <is>
          <t>Long</t>
        </is>
      </c>
      <c r="F92" s="5" t="n">
        <v>29410</v>
      </c>
      <c r="G92" s="5" t="n">
        <v>29435</v>
      </c>
      <c r="H92" s="5" t="n">
        <v>5</v>
      </c>
      <c r="I92" s="5" t="n">
        <v>29400</v>
      </c>
      <c r="J92" s="5" t="n">
        <v>29435</v>
      </c>
      <c r="K92" s="8">
        <f>IF(AND(I92&lt;&gt;"",J92&lt;&gt;"",F92&lt;&gt;""), (J92-F92)/(F92-I92), "")</f>
        <v/>
      </c>
      <c r="L92" s="8">
        <f>IF(AND(F92&lt;&gt;"",G92&lt;&gt;"",I92&lt;&gt;""), (G92-F92)/(F92-I92), "")</f>
        <v/>
      </c>
      <c r="M92" s="5">
        <f>IF(N92&gt;0,"Win",IF(N92&lt;0,"Loss",""))</f>
        <v/>
      </c>
      <c r="N92" s="16">
        <f>IF(AND(F92&lt;&gt;"",G92&lt;&gt;"",H92&lt;&gt;"",D92&lt;&gt;""), IF(E92="Long", (G92-F92)*H92*VLOOKUP(D92,Multipliers!A:B,2,FALSE), (F92-G92)*H92*VLOOKUP(D92,Multipliers!A:B,2,FALSE)), "")</f>
        <v/>
      </c>
      <c r="O92" s="9">
        <f>IF(AND(N92&lt;&gt;"",F92&lt;&gt;"",H92&lt;&gt;"",D92&lt;&gt;""), N92/(F92*H92*VLOOKUP(D92,Multipliers!A:B,2,FALSE)),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98</v>
      </c>
      <c r="B93" s="22" t="n">
        <v>46265</v>
      </c>
      <c r="C93" s="10" t="n">
        <v>0.4496643518518518</v>
      </c>
      <c r="D93" s="5" t="inlineStr">
        <is>
          <t>MNQ</t>
        </is>
      </c>
      <c r="E93" s="5" t="inlineStr">
        <is>
          <t>Long</t>
        </is>
      </c>
      <c r="F93" s="5" t="n">
        <v>29408.5</v>
      </c>
      <c r="G93" s="5" t="n">
        <v>29399.75</v>
      </c>
      <c r="H93" s="5" t="n">
        <v>5</v>
      </c>
      <c r="I93" s="5" t="n">
        <v>29392.75</v>
      </c>
      <c r="J93" s="5" t="n">
        <v>29443.25</v>
      </c>
      <c r="K93" s="8">
        <f>IF(AND(I93&lt;&gt;"",J93&lt;&gt;"",F93&lt;&gt;""), (J93-F93)/(F93-I93), "")</f>
        <v/>
      </c>
      <c r="L93" s="8">
        <f>IF(AND(F93&lt;&gt;"",G93&lt;&gt;"",I93&lt;&gt;""), (G93-F93)/(F93-I93), "")</f>
        <v/>
      </c>
      <c r="M93" s="5">
        <f>IF(N93&gt;0,"Win",IF(N93&lt;0,"Loss",""))</f>
        <v/>
      </c>
      <c r="N93" s="16">
        <f>IF(AND(F93&lt;&gt;"",G93&lt;&gt;"",H93&lt;&gt;"",D93&lt;&gt;""), IF(E93="Long", (G93-F93)*H93*VLOOKUP(D93,Multipliers!A:B,2,FALSE), (F93-G93)*H93*VLOOKUP(D93,Multipliers!A:B,2,FALSE)), "")</f>
        <v/>
      </c>
      <c r="O93" s="9">
        <f>IF(AND(N93&lt;&gt;"",F93&lt;&gt;"",H93&lt;&gt;"",D93&lt;&gt;""), N93/(F93*H93*VLOOKUP(D93,Multipliers!A:B,2,FALSE)),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MNQ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99</v>
      </c>
      <c r="B94" s="22" t="n">
        <v>46265</v>
      </c>
      <c r="C94" s="10" t="n">
        <v>0.4505324074074074</v>
      </c>
      <c r="D94" s="5" t="inlineStr">
        <is>
          <t>MNQ</t>
        </is>
      </c>
      <c r="E94" s="5" t="inlineStr">
        <is>
          <t>Long</t>
        </is>
      </c>
      <c r="F94" s="5" t="n">
        <v>29401.5</v>
      </c>
      <c r="G94" s="5" t="n">
        <v>29392</v>
      </c>
      <c r="H94" s="5" t="n">
        <v>3</v>
      </c>
      <c r="I94" s="5" t="n">
        <v>29392.75</v>
      </c>
      <c r="J94" s="5" t="n">
        <v>29443.25</v>
      </c>
      <c r="K94" s="8">
        <f>IF(AND(I94&lt;&gt;"",J94&lt;&gt;"",F94&lt;&gt;""), (J94-F94)/(F94-I94), "")</f>
        <v/>
      </c>
      <c r="L94" s="8">
        <f>IF(AND(F94&lt;&gt;"",G94&lt;&gt;"",I94&lt;&gt;""), (G94-F94)/(F94-I94), "")</f>
        <v/>
      </c>
      <c r="M94" s="5">
        <f>IF(N94&gt;0,"Win",IF(N94&lt;0,"Loss",""))</f>
        <v/>
      </c>
      <c r="N94" s="16">
        <f>IF(AND(F94&lt;&gt;"",G94&lt;&gt;"",H94&lt;&gt;"",D94&lt;&gt;""), IF(E94="Long", (G94-F94)*H94*VLOOKUP(D94,Multipliers!A:B,2,FALSE), (F94-G94)*H94*VLOOKUP(D94,Multipliers!A:B,2,FALSE)), "")</f>
        <v/>
      </c>
      <c r="O94" s="9">
        <f>IF(AND(N94&lt;&gt;"",F94&lt;&gt;"",H94&lt;&gt;"",D94&lt;&gt;""), N94/(F94*H94*VLOOKUP(D94,Multipliers!A:B,2,FALSE)),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MNQ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6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6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00:21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82</v>
      </c>
    </row>
    <row r="5">
      <c r="A5" t="inlineStr">
        <is>
          <t>Win rate</t>
        </is>
      </c>
      <c r="B5" t="inlineStr">
        <is>
          <t>56.1%</t>
        </is>
      </c>
    </row>
    <row r="6">
      <c r="A6" t="inlineStr">
        <is>
          <t>Total P&amp;L</t>
        </is>
      </c>
      <c r="B6" t="n">
        <v>2080.5</v>
      </c>
    </row>
    <row r="7">
      <c r="A7" t="inlineStr">
        <is>
          <t>Profit factor</t>
        </is>
      </c>
      <c r="B7" t="n">
        <v>1.28</v>
      </c>
    </row>
    <row r="8">
      <c r="A8" t="inlineStr">
        <is>
          <t>Expectancy / trade</t>
        </is>
      </c>
      <c r="B8" t="n">
        <v>25.37</v>
      </c>
    </row>
    <row r="9">
      <c r="A9" t="inlineStr">
        <is>
          <t>Avg win</t>
        </is>
      </c>
      <c r="B9" t="n">
        <v>209.41</v>
      </c>
    </row>
    <row r="10">
      <c r="A10" t="inlineStr">
        <is>
          <t>Avg loss</t>
        </is>
      </c>
      <c r="B10" t="n">
        <v>-209.79</v>
      </c>
    </row>
    <row r="11">
      <c r="A11" t="inlineStr">
        <is>
          <t>Avg RR targeted</t>
        </is>
      </c>
      <c r="B11" t="n">
        <v>1.33</v>
      </c>
    </row>
    <row r="12">
      <c r="A12" t="inlineStr">
        <is>
          <t>Avg RR realized</t>
        </is>
      </c>
      <c r="B12" t="n">
        <v>0.02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78</v>
      </c>
      <c r="C19" t="inlineStr">
        <is>
          <t>55%</t>
        </is>
      </c>
      <c r="D19" t="n">
        <v>1947.5</v>
      </c>
      <c r="E19" t="n">
        <v>24.97</v>
      </c>
    </row>
    <row r="20">
      <c r="A20" t="inlineStr">
        <is>
          <t>Gap up</t>
        </is>
      </c>
      <c r="B20" t="n">
        <v>1</v>
      </c>
      <c r="C20" t="inlineStr">
        <is>
          <t>100%</t>
        </is>
      </c>
      <c r="D20" t="n">
        <v>199</v>
      </c>
      <c r="E20" t="n">
        <v>199</v>
      </c>
    </row>
    <row r="21">
      <c r="A21" t="inlineStr">
        <is>
          <t>Rejection</t>
        </is>
      </c>
      <c r="B21" t="n">
        <v>1</v>
      </c>
      <c r="C21" t="inlineStr">
        <is>
          <t>100%</t>
        </is>
      </c>
      <c r="D21" t="n">
        <v>134</v>
      </c>
      <c r="E21" t="n">
        <v>134</v>
      </c>
    </row>
    <row r="22">
      <c r="A22" t="inlineStr">
        <is>
          <t>ZTH Indicator</t>
        </is>
      </c>
      <c r="B22" t="n">
        <v>1</v>
      </c>
      <c r="C22" t="inlineStr">
        <is>
          <t>100%</t>
        </is>
      </c>
      <c r="D22" t="n">
        <v>25</v>
      </c>
      <c r="E22" t="n">
        <v>25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46</v>
      </c>
      <c r="C27" t="inlineStr">
        <is>
          <t>57%</t>
        </is>
      </c>
      <c r="D27" t="n">
        <v>1709</v>
      </c>
      <c r="E27" t="n">
        <v>37.15</v>
      </c>
    </row>
    <row r="28">
      <c r="A28" t="inlineStr">
        <is>
          <t>MNQ</t>
        </is>
      </c>
      <c r="B28" t="n">
        <v>36</v>
      </c>
      <c r="C28" t="inlineStr">
        <is>
          <t>56%</t>
        </is>
      </c>
      <c r="D28" t="n">
        <v>371.5</v>
      </c>
      <c r="E28" t="n">
        <v>10.32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45</v>
      </c>
      <c r="C32" t="inlineStr">
        <is>
          <t>53%</t>
        </is>
      </c>
      <c r="D32" t="n">
        <v>2349</v>
      </c>
      <c r="E32" t="n">
        <v>52.2</v>
      </c>
    </row>
    <row r="33">
      <c r="A33" t="inlineStr">
        <is>
          <t>Short</t>
        </is>
      </c>
      <c r="B33" t="n">
        <v>37</v>
      </c>
      <c r="C33" t="inlineStr">
        <is>
          <t>59%</t>
        </is>
      </c>
      <c r="D33" t="n">
        <v>-268.5</v>
      </c>
      <c r="E33" t="n">
        <v>-7.26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2</v>
      </c>
      <c r="C37" t="inlineStr">
        <is>
          <t>100%</t>
        </is>
      </c>
      <c r="D37" t="n">
        <v>63</v>
      </c>
      <c r="E37" t="n">
        <v>31.5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15</v>
      </c>
      <c r="C39" t="inlineStr">
        <is>
          <t>73%</t>
        </is>
      </c>
      <c r="D39" t="n">
        <v>1902.5</v>
      </c>
      <c r="E39" t="n">
        <v>126.83</v>
      </c>
    </row>
    <row r="40">
      <c r="A40" t="inlineStr">
        <is>
          <t>10:00</t>
        </is>
      </c>
      <c r="B40" t="n">
        <v>16</v>
      </c>
      <c r="C40" t="inlineStr">
        <is>
          <t>50%</t>
        </is>
      </c>
      <c r="D40" t="n">
        <v>295.5</v>
      </c>
      <c r="E40" t="n">
        <v>18.47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5</v>
      </c>
      <c r="C49" t="inlineStr">
        <is>
          <t>80%</t>
        </is>
      </c>
      <c r="D49" t="n">
        <v>503</v>
      </c>
      <c r="E49" t="n">
        <v>100.6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5</v>
      </c>
      <c r="C51" t="inlineStr">
        <is>
          <t>40%</t>
        </is>
      </c>
      <c r="D51" t="n">
        <v>-805</v>
      </c>
      <c r="E51" t="n">
        <v>-161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7</v>
      </c>
      <c r="C57" t="inlineStr">
        <is>
          <t>57%</t>
        </is>
      </c>
      <c r="D57" t="n">
        <v>387</v>
      </c>
      <c r="E57" t="n">
        <v>55.29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8</v>
      </c>
      <c r="C59" t="inlineStr">
        <is>
          <t>50%</t>
        </is>
      </c>
      <c r="D59" t="n">
        <v>-190.5</v>
      </c>
      <c r="E59" t="n">
        <v>-23.81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Possible revenge trade</t>
        </is>
      </c>
      <c r="B66" t="inlineStr">
        <is>
          <t>MGC Short at 08/11 19:34 — 4 min after a loss, size 10</t>
        </is>
      </c>
    </row>
    <row r="67">
      <c r="A67" t="inlineStr">
        <is>
          <t>Possible revenge trade</t>
        </is>
      </c>
      <c r="B67" t="inlineStr">
        <is>
          <t>MGC Long at 08/11 23:25 — 14 min after a loss, size 10</t>
        </is>
      </c>
    </row>
    <row r="68">
      <c r="A68" t="inlineStr">
        <is>
          <t>Possible revenge trade</t>
        </is>
      </c>
      <c r="B68" t="inlineStr">
        <is>
          <t>MGC Short at 08/11 23:36 — 11 min after a loss, size 20</t>
        </is>
      </c>
    </row>
    <row r="69">
      <c r="A69" t="inlineStr">
        <is>
          <t>Possible revenge trade</t>
        </is>
      </c>
      <c r="B69" t="inlineStr">
        <is>
          <t>MGC Short at 08/13 22:59 — 9 min after a loss, size 3</t>
        </is>
      </c>
    </row>
    <row r="70">
      <c r="A70" t="inlineStr">
        <is>
          <t>Possible revenge trade</t>
        </is>
      </c>
      <c r="B70" t="inlineStr">
        <is>
          <t>MGC Long at 08/18 10:08 — 8 min after a loss, size 3</t>
        </is>
      </c>
    </row>
    <row r="71">
      <c r="A71" t="inlineStr">
        <is>
          <t>Possible revenge trade</t>
        </is>
      </c>
      <c r="B71" t="inlineStr">
        <is>
          <t>MNQ Short at 08/18 10:21 — 5 min after a loss, size 3</t>
        </is>
      </c>
    </row>
    <row r="72">
      <c r="A72" t="inlineStr">
        <is>
          <t>Possible revenge trade</t>
        </is>
      </c>
      <c r="B72" t="inlineStr">
        <is>
          <t>MGC Long at 08/23 19:46 — 11 min after a loss, size 1</t>
        </is>
      </c>
    </row>
    <row r="73">
      <c r="A73" t="inlineStr">
        <is>
          <t>Possible revenge trade</t>
        </is>
      </c>
      <c r="B73" t="inlineStr">
        <is>
          <t>MGC Long at 08/23 20:28 — 5 min after a loss, size 2</t>
        </is>
      </c>
    </row>
    <row r="74">
      <c r="A74" t="inlineStr">
        <is>
          <t>Possible revenge trade</t>
        </is>
      </c>
      <c r="B74" t="inlineStr">
        <is>
          <t>MNQ Short at 08/24 11:13 — 15 min after a loss, size 5</t>
        </is>
      </c>
    </row>
    <row r="75">
      <c r="A75" t="inlineStr">
        <is>
          <t>Possible revenge trade</t>
        </is>
      </c>
      <c r="B75" t="inlineStr">
        <is>
          <t>MGC Short at 08/26 11:55 — 9 min after a loss, size 5</t>
        </is>
      </c>
    </row>
    <row r="76">
      <c r="A76" t="inlineStr">
        <is>
          <t>Possible revenge trade</t>
        </is>
      </c>
      <c r="B76" t="inlineStr">
        <is>
          <t>MNQ Long at 08/26 21:16 — 11 min after a loss, size 12</t>
        </is>
      </c>
    </row>
    <row r="77">
      <c r="A77" t="inlineStr">
        <is>
          <t>Stop overrun</t>
        </is>
      </c>
      <c r="B77" t="inlineStr">
        <is>
          <t>MNQ 08/12 11:57 realized RR -1.19 (worse than -1R)</t>
        </is>
      </c>
    </row>
    <row r="78">
      <c r="A78" t="inlineStr">
        <is>
          <t>Stop overrun</t>
        </is>
      </c>
      <c r="B78" t="inlineStr">
        <is>
          <t>MNQ 08/18 10:21 realized RR -1.19 (worse than -1R)</t>
        </is>
      </c>
    </row>
    <row r="79">
      <c r="A79" t="inlineStr">
        <is>
          <t>Winner cut short</t>
        </is>
      </c>
      <c r="B79" t="inlineStr">
        <is>
          <t>MGC 08/11 19:27 took 0.18R of 0.42R target</t>
        </is>
      </c>
    </row>
    <row r="80">
      <c r="A80" t="inlineStr">
        <is>
          <t>Winner cut short</t>
        </is>
      </c>
      <c r="B80" t="inlineStr">
        <is>
          <t>MNQ 08/25 10:32 took 0.49R of 2.16R target</t>
        </is>
      </c>
    </row>
    <row r="81">
      <c r="A81" t="inlineStr">
        <is>
          <t>Inconsistent sizing</t>
        </is>
      </c>
      <c r="B81" t="inlineStr">
        <is>
          <t>Position size varies a lot (CV 1.10)</t>
        </is>
      </c>
    </row>
    <row r="82">
      <c r="A82" t="inlineStr">
        <is>
          <t>Negative-edge hour</t>
        </is>
      </c>
      <c r="B82" t="inlineStr">
        <is>
          <t>12:00: 6 trades, 83% win, $-2 total</t>
        </is>
      </c>
    </row>
    <row r="83">
      <c r="A83" t="inlineStr">
        <is>
          <t>Negative-edge hour</t>
        </is>
      </c>
      <c r="B83" t="inlineStr">
        <is>
          <t>11:00: 10 trades, 40% win, $-139 total</t>
        </is>
      </c>
    </row>
    <row r="84">
      <c r="A84" t="inlineStr">
        <is>
          <t>Negative-edge hour</t>
        </is>
      </c>
      <c r="B84" t="inlineStr">
        <is>
          <t>23:00: 5 trades, 40% win, $-805 total</t>
        </is>
      </c>
    </row>
    <row r="85">
      <c r="A85" t="inlineStr">
        <is>
          <t>Negative-edge hour</t>
        </is>
      </c>
      <c r="B85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## Overall Read</t>
        </is>
      </c>
    </row>
    <row r="4">
      <c r="A4" s="14" t="inlineStr"/>
    </row>
    <row r="5">
      <c r="A5" s="14" t="inlineStr">
        <is>
          <t>You made **+$2,080.50** across 82 trades this stretch — profitable, but on thin ice. PF 1.28 and expectancy of **$25.37/trade** is a real but fragile edge, and the breakdown shows that edge is far more concentrated and fragile than the top-line number suggests.</t>
        </is>
      </c>
    </row>
    <row r="6">
      <c r="A6" s="14" t="inlineStr"/>
    </row>
    <row r="7">
      <c r="A7" s="14" t="inlineStr">
        <is>
          <t>**The single biggest red flag in this data:** your **oversized trades are carrying the entire month.** The 13 trades tagged "Oversized" produced **$1,377.50 of your $2,080.50 total P&amp;L (66%)**. Strip those out and your other 69 trades made just ~$703, or **~$10/trade expectancy** — barely above breakeven. You are not yet a consistently profitable trader at your normal size; you're a breakeven-ish trader who got bailed out by a handful of oversized, often impulsive bets that happened to work. That's not repeatable — it's variance you got paid for this time.</t>
        </is>
      </c>
    </row>
    <row r="8">
      <c r="A8" s="14" t="inlineStr"/>
    </row>
    <row r="9">
      <c r="A9" s="14" t="inlineStr">
        <is>
          <t>## 1. Your RR math is inverted — this is costing you the most</t>
        </is>
      </c>
    </row>
    <row r="10">
      <c r="A10" s="14" t="inlineStr"/>
    </row>
    <row r="11">
      <c r="A11" s="14" t="inlineStr">
        <is>
          <t>- **Targeted RR: 1.33 → Realized RR: 0.02.** That's not a rounding gap, that's your entire edge evaporating between plan and execution.</t>
        </is>
      </c>
    </row>
    <row r="12">
      <c r="A12" s="14" t="inlineStr">
        <is>
          <t>- Confirming this: **avg_win ($209.41) ≈ avg_loss (-$209.79)** almost exactly, even though you're supposedly targeting 1.33:1. Your edge is currently 100% win-rate-driven (56%), 0% reward-driven — which is a fragile place to live.</t>
        </is>
      </c>
    </row>
    <row r="13">
      <c r="A13" s="14" t="inlineStr">
        <is>
          <t>- Two flagged mechanisms explain it:</t>
        </is>
      </c>
    </row>
    <row r="14">
      <c r="A14" s="14" t="inlineStr">
        <is>
          <t xml:space="preserve">  - **Winners cut short:** MGC 08/11 took 0.18R of a 0.42R target; MNQ 08/25 10:32 took **0.49R of a 2.16R target** (visible in your log — you closed a trade that was tracking for 2.16R at less than a quarter of the way there).</t>
        </is>
      </c>
    </row>
    <row r="15">
      <c r="A15" s="14" t="inlineStr">
        <is>
          <t xml:space="preserve">  - **Stops overrun:** MNQ 08/12 and MNQ 08/18 both ran to **-1.19R**, worse than planned risk. Notably, the 08/18 overrun happened *during a revenge trade* — compounding the two worst habits at once.</t>
        </is>
      </c>
    </row>
    <row r="16">
      <c r="A16" s="14" t="inlineStr"/>
    </row>
    <row r="17">
      <c r="A17" s="14" t="inlineStr">
        <is>
          <t>**Fix:** you're managing risk in the wrong direction — clamping winners, loosening losers. Put a hard rule in place: once a stop is set, it does not move against you, full stop (literally). And build a mechanical partial/trail rule for winners past 1R so "flinching and taking 0.5R" isn't a decision you get to make in the moment.</t>
        </is>
      </c>
    </row>
    <row r="18">
      <c r="A18" s="14" t="inlineStr"/>
    </row>
    <row r="19">
      <c r="A19" s="14" t="inlineStr">
        <is>
          <t>## 2. Revenge trading is currently profitable — that will not last</t>
        </is>
      </c>
    </row>
    <row r="20">
      <c r="A20" s="14" t="inlineStr"/>
    </row>
    <row r="21">
      <c r="A21" s="14" t="inlineStr">
        <is>
          <t>12 trades flagged as revenge entries (within minutes of a prior loss) net **+$2,286** with a 58% win rate. Good result, terrible process. Look at the size pattern: your normal size is 2–3 contracts, but revenge trades show **size 10, size 20, size 12** — 4-6x normal. You got away with it this time (e.g., the size-12 MNQ long on 08/26 21:16 worked, +$302). One of these will be the size-20 version of your -$1,310 largest loss, and it will erase weeks of grinding. Combined with the "Inconsistent sizing" flag (CV 1.10), this tells me sizing is currently emotional, not systematic.</t>
        </is>
      </c>
    </row>
    <row r="22">
      <c r="A22" s="14" t="inlineStr"/>
    </row>
    <row r="23">
      <c r="A23" s="14" t="inlineStr">
        <is>
          <t>**Fix:** hard cooldown rule — no re-entry within N minutes of a loss, and size caps that don't flex upward intraday regardless of conviction.</t>
        </is>
      </c>
    </row>
    <row r="24">
      <c r="A24" s="14" t="inlineStr"/>
    </row>
    <row r="25">
      <c r="A25" s="14" t="inlineStr">
        <is>
          <t>## 3. Your setup filter data is the best news in here — use it</t>
        </is>
      </c>
    </row>
    <row r="26">
      <c r="A26" s="14" t="inlineStr"/>
    </row>
    <row r="27">
      <c r="A27" s="14" t="inlineStr">
        <is>
          <t>You have excellent indicator-tagging discipline, and it reveals a very clean signal:</t>
        </is>
      </c>
    </row>
    <row r="28">
      <c r="A28" s="14" t="inlineStr"/>
    </row>
    <row r="29">
      <c r="A29" s="14" t="inlineStr">
        <is>
          <t>| Filter | Expectancy | N |</t>
        </is>
      </c>
    </row>
    <row r="30">
      <c r="A30" s="14" t="inlineStr">
        <is>
          <t>|---|---|---|</t>
        </is>
      </c>
    </row>
    <row r="31">
      <c r="A31" s="14" t="inlineStr">
        <is>
          <t>| Pullback grade: **Good** | **+$189.20** | 25 |</t>
        </is>
      </c>
    </row>
    <row r="32">
      <c r="A32" s="14" t="inlineStr">
        <is>
          <t>| Pullback grade: Weak | **-$45.14** | 42 |</t>
        </is>
      </c>
    </row>
    <row r="33">
      <c r="A33" s="14" t="inlineStr">
        <is>
          <t>| Pullback grade: No setup | **-$55.19** | 13 |</t>
        </is>
      </c>
    </row>
    <row r="34">
      <c r="A34" s="14" t="inlineStr">
        <is>
          <t>| With 1H trend | +$66.77 | 51 |</t>
        </is>
      </c>
    </row>
    <row r="35">
      <c r="A35" s="14" t="inlineStr">
        <is>
          <t>| Against/unclear 1H trend | -$42.74 | 31 |</t>
        </is>
      </c>
    </row>
    <row r="36">
      <c r="A36" s="14" t="inlineStr">
        <is>
          <t>| At a key level | +$75.79 | 56 |</t>
        </is>
      </c>
    </row>
    <row r="37">
      <c r="A37" s="14" t="inlineStr">
        <is>
          <t>| Not at a key level | -$83.23 | 26 |</t>
        </is>
      </c>
    </row>
    <row r="38">
      <c r="A38" s="14" t="inlineStr">
        <is>
          <t>| ADX ≥ 25 (trend) | +$63.74 | 35 |</t>
        </is>
      </c>
    </row>
    <row r="39">
      <c r="A39" s="14" t="inlineStr">
        <is>
          <t>| ADX &lt; 20 (chop) | -$53.12 | 29 |</t>
        </is>
      </c>
    </row>
    <row r="40">
      <c r="A40" s="14" t="inlineStr">
        <is>
          <t>| MACD with trade | +$72.17 | 48 |</t>
        </is>
      </c>
    </row>
    <row r="41">
      <c r="A41" s="14" t="inlineStr">
        <is>
          <t>| MACD against trade | -$40.69 | 34 |</t>
        </is>
      </c>
    </row>
    <row r="42">
      <c r="A42" s="14" t="inlineStr"/>
    </row>
    <row r="43">
      <c r="A43" s="14" t="inlineStr">
        <is>
          <t>**67% of your trades (55 of 82) are graded "Weak" or "No setup" pullbacks, and they're bleeding money** (-$45 to -$55 expectancy each). Meanwhile every trade graded "Good" nets +$189 on average. This is the cleanest, most actionable finding in the data: your Break-and-Retest setup *works* — you just take it on too many mediocre pullbacks. If you simply refused every trade that wasn't graded Good/A+, at-key-level, with the 1H trend, and with MACD confirming, your expectancy would likely triple. This is a selection problem, not an execution problem.</t>
        </is>
      </c>
    </row>
    <row r="44">
      <c r="A44" s="14" t="inlineStr"/>
    </row>
    <row r="45">
      <c r="A45" s="14" t="inlineStr">
        <is>
          <t>## 4. Time &amp; day patterns worth respecting</t>
        </is>
      </c>
    </row>
    <row r="46">
      <c r="A46" s="14" t="inlineStr"/>
    </row>
    <row r="47">
      <c r="A47" s="14" t="inlineStr">
        <is>
          <t>- **09:00 hour is your gold mine:** 15 trades, 73% win rate, **+$126.83 expectancy**. Whatever you're doing at the open, do more of it.</t>
        </is>
      </c>
    </row>
    <row r="48">
      <c r="A48" s="14" t="inlineStr">
        <is>
          <t>- **19:00 and 23:00 are bleeding you dry:** -$1,470.50 and -$805 respectively, both driven by a few outsized losses rather than low win rate (19:00 is actually 57% winners but still net deeply negative — meaning your losers in that window are large). These look like late-session/overnight fatigue trades.</t>
        </is>
      </c>
    </row>
    <row r="49">
      <c r="A49" s="14" t="inlineStr">
        <is>
          <t>- **Wed and Tue carry the most volume (25 and 21 trades) but are flat-to-negative** (-$8.50 and -$425), while your lower-volume days (Thu, Fri, Sun) are strongly profitable. You may be trading size/frequency on the wrong days — the days you trade most aren't your best days.</t>
        </is>
      </c>
    </row>
    <row r="50">
      <c r="A50" s="14" t="inlineStr"/>
    </row>
    <row r="51">
      <c r="A51" s="14" t="inlineStr">
        <is>
          <t>## 5. Longs are your book; shorts are dead weight</t>
        </is>
      </c>
    </row>
    <row r="52">
      <c r="A52" s="14" t="inlineStr"/>
    </row>
    <row r="53">
      <c r="A53" s="14" t="inlineStr">
        <is>
          <t>Longs: +$2,349, 53% win, expectancy +$52.20. Shorts: **-$268, 59% win rate but expectancy -$7.26** — you win shorts *more often* than longs but make *less* on them, meaning your short-side RR management is specifically worse than your long-side. Worth isolating in review: are you cutting short winners faster or letting short losers run further than on longs?</t>
        </is>
      </c>
    </row>
    <row r="54">
      <c r="A54" s="14" t="inlineStr"/>
    </row>
    <row r="55">
      <c r="A55" s="14" t="inlineStr">
        <is>
          <t>## Priority action list</t>
        </is>
      </c>
    </row>
    <row r="56">
      <c r="A56" s="14" t="inlineStr">
        <is>
          <t>1. **Stop sizing up on tilt.** Cap size mechanically; no exceptions in the moment. This is the highest-consequence leak even though it hasn't bitten you yet.</t>
        </is>
      </c>
    </row>
    <row r="57">
      <c r="A57" s="14" t="inlineStr">
        <is>
          <t>2. **Only take Break-and-Retest when pullback grade is Good/A+.** Skip Weak and No-setup grades entirely for a month and compare.</t>
        </is>
      </c>
    </row>
    <row r="58">
      <c r="A58" s="14" t="inlineStr">
        <is>
          <t>3. **Fix the RR asymmetry:** stops don't widen, winners get a mechanical trail/partial past 1R instead of discretionary early exits.</t>
        </is>
      </c>
    </row>
    <row r="59">
      <c r="A59" s="14" t="inlineStr">
        <is>
          <t>4. **Review your short-side exit process** separately from longs — same setup, worse RR outcome.</t>
        </is>
      </c>
    </row>
    <row r="60">
      <c r="A60" s="14" t="inlineStr">
        <is>
          <t>5. **Look hard at what happens after 18:00** — that's where your largest, least-explained losses cluster.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Y4" t="inlineStr"/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Y5" t="inlineStr"/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Y6" t="inlineStr"/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Y8" t="inlineStr"/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1.94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Y11" t="inlineStr"/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0.8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O15" t="inlineStr"/>
      <c r="P15" t="inlineStr"/>
      <c r="Q15" t="inlineStr"/>
      <c r="R15" t="inlineStr"/>
      <c r="S15" t="inlineStr"/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Y15" t="inlineStr"/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1.16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0.78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Y17" t="inlineStr"/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0.87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bearish engulfing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0.63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Y22" t="inlineStr"/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1.08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bullish engulfing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0.5600000000000001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4.21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0.6899999999999999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bearish engulfing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1.02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Y29" t="inlineStr"/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0.74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0.74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0.77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Y32" t="inlineStr"/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0.67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Y33" t="inlineStr"/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0.64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1.51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1.22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1.44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1.36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0.97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0.74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Y44" t="inlineStr"/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0.89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1.07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Y47" t="inlineStr"/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1.73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3.05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T51" t="inlineStr"/>
      <c r="U51" t="inlineStr"/>
      <c r="V51" t="inlineStr">
        <is>
          <t>Weak</t>
        </is>
      </c>
      <c r="W51" t="n">
        <v>1</v>
      </c>
      <c r="X51" t="inlineStr">
        <is>
          <t>Round</t>
        </is>
      </c>
      <c r="Y51" t="inlineStr"/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1.84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0.92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O54" t="inlineStr"/>
      <c r="P54" t="inlineStr"/>
      <c r="Q54" t="inlineStr"/>
      <c r="R54" t="inlineStr"/>
      <c r="S54" t="inlineStr"/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0.91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1.16</v>
      </c>
      <c r="S58" t="n">
        <v>-12925</v>
      </c>
      <c r="T58" t="inlineStr"/>
      <c r="U58" t="inlineStr"/>
      <c r="V58" t="inlineStr">
        <is>
          <t>No setup</t>
        </is>
      </c>
      <c r="W58" t="n">
        <v>0</v>
      </c>
      <c r="X58" t="inlineStr">
        <is>
          <t>Round</t>
        </is>
      </c>
      <c r="Y58" t="inlineStr"/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1.76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Y59" t="inlineStr"/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1.15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Y67" t="inlineStr"/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1.07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1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0.61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bullish engulfing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Y71" t="inlineStr"/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1.27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0.51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Y73" t="inlineStr"/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>
        <is>
          <t>bullish engulfing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0.78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9.59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1.34</v>
      </c>
      <c r="S77" t="n">
        <v>-1405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1.62</v>
      </c>
      <c r="S78" t="n">
        <v>7992</v>
      </c>
      <c r="T78" t="inlineStr"/>
      <c r="U78" t="inlineStr"/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1.43</v>
      </c>
      <c r="S79" t="n">
        <v>19065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Y79" t="inlineStr"/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1.57</v>
      </c>
      <c r="S80" t="n">
        <v>-22938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down</t>
        </is>
      </c>
      <c r="J81" t="n">
        <v>41.4</v>
      </c>
      <c r="K81" t="inlineStr">
        <is>
          <t>bear</t>
        </is>
      </c>
      <c r="L81" t="inlineStr">
        <is>
          <t>+</t>
        </is>
      </c>
      <c r="M81" t="n">
        <v>41.8</v>
      </c>
      <c r="N81" t="n">
        <v>6.92</v>
      </c>
      <c r="O81" t="inlineStr"/>
      <c r="P81" t="inlineStr"/>
      <c r="Q81" t="inlineStr"/>
      <c r="R81" t="inlineStr"/>
      <c r="S81" t="inlineStr"/>
      <c r="T81" t="n">
        <v>87</v>
      </c>
      <c r="U81" t="inlineStr">
        <is>
          <t>broke the leg (reversal risk)</t>
        </is>
      </c>
      <c r="V81" t="inlineStr">
        <is>
          <t>No setup</t>
        </is>
      </c>
      <c r="W81" t="n">
        <v>0</v>
      </c>
      <c r="X81" t="inlineStr">
        <is>
          <t>Round</t>
        </is>
      </c>
      <c r="Y81" t="inlineStr"/>
      <c r="Z81" t="n">
        <v>0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down</t>
        </is>
      </c>
      <c r="J82" t="n">
        <v>48.9</v>
      </c>
      <c r="K82" t="inlineStr">
        <is>
          <t>bear</t>
        </is>
      </c>
      <c r="L82" t="inlineStr">
        <is>
          <t>+</t>
        </is>
      </c>
      <c r="M82" t="n">
        <v>37.9</v>
      </c>
      <c r="N82" t="n">
        <v>6.88</v>
      </c>
      <c r="O82" t="n">
        <v>4508.79</v>
      </c>
      <c r="P82" t="inlineStr">
        <is>
          <t>above</t>
        </is>
      </c>
      <c r="Q82" t="n">
        <v>4507.59</v>
      </c>
      <c r="R82" t="n">
        <v>5.83</v>
      </c>
      <c r="S82" t="n">
        <v>1941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1.74</v>
      </c>
      <c r="AA82" t="inlineStr">
        <is>
          <t>Yes</t>
        </is>
      </c>
      <c r="AB82" t="inlineStr">
        <is>
          <t>Yes</t>
        </is>
      </c>
    </row>
    <row r="83">
      <c r="A83" t="inlineStr">
        <is>
          <t>2026-08-30</t>
        </is>
      </c>
      <c r="B83" t="inlineStr">
        <is>
          <t>21:25</t>
        </is>
      </c>
      <c r="C83" t="inlineStr">
        <is>
          <t>MGC</t>
        </is>
      </c>
      <c r="D83" t="inlineStr">
        <is>
          <t>Short</t>
        </is>
      </c>
      <c r="E83" t="n">
        <v>42</v>
      </c>
      <c r="F83" t="inlineStr">
        <is>
          <t>down</t>
        </is>
      </c>
      <c r="G83" t="inlineStr">
        <is>
          <t>down</t>
        </is>
      </c>
      <c r="H83" t="inlineStr">
        <is>
          <t>down</t>
        </is>
      </c>
      <c r="I83" t="inlineStr">
        <is>
          <t>down</t>
        </is>
      </c>
      <c r="J83" t="n">
        <v>41.9</v>
      </c>
      <c r="K83" t="inlineStr">
        <is>
          <t>bear</t>
        </is>
      </c>
      <c r="L83" t="inlineStr">
        <is>
          <t>-</t>
        </is>
      </c>
      <c r="M83" t="n">
        <v>18.1</v>
      </c>
      <c r="N83" t="n">
        <v>9.199999999999999</v>
      </c>
      <c r="O83" t="n">
        <v>4505.22</v>
      </c>
      <c r="P83" t="inlineStr">
        <is>
          <t>below</t>
        </is>
      </c>
      <c r="Q83" t="n">
        <v>4507.43</v>
      </c>
      <c r="R83" t="n">
        <v>1.08</v>
      </c>
      <c r="S83" t="n">
        <v>4282</v>
      </c>
      <c r="T83" t="n">
        <v>23</v>
      </c>
      <c r="U83" t="inlineStr">
        <is>
          <t>shallow</t>
        </is>
      </c>
      <c r="V83" t="inlineStr">
        <is>
          <t>No setup</t>
        </is>
      </c>
      <c r="W83" t="n">
        <v>0</v>
      </c>
      <c r="X83" t="inlineStr">
        <is>
          <t>No</t>
        </is>
      </c>
      <c r="Y83" t="inlineStr">
        <is>
          <t>strong bearish close</t>
        </is>
      </c>
      <c r="Z83" t="n">
        <v>0.58</v>
      </c>
      <c r="AA83" t="inlineStr">
        <is>
          <t>Yes</t>
        </is>
      </c>
      <c r="AB83" t="inlineStr">
        <is>
          <t>Yes</t>
        </is>
      </c>
    </row>
    <row r="84">
      <c r="A84" t="inlineStr">
        <is>
          <t>2026-08-30</t>
        </is>
      </c>
      <c r="B84" t="inlineStr">
        <is>
          <t>23:30</t>
        </is>
      </c>
      <c r="C84" t="inlineStr">
        <is>
          <t>MGC</t>
        </is>
      </c>
      <c r="D84" t="inlineStr">
        <is>
          <t>Short</t>
        </is>
      </c>
      <c r="E84" t="n">
        <v>326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45.4</v>
      </c>
      <c r="K84" t="inlineStr">
        <is>
          <t>bear</t>
        </is>
      </c>
      <c r="L84" t="inlineStr">
        <is>
          <t>+</t>
        </is>
      </c>
      <c r="M84" t="n">
        <v>27.7</v>
      </c>
      <c r="N84" t="n">
        <v>7.94</v>
      </c>
      <c r="O84" t="n">
        <v>4490.93</v>
      </c>
      <c r="P84" t="inlineStr">
        <is>
          <t>below</t>
        </is>
      </c>
      <c r="Q84" t="n">
        <v>4507.27</v>
      </c>
      <c r="R84" t="n">
        <v>1.52</v>
      </c>
      <c r="S84" t="n">
        <v>232</v>
      </c>
      <c r="T84" t="n">
        <v>36</v>
      </c>
      <c r="U84" t="inlineStr">
        <is>
          <t>shallow</t>
        </is>
      </c>
      <c r="V84" t="inlineStr">
        <is>
          <t>Good</t>
        </is>
      </c>
      <c r="W84" t="n">
        <v>2</v>
      </c>
      <c r="X84" t="inlineStr">
        <is>
          <t>Round</t>
        </is>
      </c>
      <c r="Y84" t="inlineStr">
        <is>
          <t>strong bearish close</t>
        </is>
      </c>
      <c r="Z84" t="n">
        <v>0.38</v>
      </c>
      <c r="AA84" t="inlineStr">
        <is>
          <t>No</t>
        </is>
      </c>
      <c r="AB84" t="inlineStr">
        <is>
          <t>Yes</t>
        </is>
      </c>
    </row>
    <row r="85">
      <c r="A85" t="inlineStr">
        <is>
          <t>2026-08-31</t>
        </is>
      </c>
      <c r="B85" t="inlineStr">
        <is>
          <t>00:07</t>
        </is>
      </c>
      <c r="C85" t="inlineStr">
        <is>
          <t>MGC</t>
        </is>
      </c>
      <c r="D85" t="inlineStr">
        <is>
          <t>Short</t>
        </is>
      </c>
      <c r="E85" t="n">
        <v>47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41.7</v>
      </c>
      <c r="K85" t="inlineStr">
        <is>
          <t>bear</t>
        </is>
      </c>
      <c r="L85" t="inlineStr">
        <is>
          <t>+</t>
        </is>
      </c>
      <c r="M85" t="n">
        <v>23.9</v>
      </c>
      <c r="N85" t="n">
        <v>6.09</v>
      </c>
      <c r="O85" t="n">
        <v>4490.26</v>
      </c>
      <c r="P85" t="inlineStr">
        <is>
          <t>below</t>
        </is>
      </c>
      <c r="Q85" t="n">
        <v>4507.27</v>
      </c>
      <c r="R85" t="n">
        <v>1.17</v>
      </c>
      <c r="S85" t="n">
        <v>-210</v>
      </c>
      <c r="T85" t="n">
        <v>30</v>
      </c>
      <c r="U85" t="inlineStr">
        <is>
          <t>shallow</t>
        </is>
      </c>
      <c r="V85" t="inlineStr">
        <is>
          <t>Weak</t>
        </is>
      </c>
      <c r="W85" t="n">
        <v>1</v>
      </c>
      <c r="X85" t="inlineStr">
        <is>
          <t>Round</t>
        </is>
      </c>
      <c r="Y85" t="inlineStr"/>
      <c r="Z85" t="n">
        <v>0.44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2026-08-31</t>
        </is>
      </c>
      <c r="B86" t="inlineStr">
        <is>
          <t>00:11</t>
        </is>
      </c>
      <c r="C86" t="inlineStr">
        <is>
          <t>MGC</t>
        </is>
      </c>
      <c r="D86" t="inlineStr">
        <is>
          <t>Long</t>
        </is>
      </c>
      <c r="E86" t="n">
        <v>46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up</t>
        </is>
      </c>
      <c r="J86" t="n">
        <v>45.4</v>
      </c>
      <c r="K86" t="inlineStr">
        <is>
          <t>bear</t>
        </is>
      </c>
      <c r="L86" t="inlineStr">
        <is>
          <t>+</t>
        </is>
      </c>
      <c r="M86" t="n">
        <v>23.2</v>
      </c>
      <c r="N86" t="n">
        <v>6.08</v>
      </c>
      <c r="O86" t="n">
        <v>4489.9</v>
      </c>
      <c r="P86" t="inlineStr">
        <is>
          <t>below</t>
        </is>
      </c>
      <c r="Q86" t="n">
        <v>4507.27</v>
      </c>
      <c r="R86" t="n">
        <v>3.91</v>
      </c>
      <c r="S86" t="n">
        <v>233</v>
      </c>
      <c r="T86" t="n">
        <v>44</v>
      </c>
      <c r="U86" t="inlineStr">
        <is>
          <t>golden</t>
        </is>
      </c>
      <c r="V86" t="inlineStr">
        <is>
          <t>Weak</t>
        </is>
      </c>
      <c r="W86" t="n">
        <v>1</v>
      </c>
      <c r="X86" t="inlineStr">
        <is>
          <t>No</t>
        </is>
      </c>
      <c r="Y86" t="inlineStr">
        <is>
          <t>bullish engulfing</t>
        </is>
      </c>
      <c r="Z86" t="n">
        <v>1.39</v>
      </c>
      <c r="AA86" t="inlineStr">
        <is>
          <t>No</t>
        </is>
      </c>
      <c r="AB86" t="inlineStr">
        <is>
          <t>No</t>
        </is>
      </c>
    </row>
    <row r="87">
      <c r="A87" t="inlineStr">
        <is>
          <t>2026-08-31</t>
        </is>
      </c>
      <c r="B87" t="inlineStr">
        <is>
          <t>00:57</t>
        </is>
      </c>
      <c r="C87" t="inlineStr">
        <is>
          <t>MGC</t>
        </is>
      </c>
      <c r="D87" t="inlineStr">
        <is>
          <t>Long</t>
        </is>
      </c>
      <c r="E87" t="n">
        <v>-27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53.1</v>
      </c>
      <c r="K87" t="inlineStr">
        <is>
          <t>bear</t>
        </is>
      </c>
      <c r="L87" t="inlineStr">
        <is>
          <t>+</t>
        </is>
      </c>
      <c r="M87" t="n">
        <v>16.3</v>
      </c>
      <c r="N87" t="n">
        <v>5.07</v>
      </c>
      <c r="O87" t="n">
        <v>4489</v>
      </c>
      <c r="P87" t="inlineStr">
        <is>
          <t>below</t>
        </is>
      </c>
      <c r="Q87" t="n">
        <v>4507.27</v>
      </c>
      <c r="R87" t="n">
        <v>2.48</v>
      </c>
      <c r="S87" t="n">
        <v>934</v>
      </c>
      <c r="T87" t="n">
        <v>26</v>
      </c>
      <c r="U87" t="inlineStr">
        <is>
          <t>shallow</t>
        </is>
      </c>
      <c r="V87" t="inlineStr">
        <is>
          <t>Weak</t>
        </is>
      </c>
      <c r="W87" t="n">
        <v>1</v>
      </c>
      <c r="X87" t="inlineStr">
        <is>
          <t>No</t>
        </is>
      </c>
      <c r="Y87" t="inlineStr">
        <is>
          <t>strong bullish close</t>
        </is>
      </c>
      <c r="Z87" t="n">
        <v>1.24</v>
      </c>
      <c r="AA87" t="inlineStr">
        <is>
          <t>No</t>
        </is>
      </c>
      <c r="AB87" t="inlineStr">
        <is>
          <t>No</t>
        </is>
      </c>
    </row>
    <row r="88">
      <c r="A88" t="inlineStr">
        <is>
          <t>2026-08-31</t>
        </is>
      </c>
      <c r="B88" t="inlineStr">
        <is>
          <t>09:42</t>
        </is>
      </c>
      <c r="C88" t="inlineStr">
        <is>
          <t>MNQ</t>
        </is>
      </c>
      <c r="D88" t="inlineStr">
        <is>
          <t>Short</t>
        </is>
      </c>
      <c r="E88" t="n">
        <v>134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45.8</v>
      </c>
      <c r="K88" t="inlineStr">
        <is>
          <t>bear</t>
        </is>
      </c>
      <c r="L88" t="inlineStr">
        <is>
          <t>+</t>
        </is>
      </c>
      <c r="M88" t="n">
        <v>20.5</v>
      </c>
      <c r="N88" t="n">
        <v>32.05</v>
      </c>
      <c r="O88" t="n">
        <v>29437.27</v>
      </c>
      <c r="P88" t="inlineStr">
        <is>
          <t>below</t>
        </is>
      </c>
      <c r="Q88" t="n">
        <v>29467.73</v>
      </c>
      <c r="R88" t="n">
        <v>0.89</v>
      </c>
      <c r="S88" t="n">
        <v>-14094</v>
      </c>
      <c r="T88" t="n">
        <v>31</v>
      </c>
      <c r="U88" t="inlineStr">
        <is>
          <t>shallow</t>
        </is>
      </c>
      <c r="V88" t="inlineStr">
        <is>
          <t>A+</t>
        </is>
      </c>
      <c r="W88" t="n">
        <v>3</v>
      </c>
      <c r="X88" t="inlineStr">
        <is>
          <t>PDL</t>
        </is>
      </c>
      <c r="Y88" t="inlineStr">
        <is>
          <t>bearish pin</t>
        </is>
      </c>
      <c r="Z88" t="n">
        <v>4.01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09:56</t>
        </is>
      </c>
      <c r="C89" t="inlineStr">
        <is>
          <t>MNQ</t>
        </is>
      </c>
      <c r="D89" t="inlineStr">
        <is>
          <t>Long</t>
        </is>
      </c>
      <c r="E89" t="n">
        <v>-129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52.2</v>
      </c>
      <c r="K89" t="inlineStr">
        <is>
          <t>bull</t>
        </is>
      </c>
      <c r="L89" t="inlineStr">
        <is>
          <t>+</t>
        </is>
      </c>
      <c r="M89" t="n">
        <v>24.9</v>
      </c>
      <c r="N89" t="n">
        <v>38.19</v>
      </c>
      <c r="O89" t="n">
        <v>29438.28</v>
      </c>
      <c r="P89" t="inlineStr">
        <is>
          <t>above</t>
        </is>
      </c>
      <c r="Q89" t="n">
        <v>29466.76</v>
      </c>
      <c r="R89" t="n">
        <v>0.74</v>
      </c>
      <c r="S89" t="n">
        <v>-8659</v>
      </c>
      <c r="T89" t="n">
        <v>40</v>
      </c>
      <c r="U89" t="inlineStr">
        <is>
          <t>golden</t>
        </is>
      </c>
      <c r="V89" t="inlineStr">
        <is>
          <t>Good</t>
        </is>
      </c>
      <c r="W89" t="n">
        <v>2</v>
      </c>
      <c r="X89" t="inlineStr">
        <is>
          <t>Round</t>
        </is>
      </c>
      <c r="Y89" t="inlineStr">
        <is>
          <t>strong bearish close</t>
        </is>
      </c>
      <c r="Z89" t="n">
        <v>1.68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10:10</t>
        </is>
      </c>
      <c r="C90" t="inlineStr">
        <is>
          <t>MGC</t>
        </is>
      </c>
      <c r="D90" t="inlineStr">
        <is>
          <t>Long</t>
        </is>
      </c>
      <c r="E90" t="n">
        <v>-75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down</t>
        </is>
      </c>
      <c r="J90" t="n">
        <v>37.8</v>
      </c>
      <c r="K90" t="inlineStr">
        <is>
          <t>bear</t>
        </is>
      </c>
      <c r="L90" t="inlineStr">
        <is>
          <t>-</t>
        </is>
      </c>
      <c r="M90" t="n">
        <v>33.4</v>
      </c>
      <c r="N90" t="n">
        <v>6.72</v>
      </c>
      <c r="O90" t="n">
        <v>4478.66</v>
      </c>
      <c r="P90" t="inlineStr">
        <is>
          <t>below</t>
        </is>
      </c>
      <c r="Q90" t="n">
        <v>4474.83</v>
      </c>
      <c r="R90" t="n">
        <v>0.65</v>
      </c>
      <c r="S90" t="n">
        <v>-3696</v>
      </c>
      <c r="T90" t="n">
        <v>26</v>
      </c>
      <c r="U90" t="inlineStr">
        <is>
          <t>shallow</t>
        </is>
      </c>
      <c r="V90" t="inlineStr">
        <is>
          <t>Weak</t>
        </is>
      </c>
      <c r="W90" t="n">
        <v>1</v>
      </c>
      <c r="X90" t="inlineStr">
        <is>
          <t>No</t>
        </is>
      </c>
      <c r="Y90" t="inlineStr">
        <is>
          <t>strong bullish close</t>
        </is>
      </c>
      <c r="Z90" t="n">
        <v>0.59</v>
      </c>
      <c r="AA90" t="inlineStr">
        <is>
          <t>No</t>
        </is>
      </c>
      <c r="AB90" t="inlineStr">
        <is>
          <t>No</t>
        </is>
      </c>
    </row>
    <row r="91">
      <c r="A91" t="inlineStr">
        <is>
          <t>2026-08-31</t>
        </is>
      </c>
      <c r="B91" t="inlineStr">
        <is>
          <t>10:11</t>
        </is>
      </c>
      <c r="C91" t="inlineStr">
        <is>
          <t>MNQ</t>
        </is>
      </c>
      <c r="D91" t="inlineStr">
        <is>
          <t>Short</t>
        </is>
      </c>
      <c r="E91" t="n">
        <v>-120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down</t>
        </is>
      </c>
      <c r="J91" t="n">
        <v>44.6</v>
      </c>
      <c r="K91" t="inlineStr">
        <is>
          <t>bear</t>
        </is>
      </c>
      <c r="L91" t="inlineStr">
        <is>
          <t>-</t>
        </is>
      </c>
      <c r="M91" t="n">
        <v>22.4</v>
      </c>
      <c r="N91" t="n">
        <v>39.3</v>
      </c>
      <c r="O91" t="n">
        <v>29429.98</v>
      </c>
      <c r="P91" t="inlineStr">
        <is>
          <t>below</t>
        </is>
      </c>
      <c r="Q91" t="n">
        <v>29467.56</v>
      </c>
      <c r="R91" t="n">
        <v>0.79</v>
      </c>
      <c r="S91" t="n">
        <v>-18288</v>
      </c>
      <c r="T91" t="n">
        <v>16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ORL/Round</t>
        </is>
      </c>
      <c r="Y91" t="inlineStr"/>
      <c r="Z91" t="n">
        <v>1.19</v>
      </c>
      <c r="AA91" t="inlineStr">
        <is>
          <t>Yes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10:41</t>
        </is>
      </c>
      <c r="C92" t="inlineStr">
        <is>
          <t>MNQ</t>
        </is>
      </c>
      <c r="D92" t="inlineStr">
        <is>
          <t>Long</t>
        </is>
      </c>
      <c r="E92" t="n">
        <v>250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down</t>
        </is>
      </c>
      <c r="J92" t="n">
        <v>52.5</v>
      </c>
      <c r="K92" t="inlineStr">
        <is>
          <t>bear</t>
        </is>
      </c>
      <c r="L92" t="inlineStr">
        <is>
          <t>+</t>
        </is>
      </c>
      <c r="M92" t="n">
        <v>19.4</v>
      </c>
      <c r="N92" t="n">
        <v>40.2</v>
      </c>
      <c r="O92" t="n">
        <v>29420.35</v>
      </c>
      <c r="P92" t="inlineStr">
        <is>
          <t>below</t>
        </is>
      </c>
      <c r="Q92" t="n">
        <v>29429.81</v>
      </c>
      <c r="R92" t="n">
        <v>0.98</v>
      </c>
      <c r="S92" t="n">
        <v>-15004</v>
      </c>
      <c r="T92" t="n">
        <v>31</v>
      </c>
      <c r="U92" t="inlineStr">
        <is>
          <t>shallow</t>
        </is>
      </c>
      <c r="V92" t="inlineStr">
        <is>
          <t>Good</t>
        </is>
      </c>
      <c r="W92" t="n">
        <v>2</v>
      </c>
      <c r="X92" t="inlineStr">
        <is>
          <t>Round</t>
        </is>
      </c>
      <c r="Y92" t="inlineStr"/>
      <c r="Z92" t="n">
        <v>0.83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10:47</t>
        </is>
      </c>
      <c r="C93" t="inlineStr">
        <is>
          <t>MNQ</t>
        </is>
      </c>
      <c r="D93" t="inlineStr">
        <is>
          <t>Long</t>
        </is>
      </c>
      <c r="E93" t="n">
        <v>-87.5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46.3</v>
      </c>
      <c r="K93" t="inlineStr">
        <is>
          <t>bear</t>
        </is>
      </c>
      <c r="L93" t="inlineStr">
        <is>
          <t>+</t>
        </is>
      </c>
      <c r="M93" t="n">
        <v>19</v>
      </c>
      <c r="N93" t="n">
        <v>40.48</v>
      </c>
      <c r="O93" t="n">
        <v>29419.89</v>
      </c>
      <c r="P93" t="inlineStr">
        <is>
          <t>below</t>
        </is>
      </c>
      <c r="Q93" t="n">
        <v>29429.81</v>
      </c>
      <c r="R93" t="n">
        <v>0.8</v>
      </c>
      <c r="S93" t="n">
        <v>-18068</v>
      </c>
      <c r="T93" t="n">
        <v>33</v>
      </c>
      <c r="U93" t="inlineStr">
        <is>
          <t>shallow</t>
        </is>
      </c>
      <c r="V93" t="inlineStr">
        <is>
          <t>Good</t>
        </is>
      </c>
      <c r="W93" t="n">
        <v>2</v>
      </c>
      <c r="X93" t="inlineStr">
        <is>
          <t>Round</t>
        </is>
      </c>
      <c r="Y93" t="inlineStr">
        <is>
          <t>bearish engulfing</t>
        </is>
      </c>
      <c r="Z93" t="n">
        <v>0.68</v>
      </c>
      <c r="AA93" t="inlineStr">
        <is>
          <t>No</t>
        </is>
      </c>
      <c r="AB93" t="inlineStr">
        <is>
          <t>No</t>
        </is>
      </c>
    </row>
    <row r="94">
      <c r="A94" t="inlineStr">
        <is>
          <t>2026-08-31</t>
        </is>
      </c>
      <c r="B94" t="inlineStr">
        <is>
          <t>10:48</t>
        </is>
      </c>
      <c r="C94" t="inlineStr">
        <is>
          <t>MNQ</t>
        </is>
      </c>
      <c r="D94" t="inlineStr">
        <is>
          <t>Long</t>
        </is>
      </c>
      <c r="E94" t="n">
        <v>-57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46.3</v>
      </c>
      <c r="K94" t="inlineStr">
        <is>
          <t>bear</t>
        </is>
      </c>
      <c r="L94" t="inlineStr">
        <is>
          <t>+</t>
        </is>
      </c>
      <c r="M94" t="n">
        <v>19</v>
      </c>
      <c r="N94" t="n">
        <v>40.48</v>
      </c>
      <c r="O94" t="n">
        <v>29419.89</v>
      </c>
      <c r="P94" t="inlineStr">
        <is>
          <t>below</t>
        </is>
      </c>
      <c r="Q94" t="n">
        <v>29429.81</v>
      </c>
      <c r="R94" t="n">
        <v>0.8</v>
      </c>
      <c r="S94" t="n">
        <v>-18068</v>
      </c>
      <c r="T94" t="n">
        <v>42</v>
      </c>
      <c r="U94" t="inlineStr">
        <is>
          <t>golden</t>
        </is>
      </c>
      <c r="V94" t="inlineStr">
        <is>
          <t>Good</t>
        </is>
      </c>
      <c r="W94" t="n">
        <v>2</v>
      </c>
      <c r="X94" t="inlineStr">
        <is>
          <t>ORL/Round</t>
        </is>
      </c>
      <c r="Y94" t="inlineStr">
        <is>
          <t>bearish engulfing</t>
        </is>
      </c>
      <c r="Z94" t="n">
        <v>0.68</v>
      </c>
      <c r="AA94" t="inlineStr">
        <is>
          <t>No</t>
        </is>
      </c>
      <c r="AB9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2026-08-31T16:57:42Z</dcterms:modified>
  <cp:lastModifiedBy>Abdul Basit</cp:lastModifiedBy>
</cp:coreProperties>
</file>