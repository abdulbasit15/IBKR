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7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15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18" fontId="3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65" fontId="4" fillId="0" borderId="0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tabSelected="1" workbookViewId="0">
      <pane ySplit="1" topLeftCell="A2" activePane="bottomLeft" state="frozen"/>
      <selection pane="bottomLeft" activeCell="H23" sqref="H23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2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n"/>
      <c r="W1" s="5" t="n"/>
      <c r="X1" s="5" t="n"/>
      <c r="Y1" s="5" t="n"/>
      <c r="Z1" s="5" t="n"/>
      <c r="AA1" s="5" t="n"/>
    </row>
    <row r="2">
      <c r="A2" s="5" t="n">
        <v>7</v>
      </c>
      <c r="B2" s="6" t="n">
        <v>46251</v>
      </c>
      <c r="C2" s="11" t="n">
        <v>0.4131944444444444</v>
      </c>
      <c r="D2" s="5" t="inlineStr">
        <is>
          <t>MNQ</t>
        </is>
      </c>
      <c r="E2" s="5" t="inlineStr">
        <is>
          <t>Long</t>
        </is>
      </c>
      <c r="F2" s="8" t="n">
        <v>30240.75</v>
      </c>
      <c r="G2" s="8" t="n">
        <v>30220</v>
      </c>
      <c r="H2" s="5" t="n">
        <v>3</v>
      </c>
      <c r="I2" s="8" t="n">
        <v>30220.75</v>
      </c>
      <c r="J2" s="8" t="n">
        <v>30280.75</v>
      </c>
      <c r="K2" s="9">
        <f>IF(AND(I2&lt;&gt;"",J2&lt;&gt;"",F2&lt;&gt;""), (J2-F2)/(F2-I2), "")</f>
        <v/>
      </c>
      <c r="L2" s="9">
        <f>IF(AND(F2&lt;&gt;"",G2&lt;&gt;"",I2&lt;&gt;""), (G2-F2)/(F2-I2), "")</f>
        <v/>
      </c>
      <c r="M2" s="5">
        <f>IF(N2&gt;0,"Win",IF(N2&lt;0,"Loss",""))</f>
        <v/>
      </c>
      <c r="N2" s="5">
        <f>IF(AND(F2&lt;&gt;"",G2&lt;&gt;"",H2&lt;&gt;"",D2&lt;&gt;""), IF(E2="Long", (G2-F2)*H2*VLOOKUP(D2,Multipliers!A:B,2,FALSE), (F2-G2)*H2*VLOOKUP(D2,Multipliers!A:B,2,FALSE)), "")</f>
        <v/>
      </c>
      <c r="O2" s="10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n"/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1" t="n">
        <v>0.4229166666666667</v>
      </c>
      <c r="D3" s="5" t="inlineStr">
        <is>
          <t>MGC</t>
        </is>
      </c>
      <c r="E3" s="5" t="inlineStr">
        <is>
          <t>Long</t>
        </is>
      </c>
      <c r="F3" s="8" t="n">
        <v>4461.4</v>
      </c>
      <c r="G3" s="8" t="n">
        <v>4473.4</v>
      </c>
      <c r="H3" s="5" t="n">
        <v>2</v>
      </c>
      <c r="I3" s="8" t="n">
        <v>4455.4</v>
      </c>
      <c r="J3" s="8" t="n">
        <v>4473.4</v>
      </c>
      <c r="K3" s="9">
        <f>IF(AND(I3&lt;&gt;"",J3&lt;&gt;"",F3&lt;&gt;""), (J3-F3)/(F3-I3), "")</f>
        <v/>
      </c>
      <c r="L3" s="9">
        <f>IF(AND(F3&lt;&gt;"",G3&lt;&gt;"",I3&lt;&gt;""), (G3-F3)/(F3-I3), "")</f>
        <v/>
      </c>
      <c r="M3" s="5">
        <f>IF(N3&gt;0,"Win",IF(N3&lt;0,"Loss",""))</f>
        <v/>
      </c>
      <c r="N3" s="5">
        <f>IF(AND(F3&lt;&gt;"",G3&lt;&gt;"",H3&lt;&gt;"",D3&lt;&gt;""), IF(E3="Long", (G3-F3)*H3*VLOOKUP(D3,Multipliers!A:B,2,FALSE), (F3-G3)*H3*VLOOKUP(D3,Multipliers!A:B,2,FALSE)), "")</f>
        <v/>
      </c>
      <c r="O3" s="10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</t>
        </is>
      </c>
      <c r="R3" s="5" t="n"/>
      <c r="S3" s="5" t="inlineStr">
        <is>
          <t>MGC</t>
        </is>
      </c>
      <c r="T3" s="13" t="inlineStr">
        <is>
          <t>https://www.tradingview.com/x/soX7jXbm/</t>
        </is>
      </c>
      <c r="U3" s="13" t="inlineStr">
        <is>
          <t xml:space="preserve">https://www.tradingview.com/x/Hz1BKRjK/ </t>
        </is>
      </c>
      <c r="V3" s="5" t="n"/>
      <c r="W3" s="5" t="n"/>
      <c r="X3" s="5" t="n"/>
      <c r="Y3" s="5" t="n"/>
      <c r="Z3" s="5" t="n"/>
      <c r="AA3" s="5" t="n"/>
    </row>
    <row r="4">
      <c r="A4" s="5" t="n">
        <v>9</v>
      </c>
      <c r="B4" s="6" t="n">
        <v>46251</v>
      </c>
      <c r="C4" s="11" t="n">
        <v>0.49375</v>
      </c>
      <c r="D4" s="5" t="inlineStr">
        <is>
          <t>MNQ</t>
        </is>
      </c>
      <c r="E4" s="5" t="inlineStr">
        <is>
          <t>Short</t>
        </is>
      </c>
      <c r="F4" s="8" t="n">
        <v>30237.75</v>
      </c>
      <c r="G4" s="8" t="n">
        <v>30221.5</v>
      </c>
      <c r="H4" s="5" t="n">
        <v>3</v>
      </c>
      <c r="I4" s="8" t="n">
        <v>30257.75</v>
      </c>
      <c r="J4" s="8" t="n">
        <v>30221.5</v>
      </c>
      <c r="K4" s="9">
        <f>IF(AND(I4&lt;&gt;"",J4&lt;&gt;"",F4&lt;&gt;""), (J4-F4)/(F4-I4), "")</f>
        <v/>
      </c>
      <c r="L4" s="9">
        <f>IF(AND(F4&lt;&gt;"",G4&lt;&gt;"",I4&lt;&gt;""), (G4-F4)/(F4-I4), "")</f>
        <v/>
      </c>
      <c r="M4" s="5">
        <f>IF(N4&gt;0,"Win",IF(N4&lt;0,"Loss",""))</f>
        <v/>
      </c>
      <c r="N4" s="5">
        <f>IF(AND(F4&lt;&gt;"",G4&lt;&gt;"",H4&lt;&gt;"",D4&lt;&gt;""), IF(E4="Long", (G4-F4)*H4*VLOOKUP(D4,Multipliers!A:B,2,FALSE), (F4-G4)*H4*VLOOKUP(D4,Multipliers!A:B,2,FALSE)), "")</f>
        <v/>
      </c>
      <c r="O4" s="10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n"/>
      <c r="W4" s="5" t="n"/>
      <c r="X4" s="5" t="n"/>
      <c r="Y4" s="5" t="n"/>
      <c r="Z4" s="5" t="n"/>
      <c r="AA4" s="5" t="n"/>
    </row>
    <row r="5">
      <c r="A5" s="5" t="n">
        <v>10</v>
      </c>
      <c r="B5" s="14" t="n">
        <v>46245</v>
      </c>
      <c r="C5" s="11" t="n">
        <v>0.8108217592592593</v>
      </c>
      <c r="D5" s="5" t="inlineStr">
        <is>
          <t>MGC</t>
        </is>
      </c>
      <c r="E5" s="5" t="inlineStr">
        <is>
          <t>Long</t>
        </is>
      </c>
      <c r="F5" s="8" t="n">
        <v>4429.1</v>
      </c>
      <c r="G5" s="8" t="n">
        <v>4430.1</v>
      </c>
      <c r="H5" s="5" t="n">
        <v>3</v>
      </c>
      <c r="I5" s="8" t="n">
        <v>4423.4</v>
      </c>
      <c r="J5" s="8" t="n">
        <v>4431.5</v>
      </c>
      <c r="K5" s="9">
        <f>IF(AND(I5&lt;&gt;"",J5&lt;&gt;"",F5&lt;&gt;""), (J5-F5)/(F5-I5), "")</f>
        <v/>
      </c>
      <c r="L5" s="9">
        <f>IF(AND(F5&lt;&gt;"",G5&lt;&gt;"",I5&lt;&gt;""), (G5-F5)/(F5-I5), "")</f>
        <v/>
      </c>
      <c r="M5" s="5">
        <f>IF(N5&gt;0,"Win",IF(N5&lt;0,"Loss",""))</f>
        <v/>
      </c>
      <c r="N5" s="5">
        <f>IF(AND(F5&lt;&gt;"",G5&lt;&gt;"",H5&lt;&gt;"",D5&lt;&gt;""), IF(E5="Long", (G5-F5)*H5*VLOOKUP(D5,Multipliers!A:B,2,FALSE), (F5-G5)*H5*VLOOKUP(D5,Multipliers!A:B,2,FALSE)), "")</f>
        <v/>
      </c>
      <c r="O5" s="10">
        <f>IF(AND(N5&lt;&gt;"",F5&lt;&gt;"",H5&lt;&gt;"",D5&lt;&gt;""), N5/(F5*H5*VLOOKUP(D5,Multipliers!A:B,2,FALSE)), "")</f>
        <v/>
      </c>
      <c r="P5" s="5">
        <f>P4+N5</f>
        <v/>
      </c>
      <c r="Q5" s="5" t="inlineStr"/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n"/>
      <c r="W5" s="5" t="n"/>
      <c r="X5" s="5" t="n"/>
      <c r="Y5" s="5" t="n"/>
      <c r="Z5" s="5" t="n"/>
      <c r="AA5" s="5" t="n"/>
    </row>
    <row r="6">
      <c r="A6" s="5" t="n">
        <v>11</v>
      </c>
      <c r="B6" s="14" t="n">
        <v>46245</v>
      </c>
      <c r="C6" s="11" t="n">
        <v>0.8119444444444445</v>
      </c>
      <c r="D6" s="5" t="inlineStr">
        <is>
          <t>MGC</t>
        </is>
      </c>
      <c r="E6" s="5" t="inlineStr">
        <is>
          <t>Short</t>
        </is>
      </c>
      <c r="F6" s="8" t="n">
        <v>4431.6</v>
      </c>
      <c r="G6" s="8" t="n">
        <v>4430.5</v>
      </c>
      <c r="H6" s="5" t="n">
        <v>10</v>
      </c>
      <c r="I6" s="8" t="n"/>
      <c r="J6" s="8" t="n">
        <v>4430.5</v>
      </c>
      <c r="K6" s="9">
        <f>IF(AND(I6&lt;&gt;"",J6&lt;&gt;"",F6&lt;&gt;""), (J6-F6)/(F6-I6), "")</f>
        <v/>
      </c>
      <c r="L6" s="9">
        <f>IF(AND(F6&lt;&gt;"",G6&lt;&gt;"",I6&lt;&gt;""), (G6-F6)/(F6-I6), "")</f>
        <v/>
      </c>
      <c r="M6" s="5">
        <f>IF(N6&gt;0,"Win",IF(N6&lt;0,"Loss",""))</f>
        <v/>
      </c>
      <c r="N6" s="5">
        <f>IF(AND(F6&lt;&gt;"",G6&lt;&gt;"",H6&lt;&gt;"",D6&lt;&gt;""), IF(E6="Long", (G6-F6)*H6*VLOOKUP(D6,Multipliers!A:B,2,FALSE), (F6-G6)*H6*VLOOKUP(D6,Multipliers!A:B,2,FALSE)), "")</f>
        <v/>
      </c>
      <c r="O6" s="10">
        <f>IF(AND(N6&lt;&gt;"",F6&lt;&gt;"",H6&lt;&gt;"",D6&lt;&gt;""), N6/(F6*H6*VLOOKUP(D6,Multipliers!A:B,2,FALSE)), "")</f>
        <v/>
      </c>
      <c r="P6" s="5">
        <f>P5+N6</f>
        <v/>
      </c>
      <c r="Q6" s="5" t="inlineStr"/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A7" s="5" t="n">
        <v>12</v>
      </c>
      <c r="B7" s="14" t="n">
        <v>46245</v>
      </c>
      <c r="C7" s="11" t="n">
        <v>0.8128356481481481</v>
      </c>
      <c r="D7" s="5" t="inlineStr">
        <is>
          <t>MGC</t>
        </is>
      </c>
      <c r="E7" s="5" t="inlineStr">
        <is>
          <t>Long</t>
        </is>
      </c>
      <c r="F7" s="8" t="n">
        <v>4430.6</v>
      </c>
      <c r="G7" s="8" t="n">
        <v>4426.2</v>
      </c>
      <c r="H7" s="5" t="n">
        <v>10</v>
      </c>
      <c r="I7" s="8" t="n">
        <v>4423.4</v>
      </c>
      <c r="J7" s="8" t="n">
        <v>4431.5</v>
      </c>
      <c r="K7" s="9">
        <f>IF(AND(I7&lt;&gt;"",J7&lt;&gt;"",F7&lt;&gt;""), (J7-F7)/(F7-I7), "")</f>
        <v/>
      </c>
      <c r="L7" s="9">
        <f>IF(AND(F7&lt;&gt;"",G7&lt;&gt;"",I7&lt;&gt;""), (G7-F7)/(F7-I7), "")</f>
        <v/>
      </c>
      <c r="M7" s="5">
        <f>IF(N7&gt;0,"Win",IF(N7&lt;0,"Loss",""))</f>
        <v/>
      </c>
      <c r="N7" s="5">
        <f>IF(AND(F7&lt;&gt;"",G7&lt;&gt;"",H7&lt;&gt;"",D7&lt;&gt;""), IF(E7="Long", (G7-F7)*H7*VLOOKUP(D7,Multipliers!A:B,2,FALSE), (F7-G7)*H7*VLOOKUP(D7,Multipliers!A:B,2,FALSE)), "")</f>
        <v/>
      </c>
      <c r="O7" s="10">
        <f>IF(AND(N7&lt;&gt;"",F7&lt;&gt;"",H7&lt;&gt;"",D7&lt;&gt;""), N7/(F7*H7*VLOOKUP(D7,Multipliers!A:B,2,FALSE)), "")</f>
        <v/>
      </c>
      <c r="P7" s="5">
        <f>P6+N7</f>
        <v/>
      </c>
      <c r="Q7" s="5" t="inlineStr"/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n"/>
      <c r="W7" s="5" t="n"/>
      <c r="X7" s="5" t="n"/>
      <c r="Y7" s="5" t="n"/>
      <c r="Z7" s="5" t="n"/>
      <c r="AA7" s="5" t="n"/>
    </row>
    <row r="8">
      <c r="A8" s="5" t="n">
        <v>13</v>
      </c>
      <c r="B8" s="14" t="n">
        <v>46245</v>
      </c>
      <c r="C8" s="11" t="n">
        <v>0.8156481481481481</v>
      </c>
      <c r="D8" s="5" t="inlineStr">
        <is>
          <t>MGC</t>
        </is>
      </c>
      <c r="E8" s="5" t="inlineStr">
        <is>
          <t>Short</t>
        </is>
      </c>
      <c r="F8" s="8" t="n">
        <v>4427</v>
      </c>
      <c r="G8" s="8" t="n">
        <v>4440.1</v>
      </c>
      <c r="H8" s="5" t="n">
        <v>10</v>
      </c>
      <c r="I8" s="8" t="n"/>
      <c r="J8" s="8" t="n">
        <v>4426.8</v>
      </c>
      <c r="K8" s="9">
        <f>IF(AND(I8&lt;&gt;"",J8&lt;&gt;"",F8&lt;&gt;""), (J8-F8)/(F8-I8), "")</f>
        <v/>
      </c>
      <c r="L8" s="9">
        <f>IF(AND(F8&lt;&gt;"",G8&lt;&gt;"",I8&lt;&gt;""), (G8-F8)/(F8-I8), "")</f>
        <v/>
      </c>
      <c r="M8" s="5">
        <f>IF(N8&gt;0,"Win",IF(N8&lt;0,"Loss",""))</f>
        <v/>
      </c>
      <c r="N8" s="5">
        <f>IF(AND(F8&lt;&gt;"",G8&lt;&gt;"",H8&lt;&gt;"",D8&lt;&gt;""), IF(E8="Long", (G8-F8)*H8*VLOOKUP(D8,Multipliers!A:B,2,FALSE), (F8-G8)*H8*VLOOKUP(D8,Multipliers!A:B,2,FALSE)), "")</f>
        <v/>
      </c>
      <c r="O8" s="10">
        <f>IF(AND(N8&lt;&gt;"",F8&lt;&gt;"",H8&lt;&gt;"",D8&lt;&gt;""), N8/(F8*H8*VLOOKUP(D8,Multipliers!A:B,2,FALSE)), "")</f>
        <v/>
      </c>
      <c r="P8" s="5">
        <f>P7+N8</f>
        <v/>
      </c>
      <c r="Q8" s="5" t="inlineStr"/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n"/>
      <c r="W8" s="5" t="n"/>
      <c r="X8" s="5" t="n"/>
      <c r="Y8" s="5" t="n"/>
      <c r="Z8" s="5" t="n"/>
      <c r="AA8" s="5" t="n"/>
    </row>
    <row r="9">
      <c r="A9" s="5" t="n">
        <v>14</v>
      </c>
      <c r="B9" s="14" t="n">
        <v>46245</v>
      </c>
      <c r="C9" s="11" t="n">
        <v>0.8551736111111111</v>
      </c>
      <c r="D9" s="5" t="inlineStr">
        <is>
          <t>MGC</t>
        </is>
      </c>
      <c r="E9" s="5" t="inlineStr">
        <is>
          <t>Long</t>
        </is>
      </c>
      <c r="F9" s="8" t="n">
        <v>4440.1</v>
      </c>
      <c r="G9" s="8" t="n">
        <v>4443.8</v>
      </c>
      <c r="H9" s="5" t="n">
        <v>10</v>
      </c>
      <c r="I9" s="8" t="n"/>
      <c r="J9" s="8" t="n">
        <v>4443.8</v>
      </c>
      <c r="K9" s="9">
        <f>IF(AND(I9&lt;&gt;"",J9&lt;&gt;"",F9&lt;&gt;""), (J9-F9)/(F9-I9), "")</f>
        <v/>
      </c>
      <c r="L9" s="9">
        <f>IF(AND(F9&lt;&gt;"",G9&lt;&gt;"",I9&lt;&gt;""), (G9-F9)/(F9-I9), "")</f>
        <v/>
      </c>
      <c r="M9" s="5">
        <f>IF(N9&gt;0,"Win",IF(N9&lt;0,"Loss",""))</f>
        <v/>
      </c>
      <c r="N9" s="5">
        <f>IF(AND(F9&lt;&gt;"",G9&lt;&gt;"",H9&lt;&gt;"",D9&lt;&gt;""), IF(E9="Long", (G9-F9)*H9*VLOOKUP(D9,Multipliers!A:B,2,FALSE), (F9-G9)*H9*VLOOKUP(D9,Multipliers!A:B,2,FALSE)), "")</f>
        <v/>
      </c>
      <c r="O9" s="10">
        <f>IF(AND(N9&lt;&gt;"",F9&lt;&gt;"",H9&lt;&gt;"",D9&lt;&gt;""), N9/(F9*H9*VLOOKUP(D9,Multipliers!A:B,2,FALSE)), "")</f>
        <v/>
      </c>
      <c r="P9" s="5">
        <f>P8+N9</f>
        <v/>
      </c>
      <c r="Q9" s="5" t="inlineStr"/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n"/>
      <c r="W9" s="5" t="n"/>
      <c r="X9" s="5" t="n"/>
      <c r="Y9" s="5" t="n"/>
      <c r="Z9" s="5" t="n"/>
      <c r="AA9" s="5" t="n"/>
    </row>
    <row r="10">
      <c r="A10" s="5" t="n">
        <v>15</v>
      </c>
      <c r="B10" s="14" t="n">
        <v>46245</v>
      </c>
      <c r="C10" s="11" t="n">
        <v>0.8861574074074074</v>
      </c>
      <c r="D10" s="5" t="inlineStr">
        <is>
          <t>MGC</t>
        </is>
      </c>
      <c r="E10" s="5" t="inlineStr">
        <is>
          <t>Long</t>
        </is>
      </c>
      <c r="F10" s="8" t="n">
        <v>4457.166667</v>
      </c>
      <c r="G10" s="8" t="n">
        <v>4457.8</v>
      </c>
      <c r="H10" s="5" t="n">
        <v>30</v>
      </c>
      <c r="I10" s="8" t="n"/>
      <c r="J10" s="8" t="n">
        <v>4472.1</v>
      </c>
      <c r="K10" s="9">
        <f>IF(AND(I10&lt;&gt;"",J10&lt;&gt;"",F10&lt;&gt;""), (J10-F10)/(F10-I10), "")</f>
        <v/>
      </c>
      <c r="L10" s="9">
        <f>IF(AND(F10&lt;&gt;"",G10&lt;&gt;"",I10&lt;&gt;""), (G10-F10)/(F10-I10), "")</f>
        <v/>
      </c>
      <c r="M10" s="5">
        <f>IF(N10&gt;0,"Win",IF(N10&lt;0,"Loss",""))</f>
        <v/>
      </c>
      <c r="N10" s="5">
        <f>IF(AND(F10&lt;&gt;"",G10&lt;&gt;"",H10&lt;&gt;"",D10&lt;&gt;""), IF(E10="Long", (G10-F10)*H10*VLOOKUP(D10,Multipliers!A:B,2,FALSE), (F10-G10)*H10*VLOOKUP(D10,Multipliers!A:B,2,FALSE)), "")</f>
        <v/>
      </c>
      <c r="O10" s="10">
        <f>IF(AND(N10&lt;&gt;"",F10&lt;&gt;"",H10&lt;&gt;"",D10&lt;&gt;""), N10/(F10*H10*VLOOKUP(D10,Multipliers!A:B,2,FALSE)), "")</f>
        <v/>
      </c>
      <c r="P10" s="5">
        <f>P9+N10</f>
        <v/>
      </c>
      <c r="Q10" s="5" t="inlineStr"/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n"/>
      <c r="W10" s="5" t="n"/>
      <c r="X10" s="5" t="n"/>
      <c r="Y10" s="5" t="n"/>
      <c r="Z10" s="5" t="n"/>
      <c r="AA10" s="5" t="n"/>
    </row>
    <row r="11">
      <c r="A11" s="5" t="n">
        <v>16</v>
      </c>
      <c r="B11" s="14" t="n">
        <v>46245</v>
      </c>
      <c r="C11" s="11" t="n">
        <v>0.9446412037037037</v>
      </c>
      <c r="D11" s="5" t="inlineStr">
        <is>
          <t>MGC</t>
        </is>
      </c>
      <c r="E11" s="5" t="inlineStr">
        <is>
          <t>Long</t>
        </is>
      </c>
      <c r="F11" s="8" t="n">
        <v>4461.8</v>
      </c>
      <c r="G11" s="8" t="n">
        <v>4469</v>
      </c>
      <c r="H11" s="5" t="n">
        <v>30</v>
      </c>
      <c r="I11" s="8" t="n"/>
      <c r="J11" s="8" t="n">
        <v>4474.1</v>
      </c>
      <c r="K11" s="9">
        <f>IF(AND(I11&lt;&gt;"",J11&lt;&gt;"",F11&lt;&gt;""), (J11-F11)/(F11-I11), "")</f>
        <v/>
      </c>
      <c r="L11" s="9">
        <f>IF(AND(F11&lt;&gt;"",G11&lt;&gt;"",I11&lt;&gt;""), (G11-F11)/(F11-I11), "")</f>
        <v/>
      </c>
      <c r="M11" s="5">
        <f>IF(N11&gt;0,"Win",IF(N11&lt;0,"Loss",""))</f>
        <v/>
      </c>
      <c r="N11" s="5">
        <f>IF(AND(F11&lt;&gt;"",G11&lt;&gt;"",H11&lt;&gt;"",D11&lt;&gt;""), IF(E11="Long", (G11-F11)*H11*VLOOKUP(D11,Multipliers!A:B,2,FALSE), (F11-G11)*H11*VLOOKUP(D11,Multipliers!A:B,2,FALSE)), "")</f>
        <v/>
      </c>
      <c r="O11" s="10">
        <f>IF(AND(N11&lt;&gt;"",F11&lt;&gt;"",H11&lt;&gt;"",D11&lt;&gt;""), N11/(F11*H11*VLOOKUP(D11,Multipliers!A:B,2,FALSE)), "")</f>
        <v/>
      </c>
      <c r="P11" s="5">
        <f>P10+N11</f>
        <v/>
      </c>
      <c r="Q11" s="5" t="inlineStr"/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n"/>
      <c r="W11" s="5" t="n"/>
      <c r="X11" s="5" t="n"/>
      <c r="Y11" s="5" t="n"/>
      <c r="Z11" s="5" t="n"/>
      <c r="AA11" s="5" t="n"/>
    </row>
    <row r="12">
      <c r="A12" s="5" t="n">
        <v>17</v>
      </c>
      <c r="B12" s="14" t="n">
        <v>46245</v>
      </c>
      <c r="C12" s="11" t="n">
        <v>0.9586574074074075</v>
      </c>
      <c r="D12" s="5" t="inlineStr">
        <is>
          <t>MGC</t>
        </is>
      </c>
      <c r="E12" s="5" t="inlineStr">
        <is>
          <t>Long</t>
        </is>
      </c>
      <c r="F12" s="8" t="n">
        <v>4472.3</v>
      </c>
      <c r="G12" s="8" t="n">
        <v>4470.9</v>
      </c>
      <c r="H12" s="5" t="n">
        <v>20</v>
      </c>
      <c r="I12" s="8" t="n"/>
      <c r="J12" s="8" t="n">
        <v>4475.9</v>
      </c>
      <c r="K12" s="9">
        <f>IF(AND(I12&lt;&gt;"",J12&lt;&gt;"",F12&lt;&gt;""), (J12-F12)/(F12-I12), "")</f>
        <v/>
      </c>
      <c r="L12" s="9">
        <f>IF(AND(F12&lt;&gt;"",G12&lt;&gt;"",I12&lt;&gt;""), (G12-F12)/(F12-I12), "")</f>
        <v/>
      </c>
      <c r="M12" s="5">
        <f>IF(N12&gt;0,"Win",IF(N12&lt;0,"Loss",""))</f>
        <v/>
      </c>
      <c r="N12" s="5">
        <f>IF(AND(F12&lt;&gt;"",G12&lt;&gt;"",H12&lt;&gt;"",D12&lt;&gt;""), IF(E12="Long", (G12-F12)*H12*VLOOKUP(D12,Multipliers!A:B,2,FALSE), (F12-G12)*H12*VLOOKUP(D12,Multipliers!A:B,2,FALSE)), "")</f>
        <v/>
      </c>
      <c r="O12" s="10">
        <f>IF(AND(N12&lt;&gt;"",F12&lt;&gt;"",H12&lt;&gt;"",D12&lt;&gt;""), N12/(F12*H12*VLOOKUP(D12,Multipliers!A:B,2,FALSE)), "")</f>
        <v/>
      </c>
      <c r="P12" s="5">
        <f>P11+N12</f>
        <v/>
      </c>
      <c r="Q12" s="5" t="inlineStr"/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n"/>
      <c r="W12" s="5" t="n"/>
      <c r="X12" s="5" t="n"/>
      <c r="Y12" s="5" t="n"/>
      <c r="Z12" s="5" t="n"/>
      <c r="AA12" s="5" t="n"/>
    </row>
    <row r="13">
      <c r="A13" s="5" t="n">
        <v>18</v>
      </c>
      <c r="B13" s="14" t="n">
        <v>46245</v>
      </c>
      <c r="C13" s="11" t="n">
        <v>0.9666550925925926</v>
      </c>
      <c r="D13" s="5" t="inlineStr">
        <is>
          <t>MGC</t>
        </is>
      </c>
      <c r="E13" s="5" t="inlineStr">
        <is>
          <t>Long</t>
        </is>
      </c>
      <c r="F13" s="8" t="n">
        <v>4473.9</v>
      </c>
      <c r="G13" s="8" t="n">
        <v>4464.8</v>
      </c>
      <c r="H13" s="5" t="n">
        <v>10</v>
      </c>
      <c r="I13" s="8" t="n"/>
      <c r="J13" s="8" t="n"/>
      <c r="K13" s="9">
        <f>IF(AND(I13&lt;&gt;"",J13&lt;&gt;"",F13&lt;&gt;""), (J13-F13)/(F13-I13), "")</f>
        <v/>
      </c>
      <c r="L13" s="9">
        <f>IF(AND(F13&lt;&gt;"",G13&lt;&gt;"",I13&lt;&gt;""), (G13-F13)/(F13-I13), "")</f>
        <v/>
      </c>
      <c r="M13" s="5">
        <f>IF(N13&gt;0,"Win",IF(N13&lt;0,"Loss",""))</f>
        <v/>
      </c>
      <c r="N13" s="5">
        <f>IF(AND(F13&lt;&gt;"",G13&lt;&gt;"",H13&lt;&gt;"",D13&lt;&gt;""), IF(E13="Long", (G13-F13)*H13*VLOOKUP(D13,Multipliers!A:B,2,FALSE), (F13-G13)*H13*VLOOKUP(D13,Multipliers!A:B,2,FALSE)), "")</f>
        <v/>
      </c>
      <c r="O13" s="10">
        <f>IF(AND(N13&lt;&gt;"",F13&lt;&gt;"",H13&lt;&gt;"",D13&lt;&gt;""), N13/(F13*H13*VLOOKUP(D13,Multipliers!A:B,2,FALSE)), "")</f>
        <v/>
      </c>
      <c r="P13" s="5">
        <f>P12+N13</f>
        <v/>
      </c>
      <c r="Q13" s="5" t="inlineStr"/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n"/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4" t="n">
        <v>46245</v>
      </c>
      <c r="C14" s="11" t="n">
        <v>0.9762615740740741</v>
      </c>
      <c r="D14" s="5" t="inlineStr">
        <is>
          <t>MGC</t>
        </is>
      </c>
      <c r="E14" s="5" t="inlineStr">
        <is>
          <t>Long</t>
        </is>
      </c>
      <c r="F14" s="8" t="n">
        <v>4467.3</v>
      </c>
      <c r="G14" s="8" t="n">
        <v>4465.9</v>
      </c>
      <c r="H14" s="5" t="n">
        <v>10</v>
      </c>
      <c r="I14" s="8" t="n"/>
      <c r="J14" s="8" t="n"/>
      <c r="K14" s="9">
        <f>IF(AND(I14&lt;&gt;"",J14&lt;&gt;"",F14&lt;&gt;""), (J14-F14)/(F14-I14), "")</f>
        <v/>
      </c>
      <c r="L14" s="9">
        <f>IF(AND(F14&lt;&gt;"",G14&lt;&gt;"",I14&lt;&gt;""), (G14-F14)/(F14-I14), "")</f>
        <v/>
      </c>
      <c r="M14" s="5">
        <f>IF(N14&gt;0,"Win",IF(N14&lt;0,"Loss",""))</f>
        <v/>
      </c>
      <c r="N14" s="5">
        <f>IF(AND(F14&lt;&gt;"",G14&lt;&gt;"",H14&lt;&gt;"",D14&lt;&gt;""), IF(E14="Long", (G14-F14)*H14*VLOOKUP(D14,Multipliers!A:B,2,FALSE), (F14-G14)*H14*VLOOKUP(D14,Multipliers!A:B,2,FALSE)), "")</f>
        <v/>
      </c>
      <c r="O14" s="10">
        <f>IF(AND(N14&lt;&gt;"",F14&lt;&gt;"",H14&lt;&gt;"",D14&lt;&gt;""), N14/(F14*H14*VLOOKUP(D14,Multipliers!A:B,2,FALSE)), "")</f>
        <v/>
      </c>
      <c r="P14" s="5">
        <f>P13+N14</f>
        <v/>
      </c>
      <c r="Q14" s="5" t="inlineStr"/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n"/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4" t="n">
        <v>46245</v>
      </c>
      <c r="C15" s="11" t="n">
        <v>0.9837037037037037</v>
      </c>
      <c r="D15" s="5" t="inlineStr">
        <is>
          <t>MGC</t>
        </is>
      </c>
      <c r="E15" s="5" t="inlineStr">
        <is>
          <t>Short</t>
        </is>
      </c>
      <c r="F15" s="8" t="n">
        <v>4461.05</v>
      </c>
      <c r="G15" s="8" t="n">
        <v>4458.6</v>
      </c>
      <c r="H15" s="5" t="n">
        <v>20</v>
      </c>
      <c r="I15" s="8" t="n"/>
      <c r="J15" s="8" t="n">
        <v>4458.6</v>
      </c>
      <c r="K15" s="9">
        <f>IF(AND(I15&lt;&gt;"",J15&lt;&gt;"",F15&lt;&gt;""), (J15-F15)/(F15-I15), "")</f>
        <v/>
      </c>
      <c r="L15" s="9">
        <f>IF(AND(F15&lt;&gt;"",G15&lt;&gt;"",I15&lt;&gt;""), (G15-F15)/(F15-I15), "")</f>
        <v/>
      </c>
      <c r="M15" s="5">
        <f>IF(N15&gt;0,"Win",IF(N15&lt;0,"Loss",""))</f>
        <v/>
      </c>
      <c r="N15" s="5">
        <f>IF(AND(F15&lt;&gt;"",G15&lt;&gt;"",H15&lt;&gt;"",D15&lt;&gt;""), IF(E15="Long", (G15-F15)*H15*VLOOKUP(D15,Multipliers!A:B,2,FALSE), (F15-G15)*H15*VLOOKUP(D15,Multipliers!A:B,2,FALSE)), "")</f>
        <v/>
      </c>
      <c r="O15" s="10">
        <f>IF(AND(N15&lt;&gt;"",F15&lt;&gt;"",H15&lt;&gt;"",D15&lt;&gt;""), N15/(F15*H15*VLOOKUP(D15,Multipliers!A:B,2,FALSE)), "")</f>
        <v/>
      </c>
      <c r="P15" s="5">
        <f>P14+N15</f>
        <v/>
      </c>
      <c r="Q15" s="5" t="inlineStr"/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n"/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4" t="n">
        <v>46246</v>
      </c>
      <c r="C16" s="11" t="n">
        <v>0.3835879629629629</v>
      </c>
      <c r="D16" s="5" t="inlineStr">
        <is>
          <t>MNQ</t>
        </is>
      </c>
      <c r="E16" s="5" t="inlineStr">
        <is>
          <t>Long</t>
        </is>
      </c>
      <c r="F16" s="8" t="n">
        <v>29931.25</v>
      </c>
      <c r="G16" s="8" t="n">
        <v>29936</v>
      </c>
      <c r="H16" s="5" t="n">
        <v>5</v>
      </c>
      <c r="I16" s="8" t="n"/>
      <c r="J16" s="8" t="n">
        <v>29936</v>
      </c>
      <c r="K16" s="9">
        <f>IF(AND(I16&lt;&gt;"",J16&lt;&gt;"",F16&lt;&gt;""), (J16-F16)/(F16-I16), "")</f>
        <v/>
      </c>
      <c r="L16" s="9">
        <f>IF(AND(F16&lt;&gt;"",G16&lt;&gt;"",I16&lt;&gt;""), (G16-F16)/(F16-I16), "")</f>
        <v/>
      </c>
      <c r="M16" s="5">
        <f>IF(N16&gt;0,"Win",IF(N16&lt;0,"Loss",""))</f>
        <v/>
      </c>
      <c r="N16" s="5">
        <f>IF(AND(F16&lt;&gt;"",G16&lt;&gt;"",H16&lt;&gt;"",D16&lt;&gt;""), IF(E16="Long", (G16-F16)*H16*VLOOKUP(D16,Multipliers!A:B,2,FALSE), (F16-G16)*H16*VLOOKUP(D16,Multipliers!A:B,2,FALSE)), "")</f>
        <v/>
      </c>
      <c r="O16" s="10">
        <f>IF(AND(N16&lt;&gt;"",F16&lt;&gt;"",H16&lt;&gt;"",D16&lt;&gt;""), N16/(F16*H16*VLOOKUP(D16,Multipliers!A:B,2,FALSE)), "")</f>
        <v/>
      </c>
      <c r="P16" s="5">
        <f>P15+N16</f>
        <v/>
      </c>
      <c r="Q16" s="5" t="inlineStr"/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n"/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4" t="n">
        <v>46246</v>
      </c>
      <c r="C17" s="11" t="n">
        <v>0.3932523148148148</v>
      </c>
      <c r="D17" s="5" t="inlineStr">
        <is>
          <t>MGC</t>
        </is>
      </c>
      <c r="E17" s="5" t="inlineStr">
        <is>
          <t>Short</t>
        </is>
      </c>
      <c r="F17" s="8" t="n">
        <v>4475.7</v>
      </c>
      <c r="G17" s="8" t="n">
        <v>4474</v>
      </c>
      <c r="H17" s="5" t="n">
        <v>10</v>
      </c>
      <c r="I17" s="8" t="n"/>
      <c r="J17" s="8" t="n">
        <v>4474</v>
      </c>
      <c r="K17" s="9">
        <f>IF(AND(I17&lt;&gt;"",J17&lt;&gt;"",F17&lt;&gt;""), (J17-F17)/(F17-I17), "")</f>
        <v/>
      </c>
      <c r="L17" s="9">
        <f>IF(AND(F17&lt;&gt;"",G17&lt;&gt;"",I17&lt;&gt;""), (G17-F17)/(F17-I17), "")</f>
        <v/>
      </c>
      <c r="M17" s="5">
        <f>IF(N17&gt;0,"Win",IF(N17&lt;0,"Loss",""))</f>
        <v/>
      </c>
      <c r="N17" s="5">
        <f>IF(AND(F17&lt;&gt;"",G17&lt;&gt;"",H17&lt;&gt;"",D17&lt;&gt;""), IF(E17="Long", (G17-F17)*H17*VLOOKUP(D17,Multipliers!A:B,2,FALSE), (F17-G17)*H17*VLOOKUP(D17,Multipliers!A:B,2,FALSE)), "")</f>
        <v/>
      </c>
      <c r="O17" s="10">
        <f>IF(AND(N17&lt;&gt;"",F17&lt;&gt;"",H17&lt;&gt;"",D17&lt;&gt;""), N17/(F17*H17*VLOOKUP(D17,Multipliers!A:B,2,FALSE)), "")</f>
        <v/>
      </c>
      <c r="P17" s="5">
        <f>P16+N17</f>
        <v/>
      </c>
      <c r="Q17" s="5" t="inlineStr"/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n"/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4" t="n">
        <v>46246</v>
      </c>
      <c r="C18" s="11" t="n">
        <v>0.4015393518518519</v>
      </c>
      <c r="D18" s="5" t="inlineStr">
        <is>
          <t>MNQ</t>
        </is>
      </c>
      <c r="E18" s="5" t="inlineStr">
        <is>
          <t>Short</t>
        </is>
      </c>
      <c r="F18" s="8" t="n">
        <v>29915.75</v>
      </c>
      <c r="G18" s="8" t="n">
        <v>29881</v>
      </c>
      <c r="H18" s="5" t="n">
        <v>1</v>
      </c>
      <c r="I18" s="8" t="n"/>
      <c r="J18" s="8" t="n">
        <v>29881</v>
      </c>
      <c r="K18" s="9">
        <f>IF(AND(I18&lt;&gt;"",J18&lt;&gt;"",F18&lt;&gt;""), (J18-F18)/(F18-I18), "")</f>
        <v/>
      </c>
      <c r="L18" s="9">
        <f>IF(AND(F18&lt;&gt;"",G18&lt;&gt;"",I18&lt;&gt;""), (G18-F18)/(F18-I18), "")</f>
        <v/>
      </c>
      <c r="M18" s="5">
        <f>IF(N18&gt;0,"Win",IF(N18&lt;0,"Loss",""))</f>
        <v/>
      </c>
      <c r="N18" s="5">
        <f>IF(AND(F18&lt;&gt;"",G18&lt;&gt;"",H18&lt;&gt;"",D18&lt;&gt;""), IF(E18="Long", (G18-F18)*H18*VLOOKUP(D18,Multipliers!A:B,2,FALSE), (F18-G18)*H18*VLOOKUP(D18,Multipliers!A:B,2,FALSE)), "")</f>
        <v/>
      </c>
      <c r="O18" s="10">
        <f>IF(AND(N18&lt;&gt;"",F18&lt;&gt;"",H18&lt;&gt;"",D18&lt;&gt;""), N18/(F18*H18*VLOOKUP(D18,Multipliers!A:B,2,FALSE)), "")</f>
        <v/>
      </c>
      <c r="P18" s="5">
        <f>P17+N18</f>
        <v/>
      </c>
      <c r="Q18" s="5" t="inlineStr"/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n"/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4" t="n">
        <v>46246</v>
      </c>
      <c r="C19" s="11" t="n">
        <v>0.4109837962962963</v>
      </c>
      <c r="D19" s="5" t="inlineStr">
        <is>
          <t>MGC</t>
        </is>
      </c>
      <c r="E19" s="5" t="inlineStr">
        <is>
          <t>Long</t>
        </is>
      </c>
      <c r="F19" s="8" t="n">
        <v>4490</v>
      </c>
      <c r="G19" s="8" t="n">
        <v>4485.4</v>
      </c>
      <c r="H19" s="5" t="n">
        <v>10</v>
      </c>
      <c r="I19" s="8" t="n"/>
      <c r="J19" s="8" t="n"/>
      <c r="K19" s="9">
        <f>IF(AND(I19&lt;&gt;"",J19&lt;&gt;"",F19&lt;&gt;""), (J19-F19)/(F19-I19), "")</f>
        <v/>
      </c>
      <c r="L19" s="9">
        <f>IF(AND(F19&lt;&gt;"",G19&lt;&gt;"",I19&lt;&gt;""), (G19-F19)/(F19-I19), "")</f>
        <v/>
      </c>
      <c r="M19" s="5">
        <f>IF(N19&gt;0,"Win",IF(N19&lt;0,"Loss",""))</f>
        <v/>
      </c>
      <c r="N19" s="5">
        <f>IF(AND(F19&lt;&gt;"",G19&lt;&gt;"",H19&lt;&gt;"",D19&lt;&gt;""), IF(E19="Long", (G19-F19)*H19*VLOOKUP(D19,Multipliers!A:B,2,FALSE), (F19-G19)*H19*VLOOKUP(D19,Multipliers!A:B,2,FALSE)), "")</f>
        <v/>
      </c>
      <c r="O19" s="10">
        <f>IF(AND(N19&lt;&gt;"",F19&lt;&gt;"",H19&lt;&gt;"",D19&lt;&gt;""), N19/(F19*H19*VLOOKUP(D19,Multipliers!A:B,2,FALSE)), "")</f>
        <v/>
      </c>
      <c r="P19" s="5">
        <f>P18+N19</f>
        <v/>
      </c>
      <c r="Q19" s="5" t="inlineStr"/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n"/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4" t="n">
        <v>46246</v>
      </c>
      <c r="C20" s="11" t="n">
        <v>0.4551967592592592</v>
      </c>
      <c r="D20" s="5" t="inlineStr">
        <is>
          <t>MNQ</t>
        </is>
      </c>
      <c r="E20" s="5" t="inlineStr">
        <is>
          <t>Long</t>
        </is>
      </c>
      <c r="F20" s="8" t="n">
        <v>29863</v>
      </c>
      <c r="G20" s="8" t="n">
        <v>29878.5</v>
      </c>
      <c r="H20" s="5" t="n">
        <v>3</v>
      </c>
      <c r="I20" s="8" t="n">
        <v>29833</v>
      </c>
      <c r="J20" s="8" t="n">
        <v>29878.5</v>
      </c>
      <c r="K20" s="9">
        <f>IF(AND(I20&lt;&gt;"",J20&lt;&gt;"",F20&lt;&gt;""), (J20-F20)/(F20-I20), "")</f>
        <v/>
      </c>
      <c r="L20" s="9">
        <f>IF(AND(F20&lt;&gt;"",G20&lt;&gt;"",I20&lt;&gt;""), (G20-F20)/(F20-I20), "")</f>
        <v/>
      </c>
      <c r="M20" s="5">
        <f>IF(N20&gt;0,"Win",IF(N20&lt;0,"Loss",""))</f>
        <v/>
      </c>
      <c r="N20" s="5">
        <f>IF(AND(F20&lt;&gt;"",G20&lt;&gt;"",H20&lt;&gt;"",D20&lt;&gt;""), IF(E20="Long", (G20-F20)*H20*VLOOKUP(D20,Multipliers!A:B,2,FALSE), (F20-G20)*H20*VLOOKUP(D20,Multipliers!A:B,2,FALSE)), "")</f>
        <v/>
      </c>
      <c r="O20" s="10">
        <f>IF(AND(N20&lt;&gt;"",F20&lt;&gt;"",H20&lt;&gt;"",D20&lt;&gt;""), N20/(F20*H20*VLOOKUP(D20,Multipliers!A:B,2,FALSE)), "")</f>
        <v/>
      </c>
      <c r="P20" s="5">
        <f>P19+N20</f>
        <v/>
      </c>
      <c r="Q20" s="5" t="inlineStr"/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n"/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4" t="n">
        <v>46246</v>
      </c>
      <c r="C21" s="11" t="n">
        <v>0.473912037037037</v>
      </c>
      <c r="D21" s="5" t="inlineStr">
        <is>
          <t>MNQ</t>
        </is>
      </c>
      <c r="E21" s="5" t="inlineStr">
        <is>
          <t>Long</t>
        </is>
      </c>
      <c r="F21" s="8" t="n">
        <v>29854</v>
      </c>
      <c r="G21" s="8" t="n">
        <v>29879.75</v>
      </c>
      <c r="H21" s="5" t="n">
        <v>3</v>
      </c>
      <c r="I21" s="8" t="n">
        <v>29834.5</v>
      </c>
      <c r="J21" s="8" t="n">
        <v>29894.5</v>
      </c>
      <c r="K21" s="9">
        <f>IF(AND(I21&lt;&gt;"",J21&lt;&gt;"",F21&lt;&gt;""), (J21-F21)/(F21-I21), "")</f>
        <v/>
      </c>
      <c r="L21" s="9">
        <f>IF(AND(F21&lt;&gt;"",G21&lt;&gt;"",I21&lt;&gt;""), (G21-F21)/(F21-I21), "")</f>
        <v/>
      </c>
      <c r="M21" s="5">
        <f>IF(N21&gt;0,"Win",IF(N21&lt;0,"Loss",""))</f>
        <v/>
      </c>
      <c r="N21" s="5">
        <f>IF(AND(F21&lt;&gt;"",G21&lt;&gt;"",H21&lt;&gt;"",D21&lt;&gt;""), IF(E21="Long", (G21-F21)*H21*VLOOKUP(D21,Multipliers!A:B,2,FALSE), (F21-G21)*H21*VLOOKUP(D21,Multipliers!A:B,2,FALSE)), "")</f>
        <v/>
      </c>
      <c r="O21" s="10">
        <f>IF(AND(N21&lt;&gt;"",F21&lt;&gt;"",H21&lt;&gt;"",D21&lt;&gt;""), N21/(F21*H21*VLOOKUP(D21,Multipliers!A:B,2,FALSE)), "")</f>
        <v/>
      </c>
      <c r="P21" s="5">
        <f>P20+N21</f>
        <v/>
      </c>
      <c r="Q21" s="5" t="inlineStr"/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n"/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4" t="n">
        <v>46246</v>
      </c>
      <c r="C22" s="11" t="n">
        <v>0.480625</v>
      </c>
      <c r="D22" s="5" t="inlineStr">
        <is>
          <t>MNQ</t>
        </is>
      </c>
      <c r="E22" s="5" t="inlineStr">
        <is>
          <t>Long</t>
        </is>
      </c>
      <c r="F22" s="8" t="n">
        <v>29855.75</v>
      </c>
      <c r="G22" s="8" t="n">
        <v>29833</v>
      </c>
      <c r="H22" s="5" t="n">
        <v>3</v>
      </c>
      <c r="I22" s="8" t="n">
        <v>29834.5</v>
      </c>
      <c r="J22" s="8" t="n">
        <v>29894.5</v>
      </c>
      <c r="K22" s="9">
        <f>IF(AND(I22&lt;&gt;"",J22&lt;&gt;"",F22&lt;&gt;""), (J22-F22)/(F22-I22), "")</f>
        <v/>
      </c>
      <c r="L22" s="9">
        <f>IF(AND(F22&lt;&gt;"",G22&lt;&gt;"",I22&lt;&gt;""), (G22-F22)/(F22-I22), "")</f>
        <v/>
      </c>
      <c r="M22" s="5">
        <f>IF(N22&gt;0,"Win",IF(N22&lt;0,"Loss",""))</f>
        <v/>
      </c>
      <c r="N22" s="5">
        <f>IF(AND(F22&lt;&gt;"",G22&lt;&gt;"",H22&lt;&gt;"",D22&lt;&gt;""), IF(E22="Long", (G22-F22)*H22*VLOOKUP(D22,Multipliers!A:B,2,FALSE), (F22-G22)*H22*VLOOKUP(D22,Multipliers!A:B,2,FALSE)), "")</f>
        <v/>
      </c>
      <c r="O22" s="10">
        <f>IF(AND(N22&lt;&gt;"",F22&lt;&gt;"",H22&lt;&gt;"",D22&lt;&gt;""), N22/(F22*H22*VLOOKUP(D22,Multipliers!A:B,2,FALSE)), "")</f>
        <v/>
      </c>
      <c r="P22" s="5">
        <f>P21+N22</f>
        <v/>
      </c>
      <c r="Q22" s="5" t="inlineStr"/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4" t="n">
        <v>46246</v>
      </c>
      <c r="C23" s="11" t="n">
        <v>0.4982523148148148</v>
      </c>
      <c r="D23" s="5" t="inlineStr">
        <is>
          <t>MNQ</t>
        </is>
      </c>
      <c r="E23" s="5" t="inlineStr">
        <is>
          <t>Short</t>
        </is>
      </c>
      <c r="F23" s="8" t="n">
        <v>29838.25</v>
      </c>
      <c r="G23" s="8" t="n">
        <v>29862.25</v>
      </c>
      <c r="H23" s="5" t="n">
        <v>3</v>
      </c>
      <c r="I23" s="8" t="n">
        <v>29858.5</v>
      </c>
      <c r="J23" s="8" t="n">
        <v>29823.5</v>
      </c>
      <c r="K23" s="9">
        <f>IF(AND(I23&lt;&gt;"",J23&lt;&gt;"",F23&lt;&gt;""), (J23-F23)/(F23-I23), "")</f>
        <v/>
      </c>
      <c r="L23" s="9">
        <f>IF(AND(F23&lt;&gt;"",G23&lt;&gt;"",I23&lt;&gt;""), (G23-F23)/(F23-I23), "")</f>
        <v/>
      </c>
      <c r="M23" s="5">
        <f>IF(N23&gt;0,"Win",IF(N23&lt;0,"Loss",""))</f>
        <v/>
      </c>
      <c r="N23" s="5">
        <f>IF(AND(F23&lt;&gt;"",G23&lt;&gt;"",H23&lt;&gt;"",D23&lt;&gt;""), IF(E23="Long", (G23-F23)*H23*VLOOKUP(D23,Multipliers!A:B,2,FALSE), (F23-G23)*H23*VLOOKUP(D23,Multipliers!A:B,2,FALSE)), "")</f>
        <v/>
      </c>
      <c r="O23" s="10">
        <f>IF(AND(N23&lt;&gt;"",F23&lt;&gt;"",H23&lt;&gt;"",D23&lt;&gt;""), N23/(F23*H23*VLOOKUP(D23,Multipliers!A:B,2,FALSE)), "")</f>
        <v/>
      </c>
      <c r="P23" s="5">
        <f>P22+N23</f>
        <v/>
      </c>
      <c r="Q23" s="5" t="inlineStr"/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4" t="n">
        <v>46246</v>
      </c>
      <c r="C24" s="11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8" t="n">
        <v>4471.8</v>
      </c>
      <c r="J24" s="8" t="n">
        <v>4458.5</v>
      </c>
      <c r="K24" s="9">
        <f>IF(AND(I24&lt;&gt;"",J24&lt;&gt;"",F24&lt;&gt;""), (J24-F24)/(F24-I24), "")</f>
        <v/>
      </c>
      <c r="L24" s="9">
        <f>IF(AND(F24&lt;&gt;"",G24&lt;&gt;"",I24&lt;&gt;""), (G24-F24)/(F24-I24), "")</f>
        <v/>
      </c>
      <c r="M24" s="5">
        <f>IF(N24&gt;0,"Win",IF(N24&lt;0,"Loss",""))</f>
        <v/>
      </c>
      <c r="N24" s="5">
        <f>IF(AND(F24&lt;&gt;"",G24&lt;&gt;"",H24&lt;&gt;"",D24&lt;&gt;""), IF(E24="Long", (G24-F24)*H24*VLOOKUP(D24,Multipliers!A:B,2,FALSE), (F24-G24)*H24*VLOOKUP(D24,Multipliers!A:B,2,FALSE)), "")</f>
        <v/>
      </c>
      <c r="O24" s="10">
        <f>IF(AND(N24&lt;&gt;"",F24&lt;&gt;"",H24&lt;&gt;"",D24&lt;&gt;""), N24/(F24*H24*VLOOKUP(D24,Multipliers!A:B,2,FALSE)), "")</f>
        <v/>
      </c>
      <c r="P24" s="5">
        <f>P23+N24</f>
        <v/>
      </c>
      <c r="Q24" s="5" t="inlineStr"/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4" t="n">
        <v>46247</v>
      </c>
      <c r="C25" s="11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8" t="n">
        <v>4451.8</v>
      </c>
      <c r="K25" s="9">
        <f>IF(AND(I25&lt;&gt;"",J25&lt;&gt;"",F25&lt;&gt;""), (J25-F25)/(F25-I25), "")</f>
        <v/>
      </c>
      <c r="L25" s="9">
        <f>IF(AND(F25&lt;&gt;"",G25&lt;&gt;"",I25&lt;&gt;""), (G25-F25)/(F25-I25), "")</f>
        <v/>
      </c>
      <c r="M25" s="5">
        <f>IF(N25&gt;0,"Win",IF(N25&lt;0,"Loss",""))</f>
        <v/>
      </c>
      <c r="N25" s="5">
        <f>IF(AND(F25&lt;&gt;"",G25&lt;&gt;"",H25&lt;&gt;"",D25&lt;&gt;""), IF(E25="Long", (G25-F25)*H25*VLOOKUP(D25,Multipliers!A:B,2,FALSE), (F25-G25)*H25*VLOOKUP(D25,Multipliers!A:B,2,FALSE)), "")</f>
        <v/>
      </c>
      <c r="O25" s="10">
        <f>IF(AND(N25&lt;&gt;"",F25&lt;&gt;"",H25&lt;&gt;"",D25&lt;&gt;""), N25/(F25*H25*VLOOKUP(D25,Multipliers!A:B,2,FALSE)), "")</f>
        <v/>
      </c>
      <c r="P25" s="5">
        <f>P24+N25</f>
        <v/>
      </c>
      <c r="Q25" s="5" t="inlineStr"/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4" t="n">
        <v>46247</v>
      </c>
      <c r="C26" s="11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8" t="n">
        <v>30127</v>
      </c>
      <c r="K26" s="9">
        <f>IF(AND(I26&lt;&gt;"",J26&lt;&gt;"",F26&lt;&gt;""), (J26-F26)/(F26-I26), "")</f>
        <v/>
      </c>
      <c r="L26" s="9">
        <f>IF(AND(F26&lt;&gt;"",G26&lt;&gt;"",I26&lt;&gt;""), (G26-F26)/(F26-I26), "")</f>
        <v/>
      </c>
      <c r="M26" s="5">
        <f>IF(N26&gt;0,"Win",IF(N26&lt;0,"Loss",""))</f>
        <v/>
      </c>
      <c r="N26" s="5">
        <f>IF(AND(F26&lt;&gt;"",G26&lt;&gt;"",H26&lt;&gt;"",D26&lt;&gt;""), IF(E26="Long", (G26-F26)*H26*VLOOKUP(D26,Multipliers!A:B,2,FALSE), (F26-G26)*H26*VLOOKUP(D26,Multipliers!A:B,2,FALSE)), "")</f>
        <v/>
      </c>
      <c r="O26" s="10">
        <f>IF(AND(N26&lt;&gt;"",F26&lt;&gt;"",H26&lt;&gt;"",D26&lt;&gt;""), N26/(F26*H26*VLOOKUP(D26,Multipliers!A:B,2,FALSE)), "")</f>
        <v/>
      </c>
      <c r="P26" s="5">
        <f>P25+N26</f>
        <v/>
      </c>
      <c r="Q26" s="5" t="inlineStr"/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4" t="n">
        <v>46247</v>
      </c>
      <c r="C27" s="11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8" t="n">
        <v>4418</v>
      </c>
      <c r="K27" s="9">
        <f>IF(AND(I27&lt;&gt;"",J27&lt;&gt;"",F27&lt;&gt;""), (J27-F27)/(F27-I27), "")</f>
        <v/>
      </c>
      <c r="L27" s="9">
        <f>IF(AND(F27&lt;&gt;"",G27&lt;&gt;"",I27&lt;&gt;""), (G27-F27)/(F27-I27), "")</f>
        <v/>
      </c>
      <c r="M27" s="5">
        <f>IF(N27&gt;0,"Win",IF(N27&lt;0,"Loss",""))</f>
        <v/>
      </c>
      <c r="N27" s="5">
        <f>IF(AND(F27&lt;&gt;"",G27&lt;&gt;"",H27&lt;&gt;"",D27&lt;&gt;""), IF(E27="Long", (G27-F27)*H27*VLOOKUP(D27,Multipliers!A:B,2,FALSE), (F27-G27)*H27*VLOOKUP(D27,Multipliers!A:B,2,FALSE)), "")</f>
        <v/>
      </c>
      <c r="O27" s="10">
        <f>IF(AND(N27&lt;&gt;"",F27&lt;&gt;"",H27&lt;&gt;"",D27&lt;&gt;""), N27/(F27*H27*VLOOKUP(D27,Multipliers!A:B,2,FALSE)), "")</f>
        <v/>
      </c>
      <c r="P27" s="5">
        <f>P26+N27</f>
        <v/>
      </c>
      <c r="Q27" s="5" t="inlineStr"/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4" t="n">
        <v>46247</v>
      </c>
      <c r="C28" s="11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8" t="n"/>
      <c r="K28" s="9">
        <f>IF(AND(I28&lt;&gt;"",J28&lt;&gt;"",F28&lt;&gt;""), (J28-F28)/(F28-I28), "")</f>
        <v/>
      </c>
      <c r="L28" s="9">
        <f>IF(AND(F28&lt;&gt;"",G28&lt;&gt;"",I28&lt;&gt;""), (G28-F28)/(F28-I28), "")</f>
        <v/>
      </c>
      <c r="M28" s="5">
        <f>IF(N28&gt;0,"Win",IF(N28&lt;0,"Loss",""))</f>
        <v/>
      </c>
      <c r="N28" s="5">
        <f>IF(AND(F28&lt;&gt;"",G28&lt;&gt;"",H28&lt;&gt;"",D28&lt;&gt;""), IF(E28="Long", (G28-F28)*H28*VLOOKUP(D28,Multipliers!A:B,2,FALSE), (F28-G28)*H28*VLOOKUP(D28,Multipliers!A:B,2,FALSE)), "")</f>
        <v/>
      </c>
      <c r="O28" s="10">
        <f>IF(AND(N28&lt;&gt;"",F28&lt;&gt;"",H28&lt;&gt;"",D28&lt;&gt;""), N28/(F28*H28*VLOOKUP(D28,Multipliers!A:B,2,FALSE)), "")</f>
        <v/>
      </c>
      <c r="P28" s="5">
        <f>P27+N28</f>
        <v/>
      </c>
      <c r="Q28" s="5" t="inlineStr"/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4" t="n">
        <v>46247</v>
      </c>
      <c r="C29" s="11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8" t="n">
        <v>4369.3</v>
      </c>
      <c r="K29" s="9">
        <f>IF(AND(I29&lt;&gt;"",J29&lt;&gt;"",F29&lt;&gt;""), (J29-F29)/(F29-I29), "")</f>
        <v/>
      </c>
      <c r="L29" s="9">
        <f>IF(AND(F29&lt;&gt;"",G29&lt;&gt;"",I29&lt;&gt;""), (G29-F29)/(F29-I29), "")</f>
        <v/>
      </c>
      <c r="M29" s="5">
        <f>IF(N29&gt;0,"Win",IF(N29&lt;0,"Loss",""))</f>
        <v/>
      </c>
      <c r="N29" s="5">
        <f>IF(AND(F29&lt;&gt;"",G29&lt;&gt;"",H29&lt;&gt;"",D29&lt;&gt;""), IF(E29="Long", (G29-F29)*H29*VLOOKUP(D29,Multipliers!A:B,2,FALSE), (F29-G29)*H29*VLOOKUP(D29,Multipliers!A:B,2,FALSE)), "")</f>
        <v/>
      </c>
      <c r="O29" s="10">
        <f>IF(AND(N29&lt;&gt;"",F29&lt;&gt;"",H29&lt;&gt;"",D29&lt;&gt;""), N29/(F29*H29*VLOOKUP(D29,Multipliers!A:B,2,FALSE)), "")</f>
        <v/>
      </c>
      <c r="P29" s="5">
        <f>P28+N29</f>
        <v/>
      </c>
      <c r="Q29" s="5" t="inlineStr"/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4" t="n">
        <v>46248</v>
      </c>
      <c r="C30" s="11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8" t="n">
        <v>30272</v>
      </c>
      <c r="K30" s="9">
        <f>IF(AND(I30&lt;&gt;"",J30&lt;&gt;"",F30&lt;&gt;""), (J30-F30)/(F30-I30), "")</f>
        <v/>
      </c>
      <c r="L30" s="9">
        <f>IF(AND(F30&lt;&gt;"",G30&lt;&gt;"",I30&lt;&gt;""), (G30-F30)/(F30-I30), "")</f>
        <v/>
      </c>
      <c r="M30" s="5">
        <f>IF(N30&gt;0,"Win",IF(N30&lt;0,"Loss",""))</f>
        <v/>
      </c>
      <c r="N30" s="5">
        <f>IF(AND(F30&lt;&gt;"",G30&lt;&gt;"",H30&lt;&gt;"",D30&lt;&gt;""), IF(E30="Long", (G30-F30)*H30*VLOOKUP(D30,Multipliers!A:B,2,FALSE), (F30-G30)*H30*VLOOKUP(D30,Multipliers!A:B,2,FALSE)), "")</f>
        <v/>
      </c>
      <c r="O30" s="10">
        <f>IF(AND(N30&lt;&gt;"",F30&lt;&gt;"",H30&lt;&gt;"",D30&lt;&gt;""), N30/(F30*H30*VLOOKUP(D30,Multipliers!A:B,2,FALSE)), "")</f>
        <v/>
      </c>
      <c r="P30" s="5">
        <f>P29+N30</f>
        <v/>
      </c>
      <c r="Q30" s="5" t="inlineStr"/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4" t="n">
        <v>46248</v>
      </c>
      <c r="C31" s="11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8" t="n">
        <v>30225.5</v>
      </c>
      <c r="K31" s="9">
        <f>IF(AND(I31&lt;&gt;"",J31&lt;&gt;"",F31&lt;&gt;""), (J31-F31)/(F31-I31), "")</f>
        <v/>
      </c>
      <c r="L31" s="9">
        <f>IF(AND(F31&lt;&gt;"",G31&lt;&gt;"",I31&lt;&gt;""), (G31-F31)/(F31-I31), "")</f>
        <v/>
      </c>
      <c r="M31" s="5">
        <f>IF(N31&gt;0,"Win",IF(N31&lt;0,"Loss",""))</f>
        <v/>
      </c>
      <c r="N31" s="5">
        <f>IF(AND(F31&lt;&gt;"",G31&lt;&gt;"",H31&lt;&gt;"",D31&lt;&gt;""), IF(E31="Long", (G31-F31)*H31*VLOOKUP(D31,Multipliers!A:B,2,FALSE), (F31-G31)*H31*VLOOKUP(D31,Multipliers!A:B,2,FALSE)), "")</f>
        <v/>
      </c>
      <c r="O31" s="10">
        <f>IF(AND(N31&lt;&gt;"",F31&lt;&gt;"",H31&lt;&gt;"",D31&lt;&gt;""), N31/(F31*H31*VLOOKUP(D31,Multipliers!A:B,2,FALSE)), "")</f>
        <v/>
      </c>
      <c r="P31" s="5">
        <f>P30+N31</f>
        <v/>
      </c>
      <c r="Q31" s="5" t="inlineStr"/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4" t="n">
        <v>46248</v>
      </c>
      <c r="C32" s="11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8" t="n">
        <v>30058.25</v>
      </c>
      <c r="K32" s="9">
        <f>IF(AND(I32&lt;&gt;"",J32&lt;&gt;"",F32&lt;&gt;""), (J32-F32)/(F32-I32), "")</f>
        <v/>
      </c>
      <c r="L32" s="9">
        <f>IF(AND(F32&lt;&gt;"",G32&lt;&gt;"",I32&lt;&gt;""), (G32-F32)/(F32-I32), "")</f>
        <v/>
      </c>
      <c r="M32" s="5">
        <f>IF(N32&gt;0,"Win",IF(N32&lt;0,"Loss",""))</f>
        <v/>
      </c>
      <c r="N32" s="5">
        <f>IF(AND(F32&lt;&gt;"",G32&lt;&gt;"",H32&lt;&gt;"",D32&lt;&gt;""), IF(E32="Long", (G32-F32)*H32*VLOOKUP(D32,Multipliers!A:B,2,FALSE), (F32-G32)*H32*VLOOKUP(D32,Multipliers!A:B,2,FALSE)), "")</f>
        <v/>
      </c>
      <c r="O32" s="10">
        <f>IF(AND(N32&lt;&gt;"",F32&lt;&gt;"",H32&lt;&gt;"",D32&lt;&gt;""), N32/(F32*H32*VLOOKUP(D32,Multipliers!A:B,2,FALSE)), "")</f>
        <v/>
      </c>
      <c r="P32" s="5">
        <f>P31+N32</f>
        <v/>
      </c>
      <c r="Q32" s="5" t="inlineStr"/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4" t="n">
        <v>46248</v>
      </c>
      <c r="C33" s="11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8" t="n">
        <v>30064</v>
      </c>
      <c r="K33" s="9">
        <f>IF(AND(I33&lt;&gt;"",J33&lt;&gt;"",F33&lt;&gt;""), (J33-F33)/(F33-I33), "")</f>
        <v/>
      </c>
      <c r="L33" s="9">
        <f>IF(AND(F33&lt;&gt;"",G33&lt;&gt;"",I33&lt;&gt;""), (G33-F33)/(F33-I33), "")</f>
        <v/>
      </c>
      <c r="M33" s="5">
        <f>IF(N33&gt;0,"Win",IF(N33&lt;0,"Loss",""))</f>
        <v/>
      </c>
      <c r="N33" s="5">
        <f>IF(AND(F33&lt;&gt;"",G33&lt;&gt;"",H33&lt;&gt;"",D33&lt;&gt;""), IF(E33="Long", (G33-F33)*H33*VLOOKUP(D33,Multipliers!A:B,2,FALSE), (F33-G33)*H33*VLOOKUP(D33,Multipliers!A:B,2,FALSE)), "")</f>
        <v/>
      </c>
      <c r="O33" s="10">
        <f>IF(AND(N33&lt;&gt;"",F33&lt;&gt;"",H33&lt;&gt;"",D33&lt;&gt;""), N33/(F33*H33*VLOOKUP(D33,Multipliers!A:B,2,FALSE)), "")</f>
        <v/>
      </c>
      <c r="P33" s="5">
        <f>P32+N33</f>
        <v/>
      </c>
      <c r="Q33" s="5" t="inlineStr"/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4" t="n">
        <v>46248</v>
      </c>
      <c r="C34" s="11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8" t="n">
        <v>30074.5</v>
      </c>
      <c r="K34" s="9">
        <f>IF(AND(I34&lt;&gt;"",J34&lt;&gt;"",F34&lt;&gt;""), (J34-F34)/(F34-I34), "")</f>
        <v/>
      </c>
      <c r="L34" s="9">
        <f>IF(AND(F34&lt;&gt;"",G34&lt;&gt;"",I34&lt;&gt;""), (G34-F34)/(F34-I34), "")</f>
        <v/>
      </c>
      <c r="M34" s="5">
        <f>IF(N34&gt;0,"Win",IF(N34&lt;0,"Loss",""))</f>
        <v/>
      </c>
      <c r="N34" s="5">
        <f>IF(AND(F34&lt;&gt;"",G34&lt;&gt;"",H34&lt;&gt;"",D34&lt;&gt;""), IF(E34="Long", (G34-F34)*H34*VLOOKUP(D34,Multipliers!A:B,2,FALSE), (F34-G34)*H34*VLOOKUP(D34,Multipliers!A:B,2,FALSE)), "")</f>
        <v/>
      </c>
      <c r="O34" s="10">
        <f>IF(AND(N34&lt;&gt;"",F34&lt;&gt;"",H34&lt;&gt;"",D34&lt;&gt;""), N34/(F34*H34*VLOOKUP(D34,Multipliers!A:B,2,FALSE)), "")</f>
        <v/>
      </c>
      <c r="P34" s="5">
        <f>P33+N34</f>
        <v/>
      </c>
      <c r="Q34" s="5" t="inlineStr"/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4" t="n">
        <v>46248</v>
      </c>
      <c r="C35" s="11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8" t="n">
        <v>30074.5</v>
      </c>
      <c r="K35" s="9">
        <f>IF(AND(I35&lt;&gt;"",J35&lt;&gt;"",F35&lt;&gt;""), (J35-F35)/(F35-I35), "")</f>
        <v/>
      </c>
      <c r="L35" s="9">
        <f>IF(AND(F35&lt;&gt;"",G35&lt;&gt;"",I35&lt;&gt;""), (G35-F35)/(F35-I35), "")</f>
        <v/>
      </c>
      <c r="M35" s="5">
        <f>IF(N35&gt;0,"Win",IF(N35&lt;0,"Loss",""))</f>
        <v/>
      </c>
      <c r="N35" s="5">
        <f>IF(AND(F35&lt;&gt;"",G35&lt;&gt;"",H35&lt;&gt;"",D35&lt;&gt;""), IF(E35="Long", (G35-F35)*H35*VLOOKUP(D35,Multipliers!A:B,2,FALSE), (F35-G35)*H35*VLOOKUP(D35,Multipliers!A:B,2,FALSE)), "")</f>
        <v/>
      </c>
      <c r="O35" s="10">
        <f>IF(AND(N35&lt;&gt;"",F35&lt;&gt;"",H35&lt;&gt;"",D35&lt;&gt;""), N35/(F35*H35*VLOOKUP(D35,Multipliers!A:B,2,FALSE)), "")</f>
        <v/>
      </c>
      <c r="P35" s="5">
        <f>P34+N35</f>
        <v/>
      </c>
      <c r="Q35" s="5" t="inlineStr"/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4" t="n">
        <v>46252</v>
      </c>
      <c r="C36" s="11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8" t="n">
        <v>4454</v>
      </c>
      <c r="K36" s="9">
        <f>IF(AND(I36&lt;&gt;"",J36&lt;&gt;"",F36&lt;&gt;""), (J36-F36)/(F36-I36), "")</f>
        <v/>
      </c>
      <c r="L36" s="9">
        <f>IF(AND(F36&lt;&gt;"",G36&lt;&gt;"",I36&lt;&gt;""), (G36-F36)/(F36-I36), "")</f>
        <v/>
      </c>
      <c r="M36" s="5">
        <f>IF(N36&gt;0,"Win",IF(N36&lt;0,"Loss",""))</f>
        <v/>
      </c>
      <c r="N36" s="5">
        <f>IF(AND(F36&lt;&gt;"",G36&lt;&gt;"",H36&lt;&gt;"",D36&lt;&gt;""), IF(E36="Long", (G36-F36)*H36*VLOOKUP(D36,Multipliers!A:B,2,FALSE), (F36-G36)*H36*VLOOKUP(D36,Multipliers!A:B,2,FALSE)), "")</f>
        <v/>
      </c>
      <c r="O36" s="10">
        <f>IF(AND(N36&lt;&gt;"",F36&lt;&gt;"",H36&lt;&gt;"",D36&lt;&gt;""), N36/(F36*H36*VLOOKUP(D36,Multipliers!A:B,2,FALSE)), "")</f>
        <v/>
      </c>
      <c r="P36" s="5">
        <f>P35+N36</f>
        <v/>
      </c>
      <c r="Q36" s="5" t="inlineStr"/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4" t="n">
        <v>46252</v>
      </c>
      <c r="C37" s="11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8" t="n">
        <v>4467</v>
      </c>
      <c r="K37" s="9">
        <f>IF(AND(I37&lt;&gt;"",J37&lt;&gt;"",F37&lt;&gt;""), (J37-F37)/(F37-I37), "")</f>
        <v/>
      </c>
      <c r="L37" s="9">
        <f>IF(AND(F37&lt;&gt;"",G37&lt;&gt;"",I37&lt;&gt;""), (G37-F37)/(F37-I37), "")</f>
        <v/>
      </c>
      <c r="M37" s="5">
        <f>IF(N37&gt;0,"Win",IF(N37&lt;0,"Loss",""))</f>
        <v/>
      </c>
      <c r="N37" s="5">
        <f>IF(AND(F37&lt;&gt;"",G37&lt;&gt;"",H37&lt;&gt;"",D37&lt;&gt;""), IF(E37="Long", (G37-F37)*H37*VLOOKUP(D37,Multipliers!A:B,2,FALSE), (F37-G37)*H37*VLOOKUP(D37,Multipliers!A:B,2,FALSE)), "")</f>
        <v/>
      </c>
      <c r="O37" s="10">
        <f>IF(AND(N37&lt;&gt;"",F37&lt;&gt;"",H37&lt;&gt;"",D37&lt;&gt;""), N37/(F37*H37*VLOOKUP(D37,Multipliers!A:B,2,FALSE)), "")</f>
        <v/>
      </c>
      <c r="P37" s="5">
        <f>P36+N37</f>
        <v/>
      </c>
      <c r="Q37" s="5" t="inlineStr"/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4" t="n">
        <v>46252</v>
      </c>
      <c r="C38" s="11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9">
        <f>IF(AND(I38&lt;&gt;"",J38&lt;&gt;"",F38&lt;&gt;""), (J38-F38)/(F38-I38), "")</f>
        <v/>
      </c>
      <c r="L38" s="9">
        <f>IF(AND(F38&lt;&gt;"",G38&lt;&gt;"",I38&lt;&gt;""), (G38-F38)/(F38-I38), "")</f>
        <v/>
      </c>
      <c r="M38" s="5">
        <f>IF(N38&gt;0,"Win",IF(N38&lt;0,"Loss",""))</f>
        <v/>
      </c>
      <c r="N38" s="5">
        <f>IF(AND(F38&lt;&gt;"",G38&lt;&gt;"",H38&lt;&gt;"",D38&lt;&gt;""), IF(E38="Long", (G38-F38)*H38*VLOOKUP(D38,Multipliers!A:B,2,FALSE), (F38-G38)*H38*VLOOKUP(D38,Multipliers!A:B,2,FALSE)), "")</f>
        <v/>
      </c>
      <c r="O38" s="10">
        <f>IF(AND(N38&lt;&gt;"",F38&lt;&gt;"",H38&lt;&gt;"",D38&lt;&gt;""), N38/(F38*H38*VLOOKUP(D38,Multipliers!A:B,2,FALSE)), "")</f>
        <v/>
      </c>
      <c r="P38" s="5">
        <f>P37+N38</f>
        <v/>
      </c>
      <c r="Q38" s="5" t="inlineStr"/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4" t="n">
        <v>46252</v>
      </c>
      <c r="C39" s="11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9">
        <f>IF(AND(I39&lt;&gt;"",J39&lt;&gt;"",F39&lt;&gt;""), (J39-F39)/(F39-I39), "")</f>
        <v/>
      </c>
      <c r="L39" s="9">
        <f>IF(AND(F39&lt;&gt;"",G39&lt;&gt;"",I39&lt;&gt;""), (G39-F39)/(F39-I39), "")</f>
        <v/>
      </c>
      <c r="M39" s="5">
        <f>IF(N39&gt;0,"Win",IF(N39&lt;0,"Loss",""))</f>
        <v/>
      </c>
      <c r="N39" s="5">
        <f>IF(AND(F39&lt;&gt;"",G39&lt;&gt;"",H39&lt;&gt;"",D39&lt;&gt;""), IF(E39="Long", (G39-F39)*H39*VLOOKUP(D39,Multipliers!A:B,2,FALSE), (F39-G39)*H39*VLOOKUP(D39,Multipliers!A:B,2,FALSE)), "")</f>
        <v/>
      </c>
      <c r="O39" s="10">
        <f>IF(AND(N39&lt;&gt;"",F39&lt;&gt;"",H39&lt;&gt;"",D39&lt;&gt;""), N39/(F39*H39*VLOOKUP(D39,Multipliers!A:B,2,FALSE)), "")</f>
        <v/>
      </c>
      <c r="P39" s="5">
        <f>P38+N39</f>
        <v/>
      </c>
      <c r="Q39" s="5" t="inlineStr"/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4" t="n">
        <v>46252</v>
      </c>
      <c r="C40" s="11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9">
        <f>IF(AND(I40&lt;&gt;"",J40&lt;&gt;"",F40&lt;&gt;""), (J40-F40)/(F40-I40), "")</f>
        <v/>
      </c>
      <c r="L40" s="9">
        <f>IF(AND(F40&lt;&gt;"",G40&lt;&gt;"",I40&lt;&gt;""), (G40-F40)/(F40-I40), "")</f>
        <v/>
      </c>
      <c r="M40" s="5">
        <f>IF(N40&gt;0,"Win",IF(N40&lt;0,"Loss",""))</f>
        <v/>
      </c>
      <c r="N40" s="5">
        <f>IF(AND(F40&lt;&gt;"",G40&lt;&gt;"",H40&lt;&gt;"",D40&lt;&gt;""), IF(E40="Long", (G40-F40)*H40*VLOOKUP(D40,Multipliers!A:B,2,FALSE), (F40-G40)*H40*VLOOKUP(D40,Multipliers!A:B,2,FALSE)), "")</f>
        <v/>
      </c>
      <c r="O40" s="10">
        <f>IF(AND(N40&lt;&gt;"",F40&lt;&gt;"",H40&lt;&gt;"",D40&lt;&gt;""), N40/(F40*H40*VLOOKUP(D40,Multipliers!A:B,2,FALSE)), "")</f>
        <v/>
      </c>
      <c r="P40" s="5">
        <f>P39+N40</f>
        <v/>
      </c>
      <c r="Q40" s="5" t="inlineStr"/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4" t="n">
        <v>46253</v>
      </c>
      <c r="C41" s="11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9">
        <f>IF(AND(I41&lt;&gt;"",J41&lt;&gt;"",F41&lt;&gt;""), (J41-F41)/(F41-I41), "")</f>
        <v/>
      </c>
      <c r="L41" s="9">
        <f>IF(AND(F41&lt;&gt;"",G41&lt;&gt;"",I41&lt;&gt;""), (G41-F41)/(F41-I41), "")</f>
        <v/>
      </c>
      <c r="M41" s="5">
        <f>IF(N41&gt;0,"Win",IF(N41&lt;0,"Loss",""))</f>
        <v/>
      </c>
      <c r="N41" s="5">
        <f>IF(AND(F41&lt;&gt;"",G41&lt;&gt;"",H41&lt;&gt;"",D41&lt;&gt;""), IF(E41="Long", (G41-F41)*H41*VLOOKUP(D41,Multipliers!A:B,2,FALSE), (F41-G41)*H41*VLOOKUP(D41,Multipliers!A:B,2,FALSE)), "")</f>
        <v/>
      </c>
      <c r="O41" s="10">
        <f>IF(AND(N41&lt;&gt;"",F41&lt;&gt;"",H41&lt;&gt;"",D41&lt;&gt;""), N41/(F41*H41*VLOOKUP(D41,Multipliers!A:B,2,FALSE)), "")</f>
        <v/>
      </c>
      <c r="P41" s="5">
        <f>P40+N41</f>
        <v/>
      </c>
      <c r="Q41" s="5" t="inlineStr"/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4" t="n">
        <v>46253</v>
      </c>
      <c r="C42" s="11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9">
        <f>IF(AND(I42&lt;&gt;"",J42&lt;&gt;"",F42&lt;&gt;""), (J42-F42)/(F42-I42), "")</f>
        <v/>
      </c>
      <c r="L42" s="9">
        <f>IF(AND(F42&lt;&gt;"",G42&lt;&gt;"",I42&lt;&gt;""), (G42-F42)/(F42-I42), "")</f>
        <v/>
      </c>
      <c r="M42" s="5">
        <f>IF(N42&gt;0,"Win",IF(N42&lt;0,"Loss",""))</f>
        <v/>
      </c>
      <c r="N42" s="5">
        <f>IF(AND(F42&lt;&gt;"",G42&lt;&gt;"",H42&lt;&gt;"",D42&lt;&gt;""), IF(E42="Long", (G42-F42)*H42*VLOOKUP(D42,Multipliers!A:B,2,FALSE), (F42-G42)*H42*VLOOKUP(D42,Multipliers!A:B,2,FALSE)), "")</f>
        <v/>
      </c>
      <c r="O42" s="10">
        <f>IF(AND(N42&lt;&gt;"",F42&lt;&gt;"",H42&lt;&gt;"",D42&lt;&gt;""), N42/(F42*H42*VLOOKUP(D42,Multipliers!A:B,2,FALSE)), "")</f>
        <v/>
      </c>
      <c r="P42" s="5">
        <f>P41+N42</f>
        <v/>
      </c>
      <c r="Q42" s="5" t="inlineStr"/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4" t="n">
        <v>46253</v>
      </c>
      <c r="C43" s="11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9">
        <f>IF(AND(I43&lt;&gt;"",J43&lt;&gt;"",F43&lt;&gt;""), (J43-F43)/(F43-I43), "")</f>
        <v/>
      </c>
      <c r="L43" s="9">
        <f>IF(AND(F43&lt;&gt;"",G43&lt;&gt;"",I43&lt;&gt;""), (G43-F43)/(F43-I43), "")</f>
        <v/>
      </c>
      <c r="M43" s="5">
        <f>IF(N43&gt;0,"Win",IF(N43&lt;0,"Loss",""))</f>
        <v/>
      </c>
      <c r="N43" s="5">
        <f>IF(AND(F43&lt;&gt;"",G43&lt;&gt;"",H43&lt;&gt;"",D43&lt;&gt;""), IF(E43="Long", (G43-F43)*H43*VLOOKUP(D43,Multipliers!A:B,2,FALSE), (F43-G43)*H43*VLOOKUP(D43,Multipliers!A:B,2,FALSE)), "")</f>
        <v/>
      </c>
      <c r="O43" s="10">
        <f>IF(AND(N43&lt;&gt;"",F43&lt;&gt;"",H43&lt;&gt;"",D43&lt;&gt;""), N43/(F43*H43*VLOOKUP(D43,Multipliers!A:B,2,FALSE)), "")</f>
        <v/>
      </c>
      <c r="P43" s="5">
        <f>P42+N43</f>
        <v/>
      </c>
      <c r="Q43" s="5" t="inlineStr"/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4" t="n">
        <v>46253</v>
      </c>
      <c r="C44" s="11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9">
        <f>IF(AND(I44&lt;&gt;"",J44&lt;&gt;"",F44&lt;&gt;""), (J44-F44)/(F44-I44), "")</f>
        <v/>
      </c>
      <c r="L44" s="9">
        <f>IF(AND(F44&lt;&gt;"",G44&lt;&gt;"",I44&lt;&gt;""), (G44-F44)/(F44-I44), "")</f>
        <v/>
      </c>
      <c r="M44" s="5">
        <f>IF(N44&gt;0,"Win",IF(N44&lt;0,"Loss",""))</f>
        <v/>
      </c>
      <c r="N44" s="5">
        <f>IF(AND(F44&lt;&gt;"",G44&lt;&gt;"",H44&lt;&gt;"",D44&lt;&gt;""), IF(E44="Long", (G44-F44)*H44*VLOOKUP(D44,Multipliers!A:B,2,FALSE), (F44-G44)*H44*VLOOKUP(D44,Multipliers!A:B,2,FALSE)), "")</f>
        <v/>
      </c>
      <c r="O44" s="10">
        <f>IF(AND(N44&lt;&gt;"",F44&lt;&gt;"",H44&lt;&gt;"",D44&lt;&gt;""), N44/(F44*H44*VLOOKUP(D44,Multipliers!A:B,2,FALSE)), "")</f>
        <v/>
      </c>
      <c r="P44" s="5">
        <f>P43+N44</f>
        <v/>
      </c>
      <c r="Q44" s="5" t="inlineStr"/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4" t="n">
        <v>46254</v>
      </c>
      <c r="C45" s="11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9">
        <f>IF(AND(I45&lt;&gt;"",J45&lt;&gt;"",F45&lt;&gt;""), (J45-F45)/(F45-I45), "")</f>
        <v/>
      </c>
      <c r="L45" s="9">
        <f>IF(AND(F45&lt;&gt;"",G45&lt;&gt;"",I45&lt;&gt;""), (G45-F45)/(F45-I45), "")</f>
        <v/>
      </c>
      <c r="M45" s="5">
        <f>IF(N45&gt;0,"Win",IF(N45&lt;0,"Loss",""))</f>
        <v/>
      </c>
      <c r="N45" s="5">
        <f>IF(AND(F45&lt;&gt;"",G45&lt;&gt;"",H45&lt;&gt;"",D45&lt;&gt;""), IF(E45="Long", (G45-F45)*H45*VLOOKUP(D45,Multipliers!A:B,2,FALSE), (F45-G45)*H45*VLOOKUP(D45,Multipliers!A:B,2,FALSE)), "")</f>
        <v/>
      </c>
      <c r="O45" s="10">
        <f>IF(AND(N45&lt;&gt;"",F45&lt;&gt;"",H45&lt;&gt;"",D45&lt;&gt;""), N45/(F45*H45*VLOOKUP(D45,Multipliers!A:B,2,FALSE)), "")</f>
        <v/>
      </c>
      <c r="P45" s="5">
        <f>P44+N45</f>
        <v/>
      </c>
      <c r="Q45" s="5" t="inlineStr"/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4" t="n">
        <v>46254</v>
      </c>
      <c r="C46" s="11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9">
        <f>IF(AND(I46&lt;&gt;"",J46&lt;&gt;"",F46&lt;&gt;""), (J46-F46)/(F46-I46), "")</f>
        <v/>
      </c>
      <c r="L46" s="9">
        <f>IF(AND(F46&lt;&gt;"",G46&lt;&gt;"",I46&lt;&gt;""), (G46-F46)/(F46-I46), "")</f>
        <v/>
      </c>
      <c r="M46" s="5">
        <f>IF(N46&gt;0,"Win",IF(N46&lt;0,"Loss",""))</f>
        <v/>
      </c>
      <c r="N46" s="5">
        <f>IF(AND(F46&lt;&gt;"",G46&lt;&gt;"",H46&lt;&gt;"",D46&lt;&gt;""), IF(E46="Long", (G46-F46)*H46*VLOOKUP(D46,Multipliers!A:B,2,FALSE), (F46-G46)*H46*VLOOKUP(D46,Multipliers!A:B,2,FALSE)), "")</f>
        <v/>
      </c>
      <c r="O46" s="10">
        <f>IF(AND(N46&lt;&gt;"",F46&lt;&gt;"",H46&lt;&gt;"",D46&lt;&gt;""), N46/(F46*H46*VLOOKUP(D46,Multipliers!A:B,2,FALSE)), "")</f>
        <v/>
      </c>
      <c r="P46" s="5">
        <f>P45+N46</f>
        <v/>
      </c>
      <c r="Q46" s="5" t="inlineStr"/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4" t="n">
        <v>46255</v>
      </c>
      <c r="C47" s="11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9">
        <f>IF(AND(I47&lt;&gt;"",J47&lt;&gt;"",F47&lt;&gt;""), (J47-F47)/(F47-I47), "")</f>
        <v/>
      </c>
      <c r="L47" s="9">
        <f>IF(AND(F47&lt;&gt;"",G47&lt;&gt;"",I47&lt;&gt;""), (G47-F47)/(F47-I47), "")</f>
        <v/>
      </c>
      <c r="M47" s="5">
        <f>IF(N47&gt;0,"Win",IF(N47&lt;0,"Loss",""))</f>
        <v/>
      </c>
      <c r="N47" s="5">
        <f>IF(AND(F47&lt;&gt;"",G47&lt;&gt;"",H47&lt;&gt;"",D47&lt;&gt;""), IF(E47="Long", (G47-F47)*H47*VLOOKUP(D47,Multipliers!A:B,2,FALSE), (F47-G47)*H47*VLOOKUP(D47,Multipliers!A:B,2,FALSE)), "")</f>
        <v/>
      </c>
      <c r="O47" s="10">
        <f>IF(AND(N47&lt;&gt;"",F47&lt;&gt;"",H47&lt;&gt;"",D47&lt;&gt;""), N47/(F47*H47*VLOOKUP(D47,Multipliers!A:B,2,FALSE)), "")</f>
        <v/>
      </c>
      <c r="P47" s="5">
        <f>P46+N47</f>
        <v/>
      </c>
      <c r="Q47" s="5" t="inlineStr"/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4" t="n">
        <v>46257</v>
      </c>
      <c r="C48" s="11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9">
        <f>IF(AND(I48&lt;&gt;"",J48&lt;&gt;"",F48&lt;&gt;""), (J48-F48)/(F48-I48), "")</f>
        <v/>
      </c>
      <c r="L48" s="9">
        <f>IF(AND(F48&lt;&gt;"",G48&lt;&gt;"",I48&lt;&gt;""), (G48-F48)/(F48-I48), "")</f>
        <v/>
      </c>
      <c r="M48" s="5">
        <f>IF(N48&gt;0,"Win",IF(N48&lt;0,"Loss",""))</f>
        <v/>
      </c>
      <c r="N48" s="5">
        <f>IF(AND(F48&lt;&gt;"",G48&lt;&gt;"",H48&lt;&gt;"",D48&lt;&gt;""), IF(E48="Long", (G48-F48)*H48*VLOOKUP(D48,Multipliers!A:B,2,FALSE), (F48-G48)*H48*VLOOKUP(D48,Multipliers!A:B,2,FALSE)), "")</f>
        <v/>
      </c>
      <c r="O48" s="10">
        <f>IF(AND(N48&lt;&gt;"",F48&lt;&gt;"",H48&lt;&gt;"",D48&lt;&gt;""), N48/(F48*H48*VLOOKUP(D48,Multipliers!A:B,2,FALSE)), "")</f>
        <v/>
      </c>
      <c r="P48" s="5">
        <f>P47+N48</f>
        <v/>
      </c>
      <c r="Q48" s="5" t="inlineStr"/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4" t="n">
        <v>46257</v>
      </c>
      <c r="C49" s="11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9">
        <f>IF(AND(I49&lt;&gt;"",J49&lt;&gt;"",F49&lt;&gt;""), (J49-F49)/(F49-I49), "")</f>
        <v/>
      </c>
      <c r="L49" s="9">
        <f>IF(AND(F49&lt;&gt;"",G49&lt;&gt;"",I49&lt;&gt;""), (G49-F49)/(F49-I49), "")</f>
        <v/>
      </c>
      <c r="M49" s="5">
        <f>IF(N49&gt;0,"Win",IF(N49&lt;0,"Loss",""))</f>
        <v/>
      </c>
      <c r="N49" s="5">
        <f>IF(AND(F49&lt;&gt;"",G49&lt;&gt;"",H49&lt;&gt;"",D49&lt;&gt;""), IF(E49="Long", (G49-F49)*H49*VLOOKUP(D49,Multipliers!A:B,2,FALSE), (F49-G49)*H49*VLOOKUP(D49,Multipliers!A:B,2,FALSE)), "")</f>
        <v/>
      </c>
      <c r="O49" s="10">
        <f>IF(AND(N49&lt;&gt;"",F49&lt;&gt;"",H49&lt;&gt;"",D49&lt;&gt;""), N49/(F49*H49*VLOOKUP(D49,Multipliers!A:B,2,FALSE)), "")</f>
        <v/>
      </c>
      <c r="P49" s="5">
        <f>P48+N49</f>
        <v/>
      </c>
      <c r="Q49" s="5" t="inlineStr"/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4" t="n">
        <v>46257</v>
      </c>
      <c r="C50" s="11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9">
        <f>IF(AND(I50&lt;&gt;"",J50&lt;&gt;"",F50&lt;&gt;""), (J50-F50)/(F50-I50), "")</f>
        <v/>
      </c>
      <c r="L50" s="9">
        <f>IF(AND(F50&lt;&gt;"",G50&lt;&gt;"",I50&lt;&gt;""), (G50-F50)/(F50-I50), "")</f>
        <v/>
      </c>
      <c r="M50" s="5">
        <f>IF(N50&gt;0,"Win",IF(N50&lt;0,"Loss",""))</f>
        <v/>
      </c>
      <c r="N50" s="5">
        <f>IF(AND(F50&lt;&gt;"",G50&lt;&gt;"",H50&lt;&gt;"",D50&lt;&gt;""), IF(E50="Long", (G50-F50)*H50*VLOOKUP(D50,Multipliers!A:B,2,FALSE), (F50-G50)*H50*VLOOKUP(D50,Multipliers!A:B,2,FALSE)), "")</f>
        <v/>
      </c>
      <c r="O50" s="10">
        <f>IF(AND(N50&lt;&gt;"",F50&lt;&gt;"",H50&lt;&gt;"",D50&lt;&gt;""), N50/(F50*H50*VLOOKUP(D50,Multipliers!A:B,2,FALSE)), "")</f>
        <v/>
      </c>
      <c r="P50" s="5">
        <f>P49+N50</f>
        <v/>
      </c>
      <c r="Q50" s="5" t="inlineStr"/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4" t="n">
        <v>46257</v>
      </c>
      <c r="C51" s="11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9">
        <f>IF(AND(I51&lt;&gt;"",J51&lt;&gt;"",F51&lt;&gt;""), (J51-F51)/(F51-I51), "")</f>
        <v/>
      </c>
      <c r="L51" s="9">
        <f>IF(AND(F51&lt;&gt;"",G51&lt;&gt;"",I51&lt;&gt;""), (G51-F51)/(F51-I51), "")</f>
        <v/>
      </c>
      <c r="M51" s="5">
        <f>IF(N51&gt;0,"Win",IF(N51&lt;0,"Loss",""))</f>
        <v/>
      </c>
      <c r="N51" s="5">
        <f>IF(AND(F51&lt;&gt;"",G51&lt;&gt;"",H51&lt;&gt;"",D51&lt;&gt;""), IF(E51="Long", (G51-F51)*H51*VLOOKUP(D51,Multipliers!A:B,2,FALSE), (F51-G51)*H51*VLOOKUP(D51,Multipliers!A:B,2,FALSE)), "")</f>
        <v/>
      </c>
      <c r="O51" s="10">
        <f>IF(AND(N51&lt;&gt;"",F51&lt;&gt;"",H51&lt;&gt;"",D51&lt;&gt;""), N51/(F51*H51*VLOOKUP(D51,Multipliers!A:B,2,FALSE)), "")</f>
        <v/>
      </c>
      <c r="P51" s="5">
        <f>P50+N51</f>
        <v/>
      </c>
      <c r="Q51" s="5" t="inlineStr"/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4" t="n">
        <v>46257</v>
      </c>
      <c r="C52" s="11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9">
        <f>IF(AND(I52&lt;&gt;"",J52&lt;&gt;"",F52&lt;&gt;""), (J52-F52)/(F52-I52), "")</f>
        <v/>
      </c>
      <c r="L52" s="9">
        <f>IF(AND(F52&lt;&gt;"",G52&lt;&gt;"",I52&lt;&gt;""), (G52-F52)/(F52-I52), "")</f>
        <v/>
      </c>
      <c r="M52" s="5">
        <f>IF(N52&gt;0,"Win",IF(N52&lt;0,"Loss",""))</f>
        <v/>
      </c>
      <c r="N52" s="5">
        <f>IF(AND(F52&lt;&gt;"",G52&lt;&gt;"",H52&lt;&gt;"",D52&lt;&gt;""), IF(E52="Long", (G52-F52)*H52*VLOOKUP(D52,Multipliers!A:B,2,FALSE), (F52-G52)*H52*VLOOKUP(D52,Multipliers!A:B,2,FALSE)), "")</f>
        <v/>
      </c>
      <c r="O52" s="10">
        <f>IF(AND(N52&lt;&gt;"",F52&lt;&gt;"",H52&lt;&gt;"",D52&lt;&gt;""), N52/(F52*H52*VLOOKUP(D52,Multipliers!A:B,2,FALSE)), "")</f>
        <v/>
      </c>
      <c r="P52" s="5">
        <f>P51+N52</f>
        <v/>
      </c>
      <c r="Q52" s="5" t="inlineStr"/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/>
      <c r="B53" s="6" t="n"/>
      <c r="C53" s="5" t="n"/>
      <c r="D53" s="5" t="n"/>
      <c r="E53" s="5" t="n"/>
      <c r="F53" s="5" t="n"/>
      <c r="G53" s="5" t="n"/>
      <c r="H53" s="5" t="n"/>
      <c r="I53" s="5" t="n"/>
      <c r="J53" s="5" t="n"/>
      <c r="K53" s="9" t="n"/>
      <c r="L53" s="9" t="n"/>
      <c r="M53" s="5" t="n"/>
      <c r="N53" s="5" t="n"/>
      <c r="O53" s="10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/>
      <c r="B54" s="6" t="n"/>
      <c r="C54" s="5" t="n"/>
      <c r="D54" s="5" t="n"/>
      <c r="E54" s="5" t="n"/>
      <c r="F54" s="5" t="n"/>
      <c r="G54" s="5" t="n"/>
      <c r="H54" s="5" t="n"/>
      <c r="I54" s="5" t="n"/>
      <c r="J54" s="5" t="n"/>
      <c r="K54" s="9" t="n"/>
      <c r="L54" s="9" t="n"/>
      <c r="M54" s="5" t="n"/>
      <c r="N54" s="5" t="n"/>
      <c r="O54" s="10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5" t="n"/>
      <c r="B55" s="6" t="n"/>
      <c r="C55" s="5" t="n"/>
      <c r="D55" s="5" t="n"/>
      <c r="E55" s="5" t="n"/>
      <c r="F55" s="5" t="n"/>
      <c r="G55" s="5" t="n"/>
      <c r="H55" s="5" t="n"/>
      <c r="I55" s="5" t="n"/>
      <c r="J55" s="5" t="n"/>
      <c r="K55" s="9" t="n"/>
      <c r="L55" s="9" t="n"/>
      <c r="M55" s="5" t="n"/>
      <c r="N55" s="5" t="n"/>
      <c r="O55" s="10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/>
      <c r="B56" s="6" t="n"/>
      <c r="C56" s="5" t="n"/>
      <c r="D56" s="5" t="n"/>
      <c r="E56" s="5" t="n"/>
      <c r="F56" s="5" t="n"/>
      <c r="G56" s="5" t="n"/>
      <c r="H56" s="5" t="n"/>
      <c r="I56" s="5" t="n"/>
      <c r="J56" s="5" t="n"/>
      <c r="K56" s="9" t="n"/>
      <c r="L56" s="9" t="n"/>
      <c r="M56" s="5" t="n"/>
      <c r="N56" s="5" t="n"/>
      <c r="O56" s="10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5" t="n"/>
      <c r="B57" s="6" t="n"/>
      <c r="C57" s="5" t="n"/>
      <c r="D57" s="5" t="n"/>
      <c r="E57" s="5" t="n"/>
      <c r="F57" s="5" t="n"/>
      <c r="G57" s="5" t="n"/>
      <c r="H57" s="5" t="n"/>
      <c r="I57" s="5" t="n"/>
      <c r="J57" s="5" t="n"/>
      <c r="K57" s="9" t="n"/>
      <c r="L57" s="9" t="n"/>
      <c r="M57" s="5" t="n"/>
      <c r="N57" s="5" t="n"/>
      <c r="O57" s="10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5" t="n"/>
      <c r="B58" s="6" t="n"/>
      <c r="C58" s="5" t="n"/>
      <c r="D58" s="5" t="n"/>
      <c r="E58" s="5" t="n"/>
      <c r="F58" s="5" t="n"/>
      <c r="G58" s="5" t="n"/>
      <c r="H58" s="5" t="n"/>
      <c r="I58" s="5" t="n"/>
      <c r="J58" s="5" t="n"/>
      <c r="K58" s="9" t="n"/>
      <c r="L58" s="9" t="n"/>
      <c r="M58" s="5" t="n"/>
      <c r="N58" s="5" t="n"/>
      <c r="O58" s="10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/>
      <c r="B59" s="6" t="n"/>
      <c r="C59" s="5" t="n"/>
      <c r="D59" s="5" t="n"/>
      <c r="E59" s="5" t="n"/>
      <c r="F59" s="5" t="n"/>
      <c r="G59" s="5" t="n"/>
      <c r="H59" s="5" t="n"/>
      <c r="I59" s="5" t="n"/>
      <c r="J59" s="5" t="n"/>
      <c r="K59" s="9" t="n"/>
      <c r="L59" s="9" t="n"/>
      <c r="M59" s="5" t="n"/>
      <c r="N59" s="5" t="n"/>
      <c r="O59" s="10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/>
      <c r="B60" s="6" t="n"/>
      <c r="C60" s="5" t="n"/>
      <c r="D60" s="5" t="n"/>
      <c r="E60" s="5" t="n"/>
      <c r="F60" s="5" t="n"/>
      <c r="G60" s="5" t="n"/>
      <c r="H60" s="5" t="n"/>
      <c r="I60" s="5" t="n"/>
      <c r="J60" s="5" t="n"/>
      <c r="K60" s="9" t="n"/>
      <c r="L60" s="9" t="n"/>
      <c r="M60" s="5" t="n"/>
      <c r="N60" s="5" t="n"/>
      <c r="O60" s="10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/>
      <c r="B61" s="6" t="n"/>
      <c r="C61" s="5" t="n"/>
      <c r="D61" s="5" t="n"/>
      <c r="E61" s="5" t="n"/>
      <c r="F61" s="5" t="n"/>
      <c r="G61" s="5" t="n"/>
      <c r="H61" s="5" t="n"/>
      <c r="I61" s="5" t="n"/>
      <c r="J61" s="5" t="n"/>
      <c r="K61" s="9" t="n"/>
      <c r="L61" s="9" t="n"/>
      <c r="M61" s="5" t="n"/>
      <c r="N61" s="5" t="n"/>
      <c r="O61" s="10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/>
      <c r="B62" s="6" t="n"/>
      <c r="C62" s="5" t="n"/>
      <c r="D62" s="5" t="n"/>
      <c r="E62" s="5" t="n"/>
      <c r="F62" s="5" t="n"/>
      <c r="G62" s="5" t="n"/>
      <c r="H62" s="5" t="n"/>
      <c r="I62" s="5" t="n"/>
      <c r="J62" s="5" t="n"/>
      <c r="K62" s="9" t="n"/>
      <c r="L62" s="9" t="n"/>
      <c r="M62" s="5" t="n"/>
      <c r="N62" s="5" t="n"/>
      <c r="O62" s="10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5" t="n"/>
      <c r="B63" s="6" t="n"/>
      <c r="C63" s="5" t="n"/>
      <c r="D63" s="5" t="n"/>
      <c r="E63" s="5" t="n"/>
      <c r="F63" s="5" t="n"/>
      <c r="G63" s="5" t="n"/>
      <c r="H63" s="5" t="n"/>
      <c r="I63" s="5" t="n"/>
      <c r="J63" s="5" t="n"/>
      <c r="K63" s="9" t="n"/>
      <c r="L63" s="9" t="n"/>
      <c r="M63" s="5" t="n"/>
      <c r="N63" s="5" t="n"/>
      <c r="O63" s="10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6" t="n"/>
      <c r="C64" s="5" t="n"/>
      <c r="D64" s="5" t="n"/>
      <c r="E64" s="5" t="n"/>
      <c r="F64" s="5" t="n"/>
      <c r="G64" s="5" t="n"/>
      <c r="H64" s="5" t="n"/>
      <c r="I64" s="5" t="n"/>
      <c r="J64" s="5" t="n"/>
      <c r="K64" s="9" t="n"/>
      <c r="L64" s="9" t="n"/>
      <c r="M64" s="5" t="n"/>
      <c r="N64" s="5" t="n"/>
      <c r="O64" s="10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6" t="n"/>
      <c r="C65" s="5" t="n"/>
      <c r="D65" s="5" t="n"/>
      <c r="E65" s="5" t="n"/>
      <c r="F65" s="5" t="n"/>
      <c r="G65" s="5" t="n"/>
      <c r="H65" s="5" t="n"/>
      <c r="I65" s="5" t="n"/>
      <c r="J65" s="5" t="n"/>
      <c r="K65" s="9" t="n"/>
      <c r="L65" s="9" t="n"/>
      <c r="M65" s="5" t="n"/>
      <c r="N65" s="5" t="n"/>
      <c r="O65" s="10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6" t="n"/>
      <c r="C66" s="11" t="n"/>
      <c r="D66" s="5" t="n"/>
      <c r="E66" s="5" t="n"/>
      <c r="F66" s="5" t="n"/>
      <c r="G66" s="5" t="n"/>
      <c r="H66" s="5" t="n"/>
      <c r="I66" s="5" t="n"/>
      <c r="J66" s="5" t="n"/>
      <c r="K66" s="9" t="n"/>
      <c r="L66" s="9" t="n"/>
      <c r="M66" s="5" t="n"/>
      <c r="N66" s="5" t="n"/>
      <c r="O66" s="10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6" t="n"/>
      <c r="C67" s="5" t="n"/>
      <c r="D67" s="5" t="n"/>
      <c r="E67" s="5" t="n"/>
      <c r="F67" s="5" t="n"/>
      <c r="G67" s="5" t="n"/>
      <c r="H67" s="5" t="n"/>
      <c r="I67" s="5" t="n"/>
      <c r="J67" s="5" t="n"/>
      <c r="K67" s="9" t="n"/>
      <c r="L67" s="9" t="n"/>
      <c r="M67" s="5" t="n"/>
      <c r="N67" s="5" t="n"/>
      <c r="O67" s="10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6" t="n"/>
      <c r="C68" s="5" t="n"/>
      <c r="D68" s="5" t="n"/>
      <c r="E68" s="5" t="n"/>
      <c r="F68" s="5" t="n"/>
      <c r="G68" s="5" t="n"/>
      <c r="H68" s="5" t="n"/>
      <c r="I68" s="5" t="n"/>
      <c r="J68" s="5" t="n"/>
      <c r="K68" s="9" t="n"/>
      <c r="L68" s="9" t="n"/>
      <c r="M68" s="5" t="n"/>
      <c r="N68" s="5" t="n"/>
      <c r="O68" s="10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6" t="n"/>
      <c r="C69" s="5" t="n"/>
      <c r="D69" s="5" t="n"/>
      <c r="E69" s="5" t="n"/>
      <c r="F69" s="5" t="n"/>
      <c r="G69" s="5" t="n"/>
      <c r="H69" s="5" t="n"/>
      <c r="I69" s="5" t="n"/>
      <c r="J69" s="5" t="n"/>
      <c r="K69" s="9" t="n"/>
      <c r="L69" s="9" t="n"/>
      <c r="M69" s="5" t="n"/>
      <c r="N69" s="5" t="n"/>
      <c r="O69" s="10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6" t="n"/>
      <c r="C70" s="5" t="n"/>
      <c r="D70" s="5" t="n"/>
      <c r="E70" s="5" t="n"/>
      <c r="F70" s="5" t="n"/>
      <c r="G70" s="5" t="n"/>
      <c r="H70" s="5" t="n"/>
      <c r="I70" s="5" t="n"/>
      <c r="J70" s="5" t="n"/>
      <c r="K70" s="9" t="n"/>
      <c r="L70" s="9" t="n"/>
      <c r="M70" s="5" t="n"/>
      <c r="N70" s="5" t="n"/>
      <c r="O70" s="10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6" t="n"/>
      <c r="C71" s="5" t="n"/>
      <c r="D71" s="5" t="n"/>
      <c r="E71" s="5" t="n"/>
      <c r="F71" s="5" t="n"/>
      <c r="G71" s="5" t="n"/>
      <c r="H71" s="5" t="n"/>
      <c r="I71" s="5" t="n"/>
      <c r="J71" s="5" t="n"/>
      <c r="K71" s="9" t="n"/>
      <c r="L71" s="9" t="n"/>
      <c r="M71" s="5" t="n"/>
      <c r="N71" s="5" t="n"/>
      <c r="O71" s="10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6" t="n"/>
      <c r="C72" s="5" t="n"/>
      <c r="D72" s="5" t="n"/>
      <c r="E72" s="5" t="n"/>
      <c r="F72" s="5" t="n"/>
      <c r="G72" s="5" t="n"/>
      <c r="H72" s="5" t="n"/>
      <c r="I72" s="5" t="n"/>
      <c r="J72" s="5" t="n"/>
      <c r="K72" s="9" t="n"/>
      <c r="L72" s="9" t="n"/>
      <c r="M72" s="5" t="n"/>
      <c r="N72" s="5" t="n"/>
      <c r="O72" s="10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6" t="n"/>
      <c r="C73" s="5" t="n"/>
      <c r="D73" s="5" t="n"/>
      <c r="E73" s="5" t="n"/>
      <c r="F73" s="5" t="n"/>
      <c r="G73" s="5" t="n"/>
      <c r="H73" s="5" t="n"/>
      <c r="I73" s="5" t="n"/>
      <c r="J73" s="5" t="n"/>
      <c r="K73" s="9" t="n"/>
      <c r="L73" s="9" t="n"/>
      <c r="M73" s="5" t="n"/>
      <c r="N73" s="5" t="n"/>
      <c r="O73" s="10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6" t="n"/>
      <c r="C74" s="5" t="n"/>
      <c r="D74" s="5" t="n"/>
      <c r="E74" s="5" t="n"/>
      <c r="F74" s="5" t="n"/>
      <c r="G74" s="5" t="n"/>
      <c r="H74" s="5" t="n"/>
      <c r="I74" s="5" t="n"/>
      <c r="J74" s="5" t="n"/>
      <c r="K74" s="9" t="n"/>
      <c r="L74" s="9" t="n"/>
      <c r="M74" s="5" t="n"/>
      <c r="N74" s="5" t="n"/>
      <c r="O74" s="10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6" t="n"/>
      <c r="C75" s="5" t="n"/>
      <c r="D75" s="5" t="n"/>
      <c r="E75" s="5" t="n"/>
      <c r="F75" s="5" t="n"/>
      <c r="G75" s="5" t="n"/>
      <c r="H75" s="5" t="n"/>
      <c r="I75" s="5" t="n"/>
      <c r="J75" s="5" t="n"/>
      <c r="K75" s="9" t="n"/>
      <c r="L75" s="9" t="n"/>
      <c r="M75" s="5" t="n"/>
      <c r="N75" s="5" t="n"/>
      <c r="O75" s="10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6" t="n"/>
      <c r="C76" s="5" t="n"/>
      <c r="D76" s="5" t="n"/>
      <c r="E76" s="5" t="n"/>
      <c r="F76" s="5" t="n"/>
      <c r="G76" s="5" t="n"/>
      <c r="H76" s="5" t="n"/>
      <c r="I76" s="5" t="n"/>
      <c r="J76" s="5" t="n"/>
      <c r="K76" s="9" t="n"/>
      <c r="L76" s="9" t="n"/>
      <c r="M76" s="5" t="n"/>
      <c r="N76" s="5" t="n"/>
      <c r="O76" s="10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6" t="n"/>
      <c r="C77" s="5" t="n"/>
      <c r="D77" s="5" t="n"/>
      <c r="E77" s="5" t="n"/>
      <c r="F77" s="5" t="n"/>
      <c r="G77" s="5" t="n"/>
      <c r="H77" s="5" t="n"/>
      <c r="I77" s="5" t="n"/>
      <c r="J77" s="5" t="n"/>
      <c r="K77" s="9" t="n"/>
      <c r="L77" s="9" t="n"/>
      <c r="M77" s="5" t="n"/>
      <c r="N77" s="5" t="n"/>
      <c r="O77" s="10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6" t="n"/>
      <c r="C78" s="5" t="n"/>
      <c r="D78" s="5" t="n"/>
      <c r="E78" s="5" t="n"/>
      <c r="F78" s="5" t="n"/>
      <c r="G78" s="5" t="n"/>
      <c r="H78" s="5" t="n"/>
      <c r="I78" s="5" t="n"/>
      <c r="J78" s="5" t="n"/>
      <c r="K78" s="9" t="n"/>
      <c r="L78" s="9" t="n"/>
      <c r="M78" s="5" t="n"/>
      <c r="N78" s="5" t="n"/>
      <c r="O78" s="10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6" t="n"/>
      <c r="C79" s="5" t="n"/>
      <c r="D79" s="5" t="n"/>
      <c r="E79" s="5" t="n"/>
      <c r="F79" s="5" t="n"/>
      <c r="G79" s="5" t="n"/>
      <c r="H79" s="5" t="n"/>
      <c r="I79" s="5" t="n"/>
      <c r="J79" s="5" t="n"/>
      <c r="K79" s="9" t="n"/>
      <c r="L79" s="9" t="n"/>
      <c r="M79" s="5" t="n"/>
      <c r="N79" s="5" t="n"/>
      <c r="O79" s="10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6" t="n"/>
      <c r="C80" s="5" t="n"/>
      <c r="D80" s="5" t="n"/>
      <c r="E80" s="5" t="n"/>
      <c r="F80" s="5" t="n"/>
      <c r="G80" s="5" t="n"/>
      <c r="H80" s="5" t="n"/>
      <c r="I80" s="5" t="n"/>
      <c r="J80" s="5" t="n"/>
      <c r="K80" s="9" t="n"/>
      <c r="L80" s="9" t="n"/>
      <c r="M80" s="5" t="n"/>
      <c r="N80" s="5" t="n"/>
      <c r="O80" s="10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6" t="n"/>
      <c r="C81" s="5" t="n"/>
      <c r="D81" s="5" t="n"/>
      <c r="E81" s="5" t="n"/>
      <c r="F81" s="5" t="n"/>
      <c r="G81" s="5" t="n"/>
      <c r="H81" s="5" t="n"/>
      <c r="I81" s="5" t="n"/>
      <c r="J81" s="5" t="n"/>
      <c r="K81" s="9" t="n"/>
      <c r="L81" s="9" t="n"/>
      <c r="M81" s="5" t="n"/>
      <c r="N81" s="5" t="n"/>
      <c r="O81" s="10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6" t="n"/>
      <c r="C82" s="11" t="n"/>
      <c r="D82" s="5" t="n"/>
      <c r="E82" s="5" t="n"/>
      <c r="F82" s="5" t="n"/>
      <c r="G82" s="5" t="n"/>
      <c r="H82" s="5" t="n"/>
      <c r="I82" s="5" t="n"/>
      <c r="J82" s="5" t="n"/>
      <c r="K82" s="9" t="n"/>
      <c r="L82" s="9" t="n"/>
      <c r="M82" s="5" t="n"/>
      <c r="N82" s="5" t="n"/>
      <c r="O82" s="10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6" t="n"/>
      <c r="C83" s="11" t="n"/>
      <c r="D83" s="5" t="n"/>
      <c r="E83" s="5" t="n"/>
      <c r="F83" s="5" t="n"/>
      <c r="G83" s="5" t="n"/>
      <c r="H83" s="5" t="n"/>
      <c r="I83" s="5" t="n"/>
      <c r="J83" s="5" t="n"/>
      <c r="K83" s="9" t="n"/>
      <c r="L83" s="9" t="n"/>
      <c r="M83" s="5" t="n"/>
      <c r="N83" s="5" t="n"/>
      <c r="O83" s="10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1" t="n"/>
      <c r="D84" s="5" t="n"/>
      <c r="E84" s="5" t="n"/>
      <c r="F84" s="5" t="n"/>
      <c r="G84" s="5" t="n"/>
      <c r="H84" s="5" t="n"/>
      <c r="I84" s="5" t="n"/>
      <c r="J84" s="5" t="n"/>
      <c r="K84" s="9" t="n"/>
      <c r="L84" s="9" t="n"/>
      <c r="M84" s="5" t="n"/>
      <c r="N84" s="5" t="n"/>
      <c r="O84" s="10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9" t="n"/>
      <c r="L85" s="9" t="n"/>
      <c r="M85" s="5" t="n"/>
      <c r="N85" s="5" t="n"/>
      <c r="O85" s="10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9" t="n"/>
      <c r="L86" s="9" t="n"/>
      <c r="M86" s="5" t="n"/>
      <c r="N86" s="5" t="n"/>
      <c r="O86" s="10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9" t="n"/>
      <c r="L87" s="9" t="n"/>
      <c r="M87" s="5" t="n"/>
      <c r="N87" s="5" t="n"/>
      <c r="O87" s="10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1" t="n"/>
      <c r="D88" s="5" t="n"/>
      <c r="E88" s="5" t="n"/>
      <c r="F88" s="5" t="n"/>
      <c r="G88" s="5" t="n"/>
      <c r="H88" s="5" t="n"/>
      <c r="I88" s="5" t="n"/>
      <c r="J88" s="5" t="n"/>
      <c r="K88" s="9" t="n"/>
      <c r="L88" s="9" t="n"/>
      <c r="M88" s="5" t="n"/>
      <c r="N88" s="5" t="n"/>
      <c r="O88" s="10" t="n"/>
      <c r="P88" s="5" t="n"/>
      <c r="Q88" s="5" t="n"/>
      <c r="R88" s="5" t="n"/>
      <c r="S88" s="12" t="n"/>
      <c r="T88" s="12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1" t="n"/>
      <c r="D89" s="5" t="n"/>
      <c r="E89" s="5" t="n"/>
      <c r="F89" s="5" t="n"/>
      <c r="G89" s="5" t="n"/>
      <c r="H89" s="5" t="n"/>
      <c r="I89" s="5" t="n"/>
      <c r="J89" s="5" t="n"/>
      <c r="K89" s="9" t="n"/>
      <c r="L89" s="9" t="n"/>
      <c r="M89" s="5" t="n"/>
      <c r="N89" s="5" t="n"/>
      <c r="O89" s="10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9" t="n"/>
      <c r="L90" s="9" t="n"/>
      <c r="M90" s="5" t="n"/>
      <c r="N90" s="5" t="n"/>
      <c r="O90" s="10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9" t="n"/>
      <c r="L91" s="9" t="n"/>
      <c r="M91" s="5" t="n"/>
      <c r="N91" s="5" t="n"/>
      <c r="O91" s="10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9" t="n"/>
      <c r="L92" s="9" t="n"/>
      <c r="M92" s="5" t="n"/>
      <c r="N92" s="5" t="n"/>
      <c r="O92" s="10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9" t="n"/>
      <c r="L93" s="9" t="n"/>
      <c r="M93" s="5" t="n"/>
      <c r="N93" s="5" t="n"/>
      <c r="O93" s="10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9" t="n"/>
      <c r="L94" s="9" t="n"/>
      <c r="M94" s="5" t="n"/>
      <c r="N94" s="5" t="n"/>
      <c r="O94" s="10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9" t="n"/>
      <c r="L95" s="9" t="n"/>
      <c r="M95" s="5" t="n"/>
      <c r="N95" s="5" t="n"/>
      <c r="O95" s="10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9" t="n"/>
      <c r="L96" s="9" t="n"/>
      <c r="M96" s="5" t="n"/>
      <c r="N96" s="5" t="n"/>
      <c r="O96" s="10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9" t="n"/>
      <c r="L97" s="9" t="n"/>
      <c r="M97" s="5" t="n"/>
      <c r="N97" s="5" t="n"/>
      <c r="O97" s="10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9" t="n"/>
      <c r="L98" s="9" t="n"/>
      <c r="M98" s="5" t="n"/>
      <c r="N98" s="5" t="n"/>
      <c r="O98" s="10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9" t="n"/>
      <c r="L99" s="9" t="n"/>
      <c r="M99" s="5" t="n"/>
      <c r="N99" s="5" t="n"/>
      <c r="O99" s="10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9" t="n"/>
      <c r="L100" s="9" t="n"/>
      <c r="M100" s="5" t="n"/>
      <c r="N100" s="5" t="n"/>
      <c r="O100" s="10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9" t="n"/>
      <c r="L101" s="9" t="n"/>
      <c r="M101" s="5" t="n"/>
      <c r="N101" s="5" t="n"/>
      <c r="O101" s="10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9" t="n"/>
      <c r="L102" s="9" t="n"/>
      <c r="M102" s="5" t="n"/>
      <c r="N102" s="5" t="n"/>
      <c r="O102" s="10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9" t="n"/>
      <c r="L103" s="9" t="n"/>
      <c r="M103" s="5" t="n"/>
      <c r="N103" s="5" t="n"/>
      <c r="O103" s="10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9" t="n"/>
      <c r="L104" s="9" t="n"/>
      <c r="M104" s="5" t="n"/>
      <c r="N104" s="5" t="n"/>
      <c r="O104" s="10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9" t="n"/>
      <c r="L105" s="9" t="n"/>
      <c r="M105" s="5" t="n"/>
      <c r="N105" s="5" t="n"/>
      <c r="O105" s="10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9" t="n"/>
      <c r="L106" s="9" t="n"/>
      <c r="M106" s="5" t="n"/>
      <c r="N106" s="5" t="n"/>
      <c r="O106" s="10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9" t="n"/>
      <c r="L107" s="9" t="n"/>
      <c r="M107" s="5" t="n"/>
      <c r="N107" s="5" t="n"/>
      <c r="O107" s="10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9" t="n"/>
      <c r="L108" s="9" t="n"/>
      <c r="M108" s="5" t="n"/>
      <c r="N108" s="5" t="n"/>
      <c r="O108" s="10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9" t="n"/>
      <c r="L109" s="9" t="n"/>
      <c r="M109" s="5" t="n"/>
      <c r="N109" s="5" t="n"/>
      <c r="O109" s="10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9" t="n"/>
      <c r="L110" s="9" t="n"/>
      <c r="M110" s="5" t="n"/>
      <c r="N110" s="5" t="n"/>
      <c r="O110" s="10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9" t="n"/>
      <c r="L111" s="9" t="n"/>
      <c r="M111" s="5" t="n"/>
      <c r="N111" s="5" t="n"/>
      <c r="O111" s="10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9" t="n"/>
      <c r="L112" s="9" t="n"/>
      <c r="M112" s="5" t="n"/>
      <c r="N112" s="5" t="n"/>
      <c r="O112" s="10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9" t="n"/>
      <c r="L113" s="9" t="n"/>
      <c r="M113" s="5" t="n"/>
      <c r="N113" s="5" t="n"/>
      <c r="O113" s="10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9" t="n"/>
      <c r="L114" s="9" t="n"/>
      <c r="M114" s="5" t="n"/>
      <c r="N114" s="5" t="n"/>
      <c r="O114" s="10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9" t="n"/>
      <c r="L115" s="9" t="n"/>
      <c r="M115" s="5" t="n"/>
      <c r="N115" s="5" t="n"/>
      <c r="O115" s="10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9" t="n"/>
      <c r="L116" s="9" t="n"/>
      <c r="M116" s="5" t="n"/>
      <c r="N116" s="5" t="n"/>
      <c r="O116" s="10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9" t="n"/>
      <c r="L117" s="9" t="n"/>
      <c r="M117" s="5" t="n"/>
      <c r="N117" s="5" t="n"/>
      <c r="O117" s="10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9" t="n"/>
      <c r="L118" s="9" t="n"/>
      <c r="M118" s="5" t="n"/>
      <c r="N118" s="5" t="n"/>
      <c r="O118" s="10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9" t="n"/>
      <c r="L119" s="9" t="n"/>
      <c r="M119" s="5" t="n"/>
      <c r="N119" s="5" t="n"/>
      <c r="O119" s="10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9" t="n"/>
      <c r="L120" s="9" t="n"/>
      <c r="M120" s="5" t="n"/>
      <c r="N120" s="5" t="n"/>
      <c r="O120" s="10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9" t="n"/>
      <c r="L121" s="9" t="n"/>
      <c r="M121" s="5" t="n"/>
      <c r="N121" s="5" t="n"/>
      <c r="O121" s="10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9" t="n"/>
      <c r="L122" s="9" t="n"/>
      <c r="M122" s="5" t="n"/>
      <c r="N122" s="5" t="n"/>
      <c r="O122" s="10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9" t="n"/>
      <c r="L123" s="9" t="n"/>
      <c r="M123" s="5" t="n"/>
      <c r="N123" s="5" t="n"/>
      <c r="O123" s="10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9" t="n"/>
      <c r="L124" s="9" t="n"/>
      <c r="M124" s="5" t="n"/>
      <c r="N124" s="5" t="n"/>
      <c r="O124" s="10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9" t="n"/>
      <c r="L125" s="9" t="n"/>
      <c r="M125" s="5" t="n"/>
      <c r="N125" s="5" t="n"/>
      <c r="O125" s="10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9" t="n"/>
      <c r="L126" s="9" t="n"/>
      <c r="M126" s="5" t="n"/>
      <c r="N126" s="5" t="n"/>
      <c r="O126" s="10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9" t="n"/>
      <c r="L127" s="9" t="n"/>
      <c r="M127" s="5" t="n"/>
      <c r="N127" s="5" t="n"/>
      <c r="O127" s="10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9" t="n"/>
      <c r="L128" s="9" t="n"/>
      <c r="M128" s="5" t="n"/>
      <c r="N128" s="5" t="n"/>
      <c r="O128" s="10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9" t="n"/>
      <c r="L129" s="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9" t="n"/>
      <c r="L130" s="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9" t="n"/>
      <c r="L131" s="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9" t="n"/>
      <c r="L132" s="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9" t="n"/>
      <c r="L133" s="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9" t="n"/>
      <c r="L134" s="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9" t="n"/>
      <c r="L135" s="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9" t="n"/>
      <c r="L136" s="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9" t="n"/>
      <c r="L137" s="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9" t="n"/>
      <c r="L138" s="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9" t="n"/>
      <c r="L139" s="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9" t="n"/>
      <c r="L140" s="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9" t="n"/>
      <c r="L141" s="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9" t="n"/>
      <c r="L142" s="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9" t="n"/>
      <c r="L143" s="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9" t="n"/>
      <c r="L144" s="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9" t="n"/>
      <c r="L145" s="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9" t="n"/>
      <c r="L146" s="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9" t="n"/>
      <c r="L147" s="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9" t="n"/>
      <c r="L148" s="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9" t="n"/>
      <c r="L149" s="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9" t="n"/>
      <c r="L150" s="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9" t="n"/>
      <c r="L151" s="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9" t="n"/>
      <c r="L152" s="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9" t="n"/>
      <c r="L153" s="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9" t="n"/>
      <c r="L154" s="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9" t="n"/>
      <c r="L155" s="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9" t="n"/>
      <c r="L156" s="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9" t="n"/>
      <c r="L157" s="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9" t="n"/>
      <c r="L158" s="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9" t="n"/>
      <c r="L159" s="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9" t="n"/>
      <c r="L160" s="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9" t="n"/>
      <c r="L161" s="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9" t="n"/>
      <c r="L162" s="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9" t="n"/>
      <c r="L163" s="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9" t="n"/>
      <c r="L164" s="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9" t="n"/>
      <c r="L165" s="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9" t="n"/>
      <c r="L166" s="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9" t="n"/>
      <c r="L167" s="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9" t="n"/>
      <c r="L168" s="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9" t="n"/>
      <c r="L169" s="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9" t="n"/>
      <c r="L170" s="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9" t="n"/>
      <c r="L171" s="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9" t="n"/>
      <c r="L172" s="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9" t="n"/>
      <c r="L173" s="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9" t="n"/>
      <c r="L174" s="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9" t="n"/>
      <c r="L175" s="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9" t="n"/>
      <c r="L176" s="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9" t="n"/>
      <c r="L177" s="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9" t="n"/>
      <c r="L178" s="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9" t="n"/>
      <c r="L179" s="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9" t="n"/>
      <c r="L180" s="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9" t="n"/>
      <c r="L181" s="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9" t="n"/>
      <c r="L182" s="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9" t="n"/>
      <c r="L183" s="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9" t="n"/>
      <c r="L184" s="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9" t="n"/>
      <c r="L185" s="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9" t="n"/>
      <c r="L186" s="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9" t="n"/>
      <c r="L187" s="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9" t="n"/>
      <c r="L188" s="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9" t="n"/>
      <c r="L189" s="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9" t="n"/>
      <c r="L190" s="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9" t="n"/>
      <c r="L191" s="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9" t="n"/>
      <c r="L192" s="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9" t="n"/>
      <c r="L193" s="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9" t="n"/>
      <c r="L194" s="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9" t="n"/>
      <c r="L195" s="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9" t="n"/>
      <c r="L196" s="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9" t="n"/>
      <c r="L197" s="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9" t="n"/>
      <c r="L198" s="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9" t="n"/>
      <c r="L199" s="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9" t="n"/>
      <c r="L200" s="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9" t="n"/>
      <c r="L201" s="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9" t="n"/>
      <c r="L202" s="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9" t="n"/>
      <c r="L203" s="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9" t="n"/>
      <c r="L204" s="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9" t="n"/>
      <c r="L205" s="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9" t="n"/>
      <c r="L206" s="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9" t="n"/>
      <c r="L207" s="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9" t="n"/>
      <c r="L208" s="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9" t="n"/>
      <c r="L209" s="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9" t="n"/>
      <c r="L210" s="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9" t="n"/>
      <c r="L211" s="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9" t="n"/>
      <c r="L212" s="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9" t="n"/>
      <c r="L213" s="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9" t="n"/>
      <c r="L214" s="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9" t="n"/>
      <c r="L215" s="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9" t="n"/>
      <c r="L216" s="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9" t="n"/>
      <c r="L217" s="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9" t="n"/>
      <c r="L218" s="9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9" t="n"/>
      <c r="L219" s="9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9" t="n"/>
      <c r="L220" s="9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9" t="n"/>
      <c r="L221" s="9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9" t="n"/>
      <c r="L222" s="9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9" t="n"/>
      <c r="L223" s="9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9" t="n"/>
      <c r="L224" s="9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9" t="n"/>
      <c r="L225" s="9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9" t="n"/>
      <c r="L226" s="9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9" t="n"/>
      <c r="L227" s="9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9" t="n"/>
      <c r="L228" s="9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9" t="n"/>
      <c r="L229" s="9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9" t="n"/>
      <c r="L230" s="9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9" t="n"/>
      <c r="L231" s="9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9" t="n"/>
      <c r="L232" s="9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9" t="n"/>
      <c r="L233" s="9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9" t="n"/>
      <c r="L234" s="9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9" t="n"/>
      <c r="L235" s="9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9" t="n"/>
      <c r="L236" s="9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9" t="n"/>
      <c r="L237" s="9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9" t="n"/>
      <c r="L238" s="9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9" t="n"/>
      <c r="L239" s="9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9" t="n"/>
      <c r="L240" s="9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9" t="n"/>
      <c r="L241" s="9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9" t="n"/>
      <c r="L242" s="9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9" t="n"/>
      <c r="L243" s="9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9" t="n"/>
      <c r="L244" s="9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9" t="n"/>
      <c r="L245" s="9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9" t="n"/>
      <c r="L246" s="9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9" t="n"/>
      <c r="L247" s="9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9" t="n"/>
      <c r="L248" s="9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9" t="n"/>
      <c r="L249" s="9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9" t="n"/>
      <c r="L250" s="9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9" t="n"/>
      <c r="L251" s="9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9" t="n"/>
      <c r="L252" s="9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9" t="n"/>
      <c r="L253" s="9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9" t="n"/>
      <c r="L254" s="9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9" t="n"/>
      <c r="L255" s="9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9" t="n"/>
      <c r="L256" s="9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9" t="n"/>
      <c r="L257" s="9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9" t="n"/>
      <c r="L258" s="9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9" t="n"/>
      <c r="L259" s="9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9" t="n"/>
      <c r="L260" s="9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9" t="n"/>
      <c r="L261" s="9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9" t="n"/>
      <c r="L262" s="9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9" t="n"/>
      <c r="L263" s="9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9" t="n"/>
      <c r="L264" s="9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9" t="n"/>
      <c r="L265" s="9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9" t="n"/>
      <c r="L266" s="9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9" t="n"/>
      <c r="L267" s="9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9" t="n"/>
      <c r="L268" s="9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9" t="n"/>
      <c r="L269" s="9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9" t="n"/>
      <c r="L270" s="9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9" t="n"/>
      <c r="L271" s="9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9" t="n"/>
      <c r="L272" s="9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9" t="n"/>
      <c r="L273" s="9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9" t="n"/>
      <c r="L274" s="9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9" t="n"/>
      <c r="L275" s="9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9" t="n"/>
      <c r="L276" s="9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9" t="n"/>
      <c r="L277" s="9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9" t="n"/>
      <c r="L278" s="9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9" t="n"/>
      <c r="L279" s="9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9" t="n"/>
      <c r="L280" s="9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9" t="n"/>
      <c r="L281" s="9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9" t="n"/>
      <c r="L282" s="9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9" t="n"/>
      <c r="L283" s="9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9" t="n"/>
      <c r="L284" s="9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9" t="n"/>
      <c r="L285" s="9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9" t="n"/>
      <c r="L286" s="9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9" t="n"/>
      <c r="L287" s="9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9" t="n"/>
      <c r="L288" s="9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9" t="n"/>
      <c r="L289" s="9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9" t="n"/>
      <c r="L290" s="9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9" t="n"/>
      <c r="L291" s="9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9" t="n"/>
      <c r="L292" s="9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9" t="n"/>
      <c r="L293" s="9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9" t="n"/>
      <c r="L294" s="9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9" t="n"/>
      <c r="L295" s="9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9" t="n"/>
      <c r="L296" s="9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9" t="n"/>
      <c r="L297" s="9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9" t="n"/>
      <c r="L298" s="9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9" t="n"/>
      <c r="L299" s="9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9" t="n"/>
      <c r="L300" s="9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9" t="n"/>
      <c r="L301" s="9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9" t="n"/>
      <c r="L302" s="9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9" t="n"/>
      <c r="L303" s="9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9" t="n"/>
      <c r="L304" s="9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9" t="n"/>
      <c r="L305" s="9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9" t="n"/>
      <c r="L306" s="9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9" t="n"/>
      <c r="L307" s="9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9" t="n"/>
      <c r="L308" s="9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9" t="n"/>
      <c r="L309" s="9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9" t="n"/>
      <c r="L310" s="9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9" t="n"/>
      <c r="L311" s="9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9" t="n"/>
      <c r="L312" s="9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9" t="n"/>
      <c r="L313" s="9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9" t="n"/>
      <c r="L314" s="9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9" t="n"/>
      <c r="L315" s="9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9" t="n"/>
      <c r="L316" s="9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9" t="n"/>
      <c r="L317" s="9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9" t="n"/>
      <c r="L318" s="9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9" t="n"/>
      <c r="L319" s="9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9" t="n"/>
      <c r="L320" s="9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9" t="n"/>
      <c r="L321" s="9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9" t="n"/>
      <c r="L322" s="9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9" t="n"/>
      <c r="L323" s="9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9" t="n"/>
      <c r="L324" s="9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9" t="n"/>
      <c r="L325" s="9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9" t="n"/>
      <c r="L326" s="9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9" t="n"/>
      <c r="L327" s="9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9" t="n"/>
      <c r="L328" s="9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9" t="n"/>
      <c r="L329" s="9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9" t="n"/>
      <c r="L330" s="9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9" t="n"/>
      <c r="L331" s="9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9" t="n"/>
      <c r="L332" s="9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9" t="n"/>
      <c r="L333" s="9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9" t="n"/>
      <c r="L334" s="9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9" t="n"/>
      <c r="L335" s="9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9" t="n"/>
      <c r="L336" s="9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9" t="n"/>
      <c r="L337" s="9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9" t="n"/>
      <c r="L338" s="9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9" t="n"/>
      <c r="L339" s="9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9" t="n"/>
      <c r="L340" s="9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9" t="n"/>
      <c r="L341" s="9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9" t="n"/>
      <c r="L342" s="9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9" t="n"/>
      <c r="L343" s="9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9" t="n"/>
      <c r="L344" s="9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9" t="n"/>
      <c r="L345" s="9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9" t="n"/>
      <c r="L346" s="9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9" t="n"/>
      <c r="L347" s="9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9" t="n"/>
      <c r="L348" s="9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9" t="n"/>
      <c r="L349" s="9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9" t="n"/>
      <c r="L350" s="9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9" t="n"/>
      <c r="L351" s="9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9" t="n"/>
      <c r="L352" s="9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9" t="n"/>
      <c r="L353" s="9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9" t="n"/>
      <c r="L354" s="9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9" t="n"/>
      <c r="L355" s="9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9" t="n"/>
      <c r="L356" s="9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9" t="n"/>
      <c r="L357" s="9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9" t="n"/>
      <c r="L358" s="9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9" t="n"/>
      <c r="L359" s="9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9" t="n"/>
      <c r="L360" s="9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9" t="n"/>
      <c r="L361" s="9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9" t="n"/>
      <c r="L362" s="9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9" t="n"/>
      <c r="L363" s="9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9" t="n"/>
      <c r="L364" s="9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9" t="n"/>
      <c r="L365" s="9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9" t="n"/>
      <c r="L366" s="9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9" t="n"/>
      <c r="L367" s="9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9" t="n"/>
      <c r="L368" s="9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9" t="n"/>
      <c r="L369" s="9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9" t="n"/>
      <c r="L370" s="9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9" t="n"/>
      <c r="L371" s="9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9" t="n"/>
      <c r="L372" s="9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9" t="n"/>
      <c r="L373" s="9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9" t="n"/>
      <c r="L374" s="9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9" t="n"/>
      <c r="L375" s="9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9" t="n"/>
      <c r="L376" s="9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9" t="n"/>
      <c r="L377" s="9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9" t="n"/>
      <c r="L378" s="9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9" t="n"/>
      <c r="L379" s="9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9" t="n"/>
      <c r="L380" s="9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9" t="n"/>
      <c r="L381" s="9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9" t="n"/>
      <c r="L382" s="9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9" t="n"/>
      <c r="L383" s="9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9" t="n"/>
      <c r="L384" s="9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9" t="n"/>
      <c r="L385" s="9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9" t="n"/>
      <c r="L386" s="9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9" t="n"/>
      <c r="L387" s="9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9" t="n"/>
      <c r="L388" s="9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9" t="n"/>
      <c r="L389" s="9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9" t="n"/>
      <c r="L390" s="9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9" t="n"/>
      <c r="L391" s="9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9" t="n"/>
      <c r="L392" s="9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9" t="n"/>
      <c r="L393" s="9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9" t="n"/>
      <c r="L394" s="9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9" t="n"/>
      <c r="L395" s="9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9" t="n"/>
      <c r="L396" s="9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9" t="n"/>
      <c r="L397" s="9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9" t="n"/>
      <c r="L398" s="9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9" t="n"/>
      <c r="L399" s="9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9" t="n"/>
      <c r="L400" s="9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9" t="n"/>
      <c r="L401" s="9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9" t="n"/>
      <c r="L402" s="9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9" t="n"/>
      <c r="L403" s="9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9" t="n"/>
      <c r="L404" s="9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9" t="n"/>
      <c r="L405" s="9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9" t="n"/>
      <c r="L406" s="9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9" t="n"/>
      <c r="L407" s="9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9" t="n"/>
      <c r="L408" s="9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9" t="n"/>
      <c r="L409" s="9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9" t="n"/>
      <c r="L410" s="9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9" t="n"/>
      <c r="L411" s="9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9" t="n"/>
      <c r="L412" s="9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9" t="n"/>
      <c r="L413" s="9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9" t="n"/>
      <c r="L414" s="9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9" t="n"/>
      <c r="L415" s="9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9" t="n"/>
      <c r="L416" s="9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9" t="n"/>
      <c r="L417" s="9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9" t="n"/>
      <c r="L418" s="9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9" t="n"/>
      <c r="L419" s="9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9" t="n"/>
      <c r="L420" s="9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9" t="n"/>
      <c r="L421" s="9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9" t="n"/>
      <c r="L422" s="9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9" t="n"/>
      <c r="L423" s="9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9" t="n"/>
      <c r="L424" s="9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9" t="n"/>
      <c r="L425" s="9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9" t="n"/>
      <c r="L426" s="9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9" t="n"/>
      <c r="L427" s="9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9" t="n"/>
      <c r="L428" s="9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9" t="n"/>
      <c r="L429" s="9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9" t="n"/>
      <c r="L430" s="9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9" t="n"/>
      <c r="L431" s="9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9" t="n"/>
      <c r="L432" s="9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9" t="n"/>
      <c r="L433" s="9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9" t="n"/>
      <c r="L434" s="9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9" t="n"/>
      <c r="L435" s="9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9" t="n"/>
      <c r="L436" s="9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9" t="n"/>
      <c r="L437" s="9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9" t="n"/>
      <c r="L438" s="9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9" t="n"/>
      <c r="L439" s="9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9" t="n"/>
      <c r="L440" s="9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9" t="n"/>
      <c r="L441" s="9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9" t="n"/>
      <c r="L442" s="9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9" t="n"/>
      <c r="L443" s="9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9" t="n"/>
      <c r="L444" s="9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9" t="n"/>
      <c r="L445" s="9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9" t="n"/>
      <c r="L446" s="9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9" t="n"/>
      <c r="L447" s="9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9" t="n"/>
      <c r="L448" s="9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9" t="n"/>
      <c r="L449" s="9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9" t="n"/>
      <c r="L450" s="9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9" t="n"/>
      <c r="L451" s="9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9" t="n"/>
      <c r="L452" s="9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9" t="n"/>
      <c r="L453" s="9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9" t="n"/>
      <c r="L454" s="9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9" t="n"/>
      <c r="L455" s="9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9" t="n"/>
      <c r="L456" s="9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9" t="n"/>
      <c r="L457" s="9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9" t="n"/>
      <c r="L458" s="9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9" t="n"/>
      <c r="L459" s="9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9" t="n"/>
      <c r="L460" s="9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9" t="n"/>
      <c r="L461" s="9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9" t="n"/>
      <c r="L462" s="9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9" t="n"/>
      <c r="L463" s="9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9" t="n"/>
      <c r="L464" s="9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9" t="n"/>
      <c r="L465" s="9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9" t="n"/>
      <c r="L466" s="9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9" t="n"/>
      <c r="L467" s="9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9" t="n"/>
      <c r="L468" s="9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9" t="n"/>
      <c r="L469" s="9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9" t="n"/>
      <c r="L470" s="9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9" t="n"/>
      <c r="L471" s="9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9" t="n"/>
      <c r="L472" s="9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9" t="n"/>
      <c r="L473" s="9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9" t="n"/>
      <c r="L474" s="9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9" t="n"/>
      <c r="L475" s="9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9" t="n"/>
      <c r="L476" s="9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9" t="n"/>
      <c r="L477" s="9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9" t="n"/>
      <c r="L478" s="9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9" t="n"/>
      <c r="L479" s="9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9" t="n"/>
      <c r="L480" s="9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9" t="n"/>
      <c r="L481" s="9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9" t="n"/>
      <c r="L482" s="9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9" t="n"/>
      <c r="L483" s="9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9" t="n"/>
      <c r="L484" s="9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9" t="n"/>
      <c r="L485" s="9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9" t="n"/>
      <c r="L486" s="9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9" t="n"/>
      <c r="L487" s="9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9" t="n"/>
      <c r="L488" s="9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9" t="n"/>
      <c r="L489" s="9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9" t="n"/>
      <c r="L490" s="9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9" t="n"/>
      <c r="L491" s="9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9" t="n"/>
      <c r="L492" s="9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9" t="n"/>
      <c r="L493" s="9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9" t="n"/>
      <c r="L494" s="9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9" t="n"/>
      <c r="L495" s="9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9" t="n"/>
      <c r="L496" s="9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9" t="n"/>
      <c r="L497" s="9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9" t="n"/>
      <c r="L498" s="9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9" t="n"/>
      <c r="L499" s="9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9" t="n"/>
      <c r="L500" s="9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9" t="n"/>
      <c r="L501" s="9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9" t="n"/>
      <c r="L502" s="9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9" t="n"/>
      <c r="L503" s="9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9" t="n"/>
      <c r="L504" s="9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9" t="n"/>
      <c r="L505" s="9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9" t="n"/>
      <c r="L506" s="9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9" t="n"/>
      <c r="L507" s="9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9" t="n"/>
      <c r="L508" s="9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9" t="n"/>
      <c r="L509" s="9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9" t="n"/>
      <c r="L510" s="9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9" t="n"/>
      <c r="L511" s="9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9" t="n"/>
      <c r="L512" s="9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9" t="n"/>
      <c r="L513" s="9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9" t="n"/>
      <c r="L514" s="9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9" t="n"/>
      <c r="L515" s="9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9" t="n"/>
      <c r="L516" s="9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9" t="n"/>
      <c r="L517" s="9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9" t="n"/>
      <c r="L518" s="9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9" t="n"/>
      <c r="L519" s="9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9" t="n"/>
      <c r="L520" s="9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9" t="n"/>
      <c r="L521" s="9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9" t="n"/>
      <c r="L522" s="9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9" t="n"/>
      <c r="L523" s="9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9" t="n"/>
      <c r="L524" s="9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9" t="n"/>
      <c r="L525" s="9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9" t="n"/>
      <c r="L526" s="9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9" t="n"/>
      <c r="L527" s="9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9" t="n"/>
      <c r="L528" s="9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9" t="n"/>
      <c r="L529" s="9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9" t="n"/>
      <c r="L530" s="9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9" t="n"/>
      <c r="L531" s="9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9" t="n"/>
      <c r="L532" s="9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9" t="n"/>
      <c r="L533" s="9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9" t="n"/>
      <c r="L534" s="9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9" t="n"/>
      <c r="L535" s="9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9" t="n"/>
      <c r="L536" s="9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9" t="n"/>
      <c r="L537" s="9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9" t="n"/>
      <c r="L538" s="9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9" t="n"/>
      <c r="L539" s="9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9" t="n"/>
      <c r="L540" s="9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9" t="n"/>
      <c r="L541" s="9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9" t="n"/>
      <c r="L542" s="9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9" t="n"/>
      <c r="L543" s="9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9" t="n"/>
      <c r="L544" s="9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9" t="n"/>
      <c r="L545" s="9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9" t="n"/>
      <c r="L546" s="9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9" t="n"/>
      <c r="L547" s="9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9" t="n"/>
      <c r="L548" s="9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9" t="n"/>
      <c r="L549" s="9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9" t="n"/>
      <c r="L550" s="9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9" t="n"/>
      <c r="L551" s="9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9" t="n"/>
      <c r="L552" s="9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9" t="n"/>
      <c r="L553" s="9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9" t="n"/>
      <c r="L554" s="9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9" t="n"/>
      <c r="L555" s="9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9" t="n"/>
      <c r="L556" s="9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9" t="n"/>
      <c r="L557" s="9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9" t="n"/>
      <c r="L558" s="9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9" t="n"/>
      <c r="L559" s="9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9" t="n"/>
      <c r="L560" s="9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9" t="n"/>
      <c r="L561" s="9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9" t="n"/>
      <c r="L562" s="9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9" t="n"/>
      <c r="L563" s="9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9" t="n"/>
      <c r="L564" s="9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9" t="n"/>
      <c r="L565" s="9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9" t="n"/>
      <c r="L566" s="9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9" t="n"/>
      <c r="L567" s="9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9" t="n"/>
      <c r="L568" s="9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9" t="n"/>
      <c r="L569" s="9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9" t="n"/>
      <c r="L570" s="9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9" t="n"/>
      <c r="L571" s="9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9" t="n"/>
      <c r="L572" s="9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9" t="n"/>
      <c r="L573" s="9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9" t="n"/>
      <c r="L574" s="9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9" t="n"/>
      <c r="L575" s="9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9" t="n"/>
      <c r="L576" s="9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9" t="n"/>
      <c r="L577" s="9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9" t="n"/>
      <c r="L578" s="9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9" t="n"/>
      <c r="L579" s="9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9" t="n"/>
      <c r="L580" s="9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9" t="n"/>
      <c r="L581" s="9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9" t="n"/>
      <c r="L582" s="9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9" t="n"/>
      <c r="L583" s="9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9" t="n"/>
      <c r="L584" s="9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9" t="n"/>
      <c r="L585" s="9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9" t="n"/>
      <c r="L586" s="9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9" t="n"/>
      <c r="L587" s="9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9" t="n"/>
      <c r="L588" s="9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9" t="n"/>
      <c r="L589" s="9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9" t="n"/>
      <c r="L590" s="9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9" t="n"/>
      <c r="L591" s="9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9" t="n"/>
      <c r="L592" s="9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9" t="n"/>
      <c r="L593" s="9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9" t="n"/>
      <c r="L594" s="9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9" t="n"/>
      <c r="L595" s="9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9" t="n"/>
      <c r="L596" s="9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9" t="n"/>
      <c r="L597" s="9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9" t="n"/>
      <c r="L598" s="9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9" t="n"/>
      <c r="L599" s="9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9" t="n"/>
      <c r="L600" s="9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9" t="n"/>
      <c r="L601" s="9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9" t="n"/>
      <c r="L602" s="9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9" t="n"/>
      <c r="L603" s="9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9" t="n"/>
      <c r="L604" s="9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9" t="n"/>
      <c r="L605" s="9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9" t="n"/>
      <c r="L606" s="9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9" t="n"/>
      <c r="L607" s="9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9" t="n"/>
      <c r="L608" s="9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9" t="n"/>
      <c r="L609" s="9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9" t="n"/>
      <c r="L610" s="9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9" t="n"/>
      <c r="L611" s="9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9" t="n"/>
      <c r="L612" s="9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9" t="n"/>
      <c r="L613" s="9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9" t="n"/>
      <c r="L614" s="9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9" t="n"/>
      <c r="L615" s="9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9" t="n"/>
      <c r="L616" s="9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9" t="n"/>
      <c r="L617" s="9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9" t="n"/>
      <c r="L618" s="9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9" t="n"/>
      <c r="L619" s="9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9" t="n"/>
      <c r="L620" s="9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9" t="n"/>
      <c r="L621" s="9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9" t="n"/>
      <c r="L622" s="9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9" t="n"/>
      <c r="L623" s="9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9" t="n"/>
      <c r="L624" s="9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9" t="n"/>
      <c r="L625" s="9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9" t="n"/>
      <c r="L626" s="9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9" t="n"/>
      <c r="L627" s="9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9" t="n"/>
      <c r="L628" s="9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9" t="n"/>
      <c r="L629" s="9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9" t="n"/>
      <c r="L630" s="9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9" t="n"/>
      <c r="L631" s="9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9" t="n"/>
      <c r="L632" s="9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9" t="n"/>
      <c r="L633" s="9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9" t="n"/>
      <c r="L634" s="9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9" t="n"/>
      <c r="L635" s="9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9" t="n"/>
      <c r="L636" s="9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9" t="n"/>
      <c r="L637" s="9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9" t="n"/>
      <c r="L638" s="9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9" t="n"/>
      <c r="L639" s="9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9" t="n"/>
      <c r="L640" s="9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9" t="n"/>
      <c r="L641" s="9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9" t="n"/>
      <c r="L642" s="9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9" t="n"/>
      <c r="L643" s="9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9" t="n"/>
      <c r="L644" s="9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9" t="n"/>
      <c r="L645" s="9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9" t="n"/>
      <c r="L646" s="9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9" t="n"/>
      <c r="L647" s="9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9" t="n"/>
      <c r="L648" s="9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9" t="n"/>
      <c r="L649" s="9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9" t="n"/>
      <c r="L650" s="9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9" t="n"/>
      <c r="L651" s="9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9" t="n"/>
      <c r="L652" s="9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9" t="n"/>
      <c r="L653" s="9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9" t="n"/>
      <c r="L654" s="9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9" t="n"/>
      <c r="L655" s="9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9" t="n"/>
      <c r="L656" s="9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9" t="n"/>
      <c r="L657" s="9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9" t="n"/>
      <c r="L658" s="9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9" t="n"/>
      <c r="L659" s="9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9" t="n"/>
      <c r="L660" s="9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9" t="n"/>
      <c r="L661" s="9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9" t="n"/>
      <c r="L662" s="9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9" t="n"/>
      <c r="L663" s="9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9" t="n"/>
      <c r="L664" s="9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9" t="n"/>
      <c r="L665" s="9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9" t="n"/>
      <c r="L666" s="9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9" t="n"/>
      <c r="L667" s="9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9" t="n"/>
      <c r="L668" s="9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9" t="n"/>
      <c r="L669" s="9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9" t="n"/>
      <c r="L670" s="9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9" t="n"/>
      <c r="L671" s="9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9" t="n"/>
      <c r="L672" s="9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9" t="n"/>
      <c r="L673" s="9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9" t="n"/>
      <c r="L674" s="9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9" t="n"/>
      <c r="L675" s="9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9" t="n"/>
      <c r="L676" s="9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9" t="n"/>
      <c r="L677" s="9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9" t="n"/>
      <c r="L678" s="9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9" t="n"/>
      <c r="L679" s="9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9" t="n"/>
      <c r="L680" s="9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9" t="n"/>
      <c r="L681" s="9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9" t="n"/>
      <c r="L682" s="9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9" t="n"/>
      <c r="L683" s="9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9" t="n"/>
      <c r="L684" s="9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9" t="n"/>
      <c r="L685" s="9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9" t="n"/>
      <c r="L686" s="9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9" t="n"/>
      <c r="L687" s="9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9" t="n"/>
      <c r="L688" s="9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9" t="n"/>
      <c r="L689" s="9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9" t="n"/>
      <c r="L690" s="9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9" t="n"/>
      <c r="L691" s="9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9" t="n"/>
      <c r="L692" s="9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9" t="n"/>
      <c r="L693" s="9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9" t="n"/>
      <c r="L694" s="9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9" t="n"/>
      <c r="L695" s="9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9" t="n"/>
      <c r="L696" s="9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9" t="n"/>
      <c r="L697" s="9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9" t="n"/>
      <c r="L698" s="9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9" t="n"/>
      <c r="L699" s="9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9" t="n"/>
      <c r="L700" s="9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9" t="n"/>
      <c r="L701" s="9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9" t="n"/>
      <c r="L702" s="9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9" t="n"/>
      <c r="L703" s="9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9" t="n"/>
      <c r="L704" s="9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9" t="n"/>
      <c r="L705" s="9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9" t="n"/>
      <c r="L706" s="9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9" t="n"/>
      <c r="L707" s="9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9" t="n"/>
      <c r="L708" s="9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9" t="n"/>
      <c r="L709" s="9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9" t="n"/>
      <c r="L710" s="9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9" t="n"/>
      <c r="L711" s="9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9" t="n"/>
      <c r="L712" s="9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9" t="n"/>
      <c r="L713" s="9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9" t="n"/>
      <c r="L714" s="9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9" t="n"/>
      <c r="L715" s="9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9" t="n"/>
      <c r="L716" s="9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9" t="n"/>
      <c r="L717" s="9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9" t="n"/>
      <c r="L718" s="9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9" t="n"/>
      <c r="L719" s="9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9" t="n"/>
      <c r="L720" s="9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9" t="n"/>
      <c r="L721" s="9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9" t="n"/>
      <c r="L722" s="9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9" t="n"/>
      <c r="L723" s="9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9" t="n"/>
      <c r="L724" s="9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9" t="n"/>
      <c r="L725" s="9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9" t="n"/>
      <c r="L726" s="9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9" t="n"/>
      <c r="L727" s="9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9" t="n"/>
      <c r="L728" s="9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9" t="n"/>
      <c r="L729" s="9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9" t="n"/>
      <c r="L730" s="9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9" t="n"/>
      <c r="L731" s="9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9" t="n"/>
      <c r="L732" s="9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9" t="n"/>
      <c r="L733" s="9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9" t="n"/>
      <c r="L734" s="9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9" t="n"/>
      <c r="L735" s="9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9" t="n"/>
      <c r="L736" s="9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9" t="n"/>
      <c r="L737" s="9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9" t="n"/>
      <c r="L738" s="9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9" t="n"/>
      <c r="L739" s="9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9" t="n"/>
      <c r="L740" s="9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9" t="n"/>
      <c r="L741" s="9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9" t="n"/>
      <c r="L742" s="9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9" t="n"/>
      <c r="L743" s="9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9" t="n"/>
      <c r="L744" s="9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9" t="n"/>
      <c r="L745" s="9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9" t="n"/>
      <c r="L746" s="9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9" t="n"/>
      <c r="L747" s="9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9" t="n"/>
      <c r="L748" s="9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9" t="n"/>
      <c r="L749" s="9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9" t="n"/>
      <c r="L750" s="9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9" t="n"/>
      <c r="L751" s="9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9" t="n"/>
      <c r="L752" s="9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9" t="n"/>
      <c r="L753" s="9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9" t="n"/>
      <c r="L754" s="9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9" t="n"/>
      <c r="L755" s="9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9" t="n"/>
      <c r="L756" s="9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9" t="n"/>
      <c r="L757" s="9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9" t="n"/>
      <c r="L758" s="9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9" t="n"/>
      <c r="L759" s="9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9" t="n"/>
      <c r="L760" s="9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9" t="n"/>
      <c r="L761" s="9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9" t="n"/>
      <c r="L762" s="9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9" t="n"/>
      <c r="L763" s="9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9" t="n"/>
      <c r="L764" s="9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9" t="n"/>
      <c r="L765" s="9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9" t="n"/>
      <c r="L766" s="9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9" t="n"/>
      <c r="L767" s="9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9" t="n"/>
      <c r="L768" s="9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9" t="n"/>
      <c r="L769" s="9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9" t="n"/>
      <c r="L770" s="9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9" t="n"/>
      <c r="L771" s="9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9" t="n"/>
      <c r="L772" s="9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9" t="n"/>
      <c r="L773" s="9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9" t="n"/>
      <c r="L774" s="9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9" t="n"/>
      <c r="L775" s="9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9" t="n"/>
      <c r="L776" s="9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9" t="n"/>
      <c r="L777" s="9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9" t="n"/>
      <c r="L778" s="9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9" t="n"/>
      <c r="L779" s="9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9" t="n"/>
      <c r="L780" s="9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9" t="n"/>
      <c r="L781" s="9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9" t="n"/>
      <c r="L782" s="9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9" t="n"/>
      <c r="L783" s="9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9" t="n"/>
      <c r="L784" s="9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9" t="n"/>
      <c r="L785" s="9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9" t="n"/>
      <c r="L786" s="9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9" t="n"/>
      <c r="L787" s="9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9" t="n"/>
      <c r="L788" s="9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9" t="n"/>
      <c r="L789" s="9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9" t="n"/>
      <c r="L790" s="9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9" t="n"/>
      <c r="L791" s="9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9" t="n"/>
      <c r="L792" s="9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9" t="n"/>
      <c r="L793" s="9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9" t="n"/>
      <c r="L794" s="9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9" t="n"/>
      <c r="L795" s="9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9" t="n"/>
      <c r="L796" s="9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9" t="n"/>
      <c r="L797" s="9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9" t="n"/>
      <c r="L798" s="9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9" t="n"/>
      <c r="L799" s="9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9" t="n"/>
      <c r="L800" s="9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9" t="n"/>
      <c r="L801" s="9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9" t="n"/>
      <c r="L802" s="9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9" t="n"/>
      <c r="L803" s="9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9" t="n"/>
      <c r="L804" s="9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9" t="n"/>
      <c r="L805" s="9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9" t="n"/>
      <c r="L806" s="9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9" t="n"/>
      <c r="L807" s="9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9" t="n"/>
      <c r="L808" s="9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9" t="n"/>
      <c r="L809" s="9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9" t="n"/>
      <c r="L810" s="9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9" t="n"/>
      <c r="L811" s="9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9" t="n"/>
      <c r="L812" s="9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9" t="n"/>
      <c r="L813" s="9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9" t="n"/>
      <c r="L814" s="9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9" t="n"/>
      <c r="L815" s="9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9" t="n"/>
      <c r="L816" s="9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9" t="n"/>
      <c r="L817" s="9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9" t="n"/>
      <c r="L818" s="9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9" t="n"/>
      <c r="L819" s="9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9" t="n"/>
      <c r="L820" s="9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9" t="n"/>
      <c r="L821" s="9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9" t="n"/>
      <c r="L822" s="9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9" t="n"/>
      <c r="L823" s="9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9" t="n"/>
      <c r="L824" s="9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9" t="n"/>
      <c r="L825" s="9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9" t="n"/>
      <c r="L826" s="9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9" t="n"/>
      <c r="L827" s="9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9" t="n"/>
      <c r="L828" s="9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9" t="n"/>
      <c r="L829" s="9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9" t="n"/>
      <c r="L830" s="9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9" t="n"/>
      <c r="L831" s="9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9" t="n"/>
      <c r="L832" s="9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9" t="n"/>
      <c r="L833" s="9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9" t="n"/>
      <c r="L834" s="9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9" t="n"/>
      <c r="L835" s="9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9" t="n"/>
      <c r="L836" s="9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9" t="n"/>
      <c r="L837" s="9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9" t="n"/>
      <c r="L838" s="9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9" t="n"/>
      <c r="L839" s="9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9" t="n"/>
      <c r="L840" s="9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9" t="n"/>
      <c r="L841" s="9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9" t="n"/>
      <c r="L842" s="9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9" t="n"/>
      <c r="L843" s="9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9" t="n"/>
      <c r="L844" s="9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9" t="n"/>
      <c r="L845" s="9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9" t="n"/>
      <c r="L846" s="9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9" t="n"/>
      <c r="L847" s="9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9" t="n"/>
      <c r="L848" s="9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9" t="n"/>
      <c r="L849" s="9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9" t="n"/>
      <c r="L850" s="9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9" t="n"/>
      <c r="L851" s="9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9" t="n"/>
      <c r="L852" s="9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9" t="n"/>
      <c r="L853" s="9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9" t="n"/>
      <c r="L854" s="9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9" t="n"/>
      <c r="L855" s="9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9" t="n"/>
      <c r="L856" s="9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9" t="n"/>
      <c r="L857" s="9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9" t="n"/>
      <c r="L858" s="9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9" t="n"/>
      <c r="L859" s="9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9" t="n"/>
      <c r="L860" s="9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9" t="n"/>
      <c r="L861" s="9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9" t="n"/>
      <c r="L862" s="9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9" t="n"/>
      <c r="L863" s="9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9" t="n"/>
      <c r="L864" s="9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9" t="n"/>
      <c r="L865" s="9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9" t="n"/>
      <c r="L866" s="9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9" t="n"/>
      <c r="L867" s="9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9" t="n"/>
      <c r="L868" s="9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9" t="n"/>
      <c r="L869" s="9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9" t="n"/>
      <c r="L870" s="9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9" t="n"/>
      <c r="L871" s="9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9" t="n"/>
      <c r="L872" s="9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9" t="n"/>
      <c r="L873" s="9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9" t="n"/>
      <c r="L874" s="9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9" t="n"/>
      <c r="L875" s="9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9" t="n"/>
      <c r="L876" s="9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9" t="n"/>
      <c r="L877" s="9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9" t="n"/>
      <c r="L878" s="9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9" t="n"/>
      <c r="L879" s="9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9" t="n"/>
      <c r="L880" s="9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9" t="n"/>
      <c r="L881" s="9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9" t="n"/>
      <c r="L882" s="9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9" t="n"/>
      <c r="L883" s="9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9" t="n"/>
      <c r="L884" s="9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9" t="n"/>
      <c r="L885" s="9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9" t="n"/>
      <c r="L886" s="9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9" t="n"/>
      <c r="L887" s="9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9" t="n"/>
      <c r="L888" s="9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9" t="n"/>
      <c r="L889" s="9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9" t="n"/>
      <c r="L890" s="9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9" t="n"/>
      <c r="L891" s="9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9" t="n"/>
      <c r="L892" s="9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9" t="n"/>
      <c r="L893" s="9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9" t="n"/>
      <c r="L894" s="9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9" t="n"/>
      <c r="L895" s="9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9" t="n"/>
      <c r="L896" s="9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9" t="n"/>
      <c r="L897" s="9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9" t="n"/>
      <c r="L898" s="9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9" t="n"/>
      <c r="L899" s="9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9" t="n"/>
      <c r="L900" s="9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9" t="n"/>
      <c r="L901" s="9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9" t="n"/>
      <c r="L902" s="9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9" t="n"/>
      <c r="L903" s="9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9" t="n"/>
      <c r="L904" s="9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9" t="n"/>
      <c r="L905" s="9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9" t="n"/>
      <c r="L906" s="9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9" t="n"/>
      <c r="L907" s="9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9" t="n"/>
      <c r="L908" s="9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9" t="n"/>
      <c r="L909" s="9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9" t="n"/>
      <c r="L910" s="9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9" t="n"/>
      <c r="L911" s="9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9" t="n"/>
      <c r="L912" s="9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9" t="n"/>
      <c r="L913" s="9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9" t="n"/>
      <c r="L914" s="9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9" t="n"/>
      <c r="L915" s="9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9" t="n"/>
      <c r="L916" s="9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9" t="n"/>
      <c r="L917" s="9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9" t="n"/>
      <c r="L918" s="9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9" t="n"/>
      <c r="L919" s="9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9" t="n"/>
      <c r="L920" s="9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9" t="n"/>
      <c r="L921" s="9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9" t="n"/>
      <c r="L922" s="9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9" t="n"/>
      <c r="L923" s="9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9" t="n"/>
      <c r="L924" s="9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9" t="n"/>
      <c r="L925" s="9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9" t="n"/>
      <c r="L926" s="9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9" t="n"/>
      <c r="L927" s="9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9" t="n"/>
      <c r="L928" s="9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9" t="n"/>
      <c r="L929" s="9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9" t="n"/>
      <c r="L930" s="9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9" t="n"/>
      <c r="L931" s="9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9" t="n"/>
      <c r="L932" s="9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9" t="n"/>
      <c r="L933" s="9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9" t="n"/>
      <c r="L934" s="9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9" t="n"/>
      <c r="L935" s="9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9" t="n"/>
      <c r="L936" s="9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9" t="n"/>
      <c r="L937" s="9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9" t="n"/>
      <c r="L938" s="9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9" t="n"/>
      <c r="L939" s="9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9" t="n"/>
      <c r="L940" s="9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9" t="n"/>
      <c r="L941" s="9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9" t="n"/>
      <c r="L942" s="9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9" t="n"/>
      <c r="L943" s="9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9" t="n"/>
      <c r="L944" s="9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9" t="n"/>
      <c r="L945" s="9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9" t="n"/>
      <c r="L946" s="9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9" t="n"/>
      <c r="L947" s="9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9" t="n"/>
      <c r="L948" s="9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9" t="n"/>
      <c r="L949" s="9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9" t="n"/>
      <c r="L950" s="9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9" t="n"/>
      <c r="L951" s="9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9" t="n"/>
      <c r="L952" s="9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9" t="n"/>
      <c r="L953" s="9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9" t="n"/>
      <c r="L954" s="9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9" t="n"/>
      <c r="L955" s="9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9" t="n"/>
      <c r="L956" s="9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9" t="n"/>
      <c r="L957" s="9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9" t="n"/>
      <c r="L958" s="9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9" t="n"/>
      <c r="L959" s="9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9" t="n"/>
      <c r="L960" s="9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9" t="n"/>
      <c r="L961" s="9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9" t="n"/>
      <c r="L962" s="9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9" t="n"/>
      <c r="L963" s="9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9" t="n"/>
      <c r="L964" s="9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9" t="n"/>
      <c r="L965" s="9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9" t="n"/>
      <c r="L966" s="9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9" t="n"/>
      <c r="L967" s="9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9" t="n"/>
      <c r="L968" s="9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9" t="n"/>
      <c r="L969" s="9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9" t="n"/>
      <c r="L970" s="9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9" t="n"/>
      <c r="L971" s="9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9" t="n"/>
      <c r="L972" s="9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9" t="n"/>
      <c r="L973" s="9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9" t="n"/>
      <c r="L974" s="9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9" t="n"/>
      <c r="L975" s="9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9" t="n"/>
      <c r="L976" s="9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9" t="n"/>
      <c r="L977" s="9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9" t="n"/>
      <c r="L978" s="9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9" t="n"/>
      <c r="L979" s="9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9" t="n"/>
      <c r="L980" s="9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9" t="n"/>
      <c r="L981" s="9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9" t="n"/>
      <c r="L982" s="9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9" t="n"/>
      <c r="L983" s="9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9" t="n"/>
      <c r="L984" s="9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9" t="n"/>
      <c r="L985" s="9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9" t="n"/>
      <c r="L986" s="9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9" t="n"/>
      <c r="L987" s="9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9" t="n"/>
      <c r="L988" s="9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9" t="n"/>
      <c r="L989" s="9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9" t="n"/>
      <c r="L990" s="9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9" t="n"/>
      <c r="L991" s="9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9" t="n"/>
      <c r="L992" s="9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9" t="n"/>
      <c r="L993" s="9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9" t="n"/>
      <c r="L994" s="9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9" t="n"/>
      <c r="L995" s="9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9" t="n"/>
      <c r="L996" s="9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9" t="n"/>
      <c r="L997" s="9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9" t="n"/>
      <c r="L998" s="9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9" t="n"/>
      <c r="L999" s="9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9" t="n"/>
      <c r="L1000" s="9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2026-08-24T03:35:17Z</dcterms:modified>
  <cp:lastModifiedBy>Abdul Basit</cp:lastModifiedBy>
</cp:coreProperties>
</file>