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dbasit\Downloads\Personal\Trade\IBKR\TWS API\source\pythonclient\Trading Strategies\Trade Journal\"/>
    </mc:Choice>
  </mc:AlternateContent>
  <xr:revisionPtr revIDLastSave="0" documentId="13_ncr:1_{FF52ACF4-27E4-4F06-877A-91B5DC7AB8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de Tracker - Eval" sheetId="7" r:id="rId1"/>
    <sheet name="Multiplier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8" i="7" l="1"/>
  <c r="O127" i="7"/>
  <c r="O126" i="7"/>
  <c r="O125" i="7"/>
  <c r="O124" i="7"/>
  <c r="N23" i="7"/>
  <c r="O23" i="7" s="1"/>
  <c r="N22" i="7"/>
  <c r="M22" i="7" s="1"/>
  <c r="L22" i="7"/>
  <c r="N21" i="7"/>
  <c r="O21" i="7" s="1"/>
  <c r="L21" i="7"/>
  <c r="N20" i="7"/>
  <c r="O20" i="7" s="1"/>
  <c r="L20" i="7"/>
  <c r="N19" i="7"/>
  <c r="O19" i="7" s="1"/>
  <c r="L19" i="7"/>
  <c r="N18" i="7"/>
  <c r="O18" i="7" s="1"/>
  <c r="M18" i="7"/>
  <c r="L18" i="7"/>
  <c r="K18" i="7"/>
  <c r="N17" i="7"/>
  <c r="O17" i="7" s="1"/>
  <c r="M17" i="7"/>
  <c r="L17" i="7"/>
  <c r="K17" i="7"/>
  <c r="N16" i="7"/>
  <c r="O16" i="7" s="1"/>
  <c r="M16" i="7"/>
  <c r="L16" i="7"/>
  <c r="K16" i="7"/>
  <c r="N15" i="7"/>
  <c r="O15" i="7" s="1"/>
  <c r="M15" i="7"/>
  <c r="L15" i="7"/>
  <c r="K15" i="7"/>
  <c r="N14" i="7"/>
  <c r="O14" i="7" s="1"/>
  <c r="L14" i="7"/>
  <c r="K14" i="7"/>
  <c r="N13" i="7"/>
  <c r="O13" i="7" s="1"/>
  <c r="L13" i="7"/>
  <c r="K13" i="7"/>
  <c r="N12" i="7"/>
  <c r="O12" i="7" s="1"/>
  <c r="M12" i="7"/>
  <c r="L12" i="7"/>
  <c r="K12" i="7"/>
  <c r="N11" i="7"/>
  <c r="O11" i="7" s="1"/>
  <c r="M11" i="7"/>
  <c r="L11" i="7"/>
  <c r="K11" i="7"/>
  <c r="N10" i="7"/>
  <c r="O10" i="7" s="1"/>
  <c r="M10" i="7"/>
  <c r="L10" i="7"/>
  <c r="K10" i="7"/>
  <c r="N9" i="7"/>
  <c r="O9" i="7" s="1"/>
  <c r="L9" i="7"/>
  <c r="K9" i="7"/>
  <c r="N8" i="7"/>
  <c r="O8" i="7" s="1"/>
  <c r="M8" i="7"/>
  <c r="L8" i="7"/>
  <c r="K8" i="7"/>
  <c r="N7" i="7"/>
  <c r="O7" i="7" s="1"/>
  <c r="L7" i="7"/>
  <c r="K7" i="7"/>
  <c r="N6" i="7"/>
  <c r="O6" i="7" s="1"/>
  <c r="L6" i="7"/>
  <c r="K6" i="7"/>
  <c r="N5" i="7"/>
  <c r="O5" i="7" s="1"/>
  <c r="L5" i="7"/>
  <c r="K5" i="7"/>
  <c r="N4" i="7"/>
  <c r="O4" i="7" s="1"/>
  <c r="L4" i="7"/>
  <c r="K4" i="7"/>
  <c r="N3" i="7"/>
  <c r="O3" i="7" s="1"/>
  <c r="L3" i="7"/>
  <c r="K3" i="7"/>
  <c r="N2" i="7"/>
  <c r="O2" i="7" s="1"/>
  <c r="L2" i="7"/>
  <c r="K2" i="7"/>
  <c r="M2" i="7" l="1"/>
  <c r="M4" i="7"/>
  <c r="P2" i="7"/>
  <c r="P3" i="7" s="1"/>
  <c r="P4" i="7" s="1"/>
  <c r="P5" i="7" s="1"/>
  <c r="P6" i="7" s="1"/>
  <c r="P7" i="7" s="1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O22" i="7"/>
  <c r="M13" i="7"/>
  <c r="M23" i="7"/>
  <c r="M14" i="7"/>
  <c r="M20" i="7"/>
  <c r="M6" i="7"/>
  <c r="M21" i="7"/>
  <c r="M19" i="7"/>
  <c r="M3" i="7"/>
  <c r="M5" i="7"/>
  <c r="M7" i="7"/>
  <c r="M9" i="7"/>
</calcChain>
</file>

<file path=xl/sharedStrings.xml><?xml version="1.0" encoding="utf-8"?>
<sst xmlns="http://schemas.openxmlformats.org/spreadsheetml/2006/main" count="51" uniqueCount="41">
  <si>
    <t xml:space="preserve">ZTH </t>
  </si>
  <si>
    <t>Date</t>
  </si>
  <si>
    <t>Time</t>
  </si>
  <si>
    <t>Asset Traded</t>
  </si>
  <si>
    <t>Direction</t>
  </si>
  <si>
    <t>Entry Price</t>
  </si>
  <si>
    <t>Exit Price</t>
  </si>
  <si>
    <t>Position Size</t>
  </si>
  <si>
    <t>Stop Loss</t>
  </si>
  <si>
    <t>Take Profit</t>
  </si>
  <si>
    <t>RR Targeted</t>
  </si>
  <si>
    <t>RR Realized</t>
  </si>
  <si>
    <t>Win/Loss</t>
  </si>
  <si>
    <t>P&amp;L Amount</t>
  </si>
  <si>
    <t>P&amp;L %</t>
  </si>
  <si>
    <t>Cumulative P&amp;L</t>
  </si>
  <si>
    <t>Trade Setup</t>
  </si>
  <si>
    <t>Notes</t>
  </si>
  <si>
    <t>Intrument Level</t>
  </si>
  <si>
    <t>Level Screenshot</t>
  </si>
  <si>
    <t>Trade Screenshot</t>
  </si>
  <si>
    <t>MNQ</t>
  </si>
  <si>
    <t>Short</t>
  </si>
  <si>
    <t>BR</t>
  </si>
  <si>
    <t>Long</t>
  </si>
  <si>
    <t>MGC</t>
  </si>
  <si>
    <t>Asset</t>
  </si>
  <si>
    <t>Multiplier</t>
  </si>
  <si>
    <t>ES</t>
  </si>
  <si>
    <t>MES</t>
  </si>
  <si>
    <t>NQ</t>
  </si>
  <si>
    <t>YM</t>
  </si>
  <si>
    <t>RTY</t>
  </si>
  <si>
    <t>GC</t>
  </si>
  <si>
    <t>CL</t>
  </si>
  <si>
    <t>MCL</t>
  </si>
  <si>
    <t>QM</t>
  </si>
  <si>
    <t>https://www.tradingview.com/x/ygjyjXNE/</t>
  </si>
  <si>
    <t>https://www.tradingview.com/x/pqKL41ZW/</t>
  </si>
  <si>
    <t>https://www.tradingview.com/x/soX7jXbm/</t>
  </si>
  <si>
    <t xml:space="preserve">https://www.tradingview.com/x/Hz1BKRjK/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</si>
</sst>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rgb="FF000000"/>
      <name val="Aptos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 applyNumberFormat="0" applyFill="0" applyBorder="0" applyAlignment="0" applyProtection="0"/>
  </cellStyleXfs>
  <cellXfs count="14">
    <xf numFmtId="0" fontId="0" fillId="0" borderId="0" xfId="0" applyBorder="1"/>
    <xf numFmtId="0" fontId="1" fillId="2" borderId="1" xfId="0" applyFont="1" applyFill="1"/>
    <xf numFmtId="0" fontId="2" fillId="3" borderId="2" xfId="0" applyFont="1" applyFill="1" applyBorder="1" applyAlignment="1">
      <alignment horizontal="left" vertical="top" wrapText="1"/>
    </xf>
    <xf numFmtId="0" fontId="3" fillId="0" borderId="0" xfId="0" applyFont="1" applyBorder="1"/>
    <xf numFmtId="2" fontId="2" fillId="3" borderId="2" xfId="0" applyNumberFormat="1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164" fontId="4" fillId="0" borderId="0" xfId="0" applyNumberFormat="1" applyFont="1" applyBorder="1" applyAlignment="1">
      <alignment horizontal="left" vertical="top" wrapText="1"/>
    </xf>
    <xf numFmtId="18" fontId="3" fillId="0" borderId="0" xfId="0" applyNumberFormat="1" applyFont="1" applyBorder="1" applyAlignment="1">
      <alignment horizontal="left" vertical="top" wrapText="1"/>
    </xf>
    <xf numFmtId="4" fontId="4" fillId="0" borderId="0" xfId="0" applyNumberFormat="1" applyFont="1" applyBorder="1" applyAlignment="1">
      <alignment horizontal="left" vertical="top" wrapText="1"/>
    </xf>
    <xf numFmtId="2" fontId="3" fillId="0" borderId="0" xfId="0" applyNumberFormat="1" applyFont="1" applyBorder="1" applyAlignment="1">
      <alignment horizontal="left" vertical="top" wrapText="1"/>
    </xf>
    <xf numFmtId="10" fontId="4" fillId="0" borderId="0" xfId="0" applyNumberFormat="1" applyFont="1" applyBorder="1" applyAlignment="1">
      <alignment horizontal="left" vertical="top" wrapText="1"/>
    </xf>
    <xf numFmtId="20" fontId="3" fillId="0" borderId="0" xfId="0" applyNumberFormat="1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6" fillId="0" borderId="0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radingview.com/x/Hz1BKRjK/" TargetMode="External"/><Relationship Id="rId1" Type="http://schemas.openxmlformats.org/officeDocument/2006/relationships/hyperlink" Target="https://www.tradingview.com/x/soX7jXb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EA09-3E19-4E7E-B89A-3C0353BFD9EB}">
  <dimension ref="A1:AA1000"/>
  <sheetViews>
    <sheetView tabSelected="1" workbookViewId="0">
      <pane ySplit="1" topLeftCell="A2" activePane="bottomLeft" state="frozen"/>
      <selection pane="bottomLeft" activeCell="H23" sqref="H23"/>
    </sheetView>
  </sheetViews>
  <sheetFormatPr defaultColWidth="14.42578125" defaultRowHeight="15" customHeight="1" x14ac:dyDescent="0.25"/>
  <cols>
    <col min="1" max="1" width="8" customWidth="1"/>
    <col min="2" max="2" width="12" customWidth="1"/>
    <col min="3" max="3" width="10" customWidth="1"/>
    <col min="4" max="4" width="15" customWidth="1"/>
    <col min="5" max="5" width="10" customWidth="1"/>
    <col min="6" max="12" width="12" customWidth="1"/>
    <col min="13" max="13" width="10" customWidth="1"/>
    <col min="14" max="14" width="12" customWidth="1"/>
    <col min="15" max="15" width="10" customWidth="1"/>
    <col min="16" max="16" width="15" customWidth="1"/>
    <col min="17" max="17" width="11.42578125" customWidth="1"/>
    <col min="18" max="18" width="6.28515625" customWidth="1"/>
    <col min="19" max="19" width="15" customWidth="1"/>
    <col min="20" max="20" width="40.42578125" bestFit="1" customWidth="1"/>
    <col min="21" max="21" width="52.42578125" customWidth="1"/>
    <col min="22" max="27" width="8.7109375" customWidth="1"/>
  </cols>
  <sheetData>
    <row r="1" spans="1:27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/>
      <c r="W1" s="5"/>
      <c r="X1" s="5"/>
      <c r="Y1" s="5"/>
      <c r="Z1" s="5"/>
      <c r="AA1" s="5"/>
    </row>
    <row r="2" spans="1:27" x14ac:dyDescent="0.25">
      <c r="A2" s="5">
        <v>7</v>
      </c>
      <c r="B2" s="6">
        <v>46251</v>
      </c>
      <c r="C2" s="11">
        <v>0.41319444444444442</v>
      </c>
      <c r="D2" s="5" t="s">
        <v>21</v>
      </c>
      <c r="E2" s="5" t="s">
        <v>24</v>
      </c>
      <c r="F2" s="8">
        <v>30240.75</v>
      </c>
      <c r="G2" s="8">
        <v>30220</v>
      </c>
      <c r="H2" s="5">
        <v>3</v>
      </c>
      <c r="I2" s="8">
        <v>30220.75</v>
      </c>
      <c r="J2" s="8">
        <v>30280.75</v>
      </c>
      <c r="K2" s="9">
        <f t="shared" ref="K2:K18" si="0">IF(AND(I2&lt;&gt;"",J2&lt;&gt;"",F2&lt;&gt;""), (J2-F2)/(F2-I2), "")</f>
        <v>2</v>
      </c>
      <c r="L2" s="9">
        <f t="shared" ref="L2:L22" si="1">IF(AND(F2&lt;&gt;"",G2&lt;&gt;"",I2&lt;&gt;""), (G2-F2)/(F2-I2), "")</f>
        <v>-1.0375000000000001</v>
      </c>
      <c r="M2" s="5" t="str">
        <f t="shared" ref="M2:M23" si="2">IF(N2&gt;0,"Win",IF(N2&lt;0,"Loss",""))</f>
        <v>Loss</v>
      </c>
      <c r="N2" s="5">
        <f>IF(AND(F2&lt;&gt;"",G2&lt;&gt;"",H2&lt;&gt;"",D2&lt;&gt;""), IF(E2="Long", (G2-F2)*H2*VLOOKUP(D2,Multipliers!A:B,2,FALSE), (F2-G2)*H2*VLOOKUP(D2,Multipliers!A:B,2,FALSE)), "")</f>
        <v>-124.5</v>
      </c>
      <c r="O2" s="10">
        <f>IF(AND(N2&lt;&gt;"",F2&lt;&gt;"",H2&lt;&gt;"",D2&lt;&gt;""), N2/(F2*H2*VLOOKUP(D2,Multipliers!A:B,2,FALSE)), "")</f>
        <v>-6.8616023081438128E-4</v>
      </c>
      <c r="P2" s="5">
        <f>IF(ROW()=2,N2,#REF!+N2)</f>
        <v>-124.5</v>
      </c>
      <c r="Q2" s="5" t="s">
        <v>23</v>
      </c>
      <c r="R2" s="5"/>
      <c r="S2" s="5" t="s">
        <v>21</v>
      </c>
      <c r="T2" s="5" t="s">
        <v>37</v>
      </c>
      <c r="U2" s="5" t="s">
        <v>38</v>
      </c>
      <c r="V2" s="5"/>
      <c r="W2" s="5"/>
      <c r="X2" s="5"/>
      <c r="Y2" s="5"/>
      <c r="Z2" s="5"/>
      <c r="AA2" s="5"/>
    </row>
    <row r="3" spans="1:27" ht="18" customHeight="1" x14ac:dyDescent="0.25">
      <c r="A3" s="5">
        <v>8</v>
      </c>
      <c r="B3" s="6">
        <v>46251</v>
      </c>
      <c r="C3" s="11">
        <v>0.42291666666666672</v>
      </c>
      <c r="D3" s="5" t="s">
        <v>25</v>
      </c>
      <c r="E3" s="5" t="s">
        <v>24</v>
      </c>
      <c r="F3" s="8">
        <v>4461.3999999999996</v>
      </c>
      <c r="G3" s="8">
        <v>4473.3999999999996</v>
      </c>
      <c r="H3" s="5">
        <v>2</v>
      </c>
      <c r="I3" s="8">
        <v>4455.3999999999996</v>
      </c>
      <c r="J3" s="8">
        <v>4473.3999999999996</v>
      </c>
      <c r="K3" s="9">
        <f t="shared" si="0"/>
        <v>2</v>
      </c>
      <c r="L3" s="9">
        <f t="shared" si="1"/>
        <v>2</v>
      </c>
      <c r="M3" s="5" t="str">
        <f t="shared" si="2"/>
        <v>Win</v>
      </c>
      <c r="N3" s="5">
        <f>IF(AND(F3&lt;&gt;"",G3&lt;&gt;"",H3&lt;&gt;"",D3&lt;&gt;""), IF(E3="Long", (G3-F3)*H3*VLOOKUP(D3,Multipliers!A:B,2,FALSE), (F3-G3)*H3*VLOOKUP(D3,Multipliers!A:B,2,FALSE)), "")</f>
        <v>240</v>
      </c>
      <c r="O3" s="10">
        <f>IF(AND(N3&lt;&gt;"",F3&lt;&gt;"",H3&lt;&gt;"",D3&lt;&gt;""), N3/(F3*H3*VLOOKUP(D3,Multipliers!A:B,2,FALSE)), "")</f>
        <v>2.6897386470614605E-3</v>
      </c>
      <c r="P3" s="5">
        <f t="shared" ref="P3:P23" si="3">IF(ROW()=2,N3,P2+N3)</f>
        <v>115.5</v>
      </c>
      <c r="Q3" s="5" t="s">
        <v>23</v>
      </c>
      <c r="R3" s="5"/>
      <c r="S3" s="5" t="s">
        <v>25</v>
      </c>
      <c r="T3" s="13" t="s">
        <v>39</v>
      </c>
      <c r="U3" s="13" t="s">
        <v>40</v>
      </c>
      <c r="V3" s="5"/>
      <c r="W3" s="5"/>
      <c r="X3" s="5"/>
      <c r="Y3" s="5"/>
      <c r="Z3" s="5"/>
      <c r="AA3" s="5"/>
    </row>
    <row r="4" spans="1:27" x14ac:dyDescent="0.25">
      <c r="A4" s="5">
        <v>9</v>
      </c>
      <c r="B4" s="6">
        <v>46251</v>
      </c>
      <c r="C4" s="11">
        <v>0.49375000000000002</v>
      </c>
      <c r="D4" s="5" t="s">
        <v>21</v>
      </c>
      <c r="E4" s="5" t="s">
        <v>22</v>
      </c>
      <c r="F4" s="8">
        <v>30237.75</v>
      </c>
      <c r="G4" s="8">
        <v>30221.5</v>
      </c>
      <c r="H4" s="5">
        <v>3</v>
      </c>
      <c r="I4" s="8">
        <v>30257.75</v>
      </c>
      <c r="J4" s="8">
        <v>30221.5</v>
      </c>
      <c r="K4" s="9">
        <f t="shared" si="0"/>
        <v>0.8125</v>
      </c>
      <c r="L4" s="9">
        <f t="shared" si="1"/>
        <v>0.8125</v>
      </c>
      <c r="M4" s="5" t="str">
        <f t="shared" si="2"/>
        <v>Win</v>
      </c>
      <c r="N4" s="5">
        <f>IF(AND(F4&lt;&gt;"",G4&lt;&gt;"",H4&lt;&gt;"",D4&lt;&gt;""), IF(E4="Long", (G4-F4)*H4*VLOOKUP(D4,Multipliers!A:B,2,FALSE), (F4-G4)*H4*VLOOKUP(D4,Multipliers!A:B,2,FALSE)), "")</f>
        <v>97.5</v>
      </c>
      <c r="O4" s="10">
        <f>IF(AND(N4&lt;&gt;"",F4&lt;&gt;"",H4&lt;&gt;"",D4&lt;&gt;""), N4/(F4*H4*VLOOKUP(D4,Multipliers!A:B,2,FALSE)), "")</f>
        <v>5.3740771056047488E-4</v>
      </c>
      <c r="P4" s="5">
        <f t="shared" si="3"/>
        <v>213</v>
      </c>
      <c r="Q4" s="5" t="s">
        <v>23</v>
      </c>
      <c r="R4" s="5"/>
      <c r="S4" s="5" t="s">
        <v>21</v>
      </c>
      <c r="T4" s="5"/>
      <c r="U4" s="5" t="s">
        <v>38</v>
      </c>
      <c r="V4" s="5"/>
      <c r="W4" s="5"/>
      <c r="X4" s="5"/>
      <c r="Y4" s="5"/>
      <c r="Z4" s="5"/>
      <c r="AA4" s="5"/>
    </row>
    <row r="5" spans="1:27" x14ac:dyDescent="0.25">
      <c r="A5" s="5">
        <v>10</v>
      </c>
      <c r="B5" s="6"/>
      <c r="C5" s="5"/>
      <c r="D5" s="5"/>
      <c r="E5" s="5"/>
      <c r="F5" s="8"/>
      <c r="G5" s="8"/>
      <c r="H5" s="5"/>
      <c r="I5" s="8"/>
      <c r="J5" s="8"/>
      <c r="K5" s="9" t="str">
        <f t="shared" si="0"/>
        <v/>
      </c>
      <c r="L5" s="9" t="str">
        <f t="shared" si="1"/>
        <v/>
      </c>
      <c r="M5" s="5" t="str">
        <f t="shared" si="2"/>
        <v>Win</v>
      </c>
      <c r="N5" s="5" t="str">
        <f>IF(AND(F5&lt;&gt;"",G5&lt;&gt;"",H5&lt;&gt;"",D5&lt;&gt;""), IF(E5="Long", (G5-F5)*H5*VLOOKUP(D5,Multipliers!A:B,2,FALSE), (F5-G5)*H5*VLOOKUP(D5,Multipliers!A:B,2,FALSE)), "")</f>
        <v/>
      </c>
      <c r="O5" s="10" t="str">
        <f>IF(AND(N5&lt;&gt;"",F5&lt;&gt;"",H5&lt;&gt;"",D5&lt;&gt;""), N5/(F5*H5*VLOOKUP(D5,Multipliers!A:B,2,FALSE)), "")</f>
        <v/>
      </c>
      <c r="P5" s="5" t="e">
        <f t="shared" si="3"/>
        <v>#VALUE!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x14ac:dyDescent="0.25">
      <c r="A6" s="5">
        <v>11</v>
      </c>
      <c r="B6" s="6"/>
      <c r="C6" s="5"/>
      <c r="D6" s="5"/>
      <c r="E6" s="5"/>
      <c r="F6" s="8"/>
      <c r="G6" s="8"/>
      <c r="H6" s="5"/>
      <c r="I6" s="8"/>
      <c r="J6" s="8"/>
      <c r="K6" s="9" t="str">
        <f t="shared" si="0"/>
        <v/>
      </c>
      <c r="L6" s="9" t="str">
        <f t="shared" si="1"/>
        <v/>
      </c>
      <c r="M6" s="5" t="str">
        <f t="shared" si="2"/>
        <v>Win</v>
      </c>
      <c r="N6" s="5" t="str">
        <f>IF(AND(F6&lt;&gt;"",G6&lt;&gt;"",H6&lt;&gt;"",D6&lt;&gt;""), IF(E6="Long", (G6-F6)*H6*VLOOKUP(D6,Multipliers!A:B,2,FALSE), (F6-G6)*H6*VLOOKUP(D6,Multipliers!A:B,2,FALSE)), "")</f>
        <v/>
      </c>
      <c r="O6" s="10" t="str">
        <f>IF(AND(N6&lt;&gt;"",F6&lt;&gt;"",H6&lt;&gt;"",D6&lt;&gt;""), N6/(F6*H6*VLOOKUP(D6,Multipliers!A:B,2,FALSE)), "")</f>
        <v/>
      </c>
      <c r="P6" s="5" t="e">
        <f t="shared" si="3"/>
        <v>#VALUE!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25">
      <c r="A7" s="5">
        <v>12</v>
      </c>
      <c r="B7" s="6"/>
      <c r="C7" s="5"/>
      <c r="D7" s="5"/>
      <c r="E7" s="5"/>
      <c r="F7" s="8"/>
      <c r="G7" s="8"/>
      <c r="H7" s="5"/>
      <c r="I7" s="8"/>
      <c r="J7" s="8"/>
      <c r="K7" s="9" t="str">
        <f t="shared" si="0"/>
        <v/>
      </c>
      <c r="L7" s="9" t="str">
        <f t="shared" si="1"/>
        <v/>
      </c>
      <c r="M7" s="5" t="str">
        <f t="shared" si="2"/>
        <v>Win</v>
      </c>
      <c r="N7" s="5" t="str">
        <f>IF(AND(F7&lt;&gt;"",G7&lt;&gt;"",H7&lt;&gt;"",D7&lt;&gt;""), IF(E7="Long", (G7-F7)*H7*VLOOKUP(D7,Multipliers!A:B,2,FALSE), (F7-G7)*H7*VLOOKUP(D7,Multipliers!A:B,2,FALSE)), "")</f>
        <v/>
      </c>
      <c r="O7" s="10" t="str">
        <f>IF(AND(N7&lt;&gt;"",F7&lt;&gt;"",H7&lt;&gt;"",D7&lt;&gt;""), N7/(F7*H7*VLOOKUP(D7,Multipliers!A:B,2,FALSE)), "")</f>
        <v/>
      </c>
      <c r="P7" s="5" t="e">
        <f t="shared" si="3"/>
        <v>#VALUE!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5">
        <v>13</v>
      </c>
      <c r="B8" s="6"/>
      <c r="C8" s="5"/>
      <c r="D8" s="5"/>
      <c r="E8" s="5"/>
      <c r="F8" s="8"/>
      <c r="G8" s="8"/>
      <c r="H8" s="5"/>
      <c r="I8" s="8"/>
      <c r="J8" s="8"/>
      <c r="K8" s="9" t="str">
        <f t="shared" si="0"/>
        <v/>
      </c>
      <c r="L8" s="9" t="str">
        <f t="shared" si="1"/>
        <v/>
      </c>
      <c r="M8" s="5" t="str">
        <f t="shared" si="2"/>
        <v>Win</v>
      </c>
      <c r="N8" s="5" t="str">
        <f>IF(AND(F8&lt;&gt;"",G8&lt;&gt;"",H8&lt;&gt;"",D8&lt;&gt;""), IF(E8="Long", (G8-F8)*H8*VLOOKUP(D8,Multipliers!A:B,2,FALSE), (F8-G8)*H8*VLOOKUP(D8,Multipliers!A:B,2,FALSE)), "")</f>
        <v/>
      </c>
      <c r="O8" s="10" t="str">
        <f>IF(AND(N8&lt;&gt;"",F8&lt;&gt;"",H8&lt;&gt;"",D8&lt;&gt;""), N8/(F8*H8*VLOOKUP(D8,Multipliers!A:B,2,FALSE)), "")</f>
        <v/>
      </c>
      <c r="P8" s="5" t="e">
        <f t="shared" si="3"/>
        <v>#VALUE!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x14ac:dyDescent="0.25">
      <c r="A9" s="5">
        <v>14</v>
      </c>
      <c r="B9" s="6"/>
      <c r="C9" s="5"/>
      <c r="D9" s="5"/>
      <c r="E9" s="5"/>
      <c r="F9" s="8"/>
      <c r="G9" s="8"/>
      <c r="H9" s="5"/>
      <c r="I9" s="8"/>
      <c r="J9" s="8"/>
      <c r="K9" s="9" t="str">
        <f t="shared" si="0"/>
        <v/>
      </c>
      <c r="L9" s="9" t="str">
        <f t="shared" si="1"/>
        <v/>
      </c>
      <c r="M9" s="5" t="str">
        <f t="shared" si="2"/>
        <v>Win</v>
      </c>
      <c r="N9" s="5" t="str">
        <f>IF(AND(F9&lt;&gt;"",G9&lt;&gt;"",H9&lt;&gt;"",D9&lt;&gt;""), IF(E9="Long", (G9-F9)*H9*VLOOKUP(D9,Multipliers!A:B,2,FALSE), (F9-G9)*H9*VLOOKUP(D9,Multipliers!A:B,2,FALSE)), "")</f>
        <v/>
      </c>
      <c r="O9" s="10" t="str">
        <f>IF(AND(N9&lt;&gt;"",F9&lt;&gt;"",H9&lt;&gt;"",D9&lt;&gt;""), N9/(F9*H9*VLOOKUP(D9,Multipliers!A:B,2,FALSE)), "")</f>
        <v/>
      </c>
      <c r="P9" s="5" t="e">
        <f t="shared" si="3"/>
        <v>#VALUE!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5">
      <c r="A10" s="5">
        <v>15</v>
      </c>
      <c r="B10" s="6"/>
      <c r="C10" s="5"/>
      <c r="D10" s="5"/>
      <c r="E10" s="5"/>
      <c r="F10" s="8"/>
      <c r="G10" s="8"/>
      <c r="H10" s="5"/>
      <c r="I10" s="8"/>
      <c r="J10" s="8"/>
      <c r="K10" s="9" t="str">
        <f t="shared" si="0"/>
        <v/>
      </c>
      <c r="L10" s="9" t="str">
        <f t="shared" si="1"/>
        <v/>
      </c>
      <c r="M10" s="5" t="str">
        <f t="shared" si="2"/>
        <v>Win</v>
      </c>
      <c r="N10" s="5" t="str">
        <f>IF(AND(F10&lt;&gt;"",G10&lt;&gt;"",H10&lt;&gt;"",D10&lt;&gt;""), IF(E10="Long", (G10-F10)*H10*VLOOKUP(D10,Multipliers!A:B,2,FALSE), (F10-G10)*H10*VLOOKUP(D10,Multipliers!A:B,2,FALSE)), "")</f>
        <v/>
      </c>
      <c r="O10" s="10" t="str">
        <f>IF(AND(N10&lt;&gt;"",F10&lt;&gt;"",H10&lt;&gt;"",D10&lt;&gt;""), N10/(F10*H10*VLOOKUP(D10,Multipliers!A:B,2,FALSE)), "")</f>
        <v/>
      </c>
      <c r="P10" s="5" t="e">
        <f t="shared" si="3"/>
        <v>#VALUE!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5">
      <c r="A11" s="5">
        <v>16</v>
      </c>
      <c r="B11" s="6"/>
      <c r="C11" s="5"/>
      <c r="D11" s="5"/>
      <c r="E11" s="5"/>
      <c r="F11" s="8"/>
      <c r="G11" s="8"/>
      <c r="H11" s="5"/>
      <c r="I11" s="8"/>
      <c r="J11" s="8"/>
      <c r="K11" s="9" t="str">
        <f t="shared" si="0"/>
        <v/>
      </c>
      <c r="L11" s="9" t="str">
        <f t="shared" si="1"/>
        <v/>
      </c>
      <c r="M11" s="5" t="str">
        <f t="shared" si="2"/>
        <v>Win</v>
      </c>
      <c r="N11" s="5" t="str">
        <f>IF(AND(F11&lt;&gt;"",G11&lt;&gt;"",H11&lt;&gt;"",D11&lt;&gt;""), IF(E11="Long", (G11-F11)*H11*VLOOKUP(D11,Multipliers!A:B,2,FALSE), (F11-G11)*H11*VLOOKUP(D11,Multipliers!A:B,2,FALSE)), "")</f>
        <v/>
      </c>
      <c r="O11" s="10" t="str">
        <f>IF(AND(N11&lt;&gt;"",F11&lt;&gt;"",H11&lt;&gt;"",D11&lt;&gt;""), N11/(F11*H11*VLOOKUP(D11,Multipliers!A:B,2,FALSE)), "")</f>
        <v/>
      </c>
      <c r="P11" s="5" t="e">
        <f t="shared" si="3"/>
        <v>#VALUE!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5">
      <c r="A12" s="5">
        <v>17</v>
      </c>
      <c r="B12" s="6"/>
      <c r="C12" s="5"/>
      <c r="D12" s="5"/>
      <c r="E12" s="5"/>
      <c r="F12" s="8"/>
      <c r="G12" s="8"/>
      <c r="H12" s="5"/>
      <c r="I12" s="8"/>
      <c r="J12" s="8"/>
      <c r="K12" s="9" t="str">
        <f t="shared" si="0"/>
        <v/>
      </c>
      <c r="L12" s="9" t="str">
        <f t="shared" si="1"/>
        <v/>
      </c>
      <c r="M12" s="5" t="str">
        <f t="shared" si="2"/>
        <v>Win</v>
      </c>
      <c r="N12" s="5" t="str">
        <f>IF(AND(F12&lt;&gt;"",G12&lt;&gt;"",H12&lt;&gt;"",D12&lt;&gt;""), IF(E12="Long", (G12-F12)*H12*VLOOKUP(D12,Multipliers!A:B,2,FALSE), (F12-G12)*H12*VLOOKUP(D12,Multipliers!A:B,2,FALSE)), "")</f>
        <v/>
      </c>
      <c r="O12" s="10" t="str">
        <f>IF(AND(N12&lt;&gt;"",F12&lt;&gt;"",H12&lt;&gt;"",D12&lt;&gt;""), N12/(F12*H12*VLOOKUP(D12,Multipliers!A:B,2,FALSE)), "")</f>
        <v/>
      </c>
      <c r="P12" s="5" t="e">
        <f t="shared" si="3"/>
        <v>#VALUE!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5">
      <c r="A13" s="5">
        <v>18</v>
      </c>
      <c r="B13" s="6"/>
      <c r="C13" s="5"/>
      <c r="D13" s="5"/>
      <c r="E13" s="5"/>
      <c r="F13" s="8"/>
      <c r="G13" s="8"/>
      <c r="H13" s="5"/>
      <c r="I13" s="8"/>
      <c r="J13" s="8"/>
      <c r="K13" s="9" t="str">
        <f t="shared" si="0"/>
        <v/>
      </c>
      <c r="L13" s="9" t="str">
        <f t="shared" si="1"/>
        <v/>
      </c>
      <c r="M13" s="5" t="str">
        <f t="shared" si="2"/>
        <v>Win</v>
      </c>
      <c r="N13" s="5" t="str">
        <f>IF(AND(F13&lt;&gt;"",G13&lt;&gt;"",H13&lt;&gt;"",D13&lt;&gt;""), IF(E13="Long", (G13-F13)*H13*VLOOKUP(D13,Multipliers!A:B,2,FALSE), (F13-G13)*H13*VLOOKUP(D13,Multipliers!A:B,2,FALSE)), "")</f>
        <v/>
      </c>
      <c r="O13" s="10" t="str">
        <f>IF(AND(N13&lt;&gt;"",F13&lt;&gt;"",H13&lt;&gt;"",D13&lt;&gt;""), N13/(F13*H13*VLOOKUP(D13,Multipliers!A:B,2,FALSE)), "")</f>
        <v/>
      </c>
      <c r="P13" s="5" t="e">
        <f t="shared" si="3"/>
        <v>#VALUE!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customHeight="1" x14ac:dyDescent="0.25">
      <c r="A14" s="5">
        <v>19</v>
      </c>
      <c r="B14" s="6"/>
      <c r="C14" s="5"/>
      <c r="D14" s="5"/>
      <c r="E14" s="5"/>
      <c r="F14" s="8"/>
      <c r="G14" s="8"/>
      <c r="H14" s="5"/>
      <c r="I14" s="8"/>
      <c r="J14" s="8"/>
      <c r="K14" s="9" t="str">
        <f t="shared" si="0"/>
        <v/>
      </c>
      <c r="L14" s="9" t="str">
        <f t="shared" si="1"/>
        <v/>
      </c>
      <c r="M14" s="5" t="str">
        <f t="shared" si="2"/>
        <v>Win</v>
      </c>
      <c r="N14" s="5" t="str">
        <f>IF(AND(F14&lt;&gt;"",G14&lt;&gt;"",H14&lt;&gt;"",D14&lt;&gt;""), IF(E14="Long", (G14-F14)*H14*VLOOKUP(D14,Multipliers!A:B,2,FALSE), (F14-G14)*H14*VLOOKUP(D14,Multipliers!A:B,2,FALSE)), "")</f>
        <v/>
      </c>
      <c r="O14" s="10" t="str">
        <f>IF(AND(N14&lt;&gt;"",F14&lt;&gt;"",H14&lt;&gt;"",D14&lt;&gt;""), N14/(F14*H14*VLOOKUP(D14,Multipliers!A:B,2,FALSE)), "")</f>
        <v/>
      </c>
      <c r="P14" s="5" t="e">
        <f t="shared" si="3"/>
        <v>#VALUE!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75" customHeight="1" x14ac:dyDescent="0.25">
      <c r="A15" s="5">
        <v>20</v>
      </c>
      <c r="B15" s="6"/>
      <c r="C15" s="5"/>
      <c r="D15" s="5"/>
      <c r="E15" s="5"/>
      <c r="F15" s="8"/>
      <c r="G15" s="8"/>
      <c r="H15" s="5"/>
      <c r="I15" s="8"/>
      <c r="J15" s="8"/>
      <c r="K15" s="9" t="str">
        <f t="shared" si="0"/>
        <v/>
      </c>
      <c r="L15" s="9" t="str">
        <f t="shared" si="1"/>
        <v/>
      </c>
      <c r="M15" s="5" t="str">
        <f t="shared" si="2"/>
        <v>Win</v>
      </c>
      <c r="N15" s="5" t="str">
        <f>IF(AND(F15&lt;&gt;"",G15&lt;&gt;"",H15&lt;&gt;"",D15&lt;&gt;""), IF(E15="Long", (G15-F15)*H15*VLOOKUP(D15,Multipliers!A:B,2,FALSE), (F15-G15)*H15*VLOOKUP(D15,Multipliers!A:B,2,FALSE)), "")</f>
        <v/>
      </c>
      <c r="O15" s="10" t="str">
        <f>IF(AND(N15&lt;&gt;"",F15&lt;&gt;"",H15&lt;&gt;"",D15&lt;&gt;""), N15/(F15*H15*VLOOKUP(D15,Multipliers!A:B,2,FALSE)), "")</f>
        <v/>
      </c>
      <c r="P15" s="5" t="e">
        <f t="shared" si="3"/>
        <v>#VALUE!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75" customHeight="1" x14ac:dyDescent="0.25">
      <c r="A16" s="5">
        <v>21</v>
      </c>
      <c r="B16" s="6"/>
      <c r="C16" s="5"/>
      <c r="D16" s="5"/>
      <c r="E16" s="5"/>
      <c r="F16" s="8"/>
      <c r="G16" s="8"/>
      <c r="H16" s="5"/>
      <c r="I16" s="8"/>
      <c r="J16" s="8"/>
      <c r="K16" s="9" t="str">
        <f t="shared" si="0"/>
        <v/>
      </c>
      <c r="L16" s="9" t="str">
        <f t="shared" si="1"/>
        <v/>
      </c>
      <c r="M16" s="5" t="str">
        <f t="shared" si="2"/>
        <v>Win</v>
      </c>
      <c r="N16" s="5" t="str">
        <f>IF(AND(F16&lt;&gt;"",G16&lt;&gt;"",H16&lt;&gt;"",D16&lt;&gt;""), IF(E16="Long", (G16-F16)*H16*VLOOKUP(D16,Multipliers!A:B,2,FALSE), (F16-G16)*H16*VLOOKUP(D16,Multipliers!A:B,2,FALSE)), "")</f>
        <v/>
      </c>
      <c r="O16" s="10" t="str">
        <f>IF(AND(N16&lt;&gt;"",F16&lt;&gt;"",H16&lt;&gt;"",D16&lt;&gt;""), N16/(F16*H16*VLOOKUP(D16,Multipliers!A:B,2,FALSE)), "")</f>
        <v/>
      </c>
      <c r="P16" s="5" t="e">
        <f t="shared" si="3"/>
        <v>#VALUE!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.75" customHeight="1" x14ac:dyDescent="0.25">
      <c r="A17" s="5">
        <v>22</v>
      </c>
      <c r="B17" s="6"/>
      <c r="C17" s="5"/>
      <c r="D17" s="5"/>
      <c r="E17" s="5"/>
      <c r="F17" s="8"/>
      <c r="G17" s="8"/>
      <c r="H17" s="5"/>
      <c r="I17" s="8"/>
      <c r="J17" s="8"/>
      <c r="K17" s="9" t="str">
        <f t="shared" si="0"/>
        <v/>
      </c>
      <c r="L17" s="9" t="str">
        <f t="shared" si="1"/>
        <v/>
      </c>
      <c r="M17" s="5" t="str">
        <f t="shared" si="2"/>
        <v>Win</v>
      </c>
      <c r="N17" s="5" t="str">
        <f>IF(AND(F17&lt;&gt;"",G17&lt;&gt;"",H17&lt;&gt;"",D17&lt;&gt;""), IF(E17="Long", (G17-F17)*H17*VLOOKUP(D17,Multipliers!A:B,2,FALSE), (F17-G17)*H17*VLOOKUP(D17,Multipliers!A:B,2,FALSE)), "")</f>
        <v/>
      </c>
      <c r="O17" s="10" t="str">
        <f>IF(AND(N17&lt;&gt;"",F17&lt;&gt;"",H17&lt;&gt;"",D17&lt;&gt;""), N17/(F17*H17*VLOOKUP(D17,Multipliers!A:B,2,FALSE)), "")</f>
        <v/>
      </c>
      <c r="P17" s="5" t="e">
        <f t="shared" si="3"/>
        <v>#VALUE!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25">
      <c r="A18" s="5">
        <v>23</v>
      </c>
      <c r="B18" s="6"/>
      <c r="C18" s="5"/>
      <c r="D18" s="5"/>
      <c r="E18" s="5"/>
      <c r="F18" s="8"/>
      <c r="G18" s="8"/>
      <c r="H18" s="5"/>
      <c r="I18" s="8"/>
      <c r="J18" s="8"/>
      <c r="K18" s="9" t="str">
        <f t="shared" si="0"/>
        <v/>
      </c>
      <c r="L18" s="9" t="str">
        <f t="shared" si="1"/>
        <v/>
      </c>
      <c r="M18" s="5" t="str">
        <f t="shared" si="2"/>
        <v>Win</v>
      </c>
      <c r="N18" s="5" t="str">
        <f>IF(AND(F18&lt;&gt;"",G18&lt;&gt;"",H18&lt;&gt;"",D18&lt;&gt;""), IF(E18="Long", (G18-F18)*H18*VLOOKUP(D18,Multipliers!A:B,2,FALSE), (F18-G18)*H18*VLOOKUP(D18,Multipliers!A:B,2,FALSE)), "")</f>
        <v/>
      </c>
      <c r="O18" s="10" t="str">
        <f>IF(AND(N18&lt;&gt;"",F18&lt;&gt;"",H18&lt;&gt;"",D18&lt;&gt;""), N18/(F18*H18*VLOOKUP(D18,Multipliers!A:B,2,FALSE)), "")</f>
        <v/>
      </c>
      <c r="P18" s="5" t="e">
        <f t="shared" si="3"/>
        <v>#VALUE!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.75" customHeight="1" x14ac:dyDescent="0.25">
      <c r="A19" s="5">
        <v>24</v>
      </c>
      <c r="B19" s="6"/>
      <c r="C19" s="5"/>
      <c r="D19" s="5"/>
      <c r="E19" s="5"/>
      <c r="F19" s="8"/>
      <c r="G19" s="8"/>
      <c r="H19" s="5"/>
      <c r="I19" s="8"/>
      <c r="J19" s="8"/>
      <c r="K19" s="9"/>
      <c r="L19" s="9" t="str">
        <f t="shared" si="1"/>
        <v/>
      </c>
      <c r="M19" s="5" t="str">
        <f t="shared" si="2"/>
        <v>Win</v>
      </c>
      <c r="N19" s="5" t="str">
        <f>IF(AND(F19&lt;&gt;"",G19&lt;&gt;"",H19&lt;&gt;"",D19&lt;&gt;""), IF(E19="Long", (G19-F19)*H19*VLOOKUP(D19,Multipliers!A:B,2,FALSE), (F19-G19)*H19*VLOOKUP(D19,Multipliers!A:B,2,FALSE)), "")</f>
        <v/>
      </c>
      <c r="O19" s="10" t="str">
        <f>IF(AND(N19&lt;&gt;"",F19&lt;&gt;"",H19&lt;&gt;"",D19&lt;&gt;""), N19/(F19*H19*VLOOKUP(D19,Multipliers!A:B,2,FALSE)), "")</f>
        <v/>
      </c>
      <c r="P19" s="5" t="e">
        <f t="shared" si="3"/>
        <v>#VALUE!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customHeight="1" x14ac:dyDescent="0.25">
      <c r="A20" s="5">
        <v>25</v>
      </c>
      <c r="B20" s="6"/>
      <c r="C20" s="5"/>
      <c r="D20" s="5"/>
      <c r="E20" s="5"/>
      <c r="F20" s="8"/>
      <c r="G20" s="8"/>
      <c r="H20" s="5"/>
      <c r="I20" s="8"/>
      <c r="J20" s="8"/>
      <c r="K20" s="9"/>
      <c r="L20" s="9" t="str">
        <f t="shared" si="1"/>
        <v/>
      </c>
      <c r="M20" s="5" t="str">
        <f t="shared" si="2"/>
        <v>Win</v>
      </c>
      <c r="N20" s="5" t="str">
        <f>IF(AND(F20&lt;&gt;"",G20&lt;&gt;"",H20&lt;&gt;"",D20&lt;&gt;""), IF(E20="Long", (G20-F20)*H20*VLOOKUP(D20,Multipliers!A:B,2,FALSE), (F20-G20)*H20*VLOOKUP(D20,Multipliers!A:B,2,FALSE)), "")</f>
        <v/>
      </c>
      <c r="O20" s="10" t="str">
        <f>IF(AND(N20&lt;&gt;"",F20&lt;&gt;"",H20&lt;&gt;"",D20&lt;&gt;""), N20/(F20*H20*VLOOKUP(D20,Multipliers!A:B,2,FALSE)), "")</f>
        <v/>
      </c>
      <c r="P20" s="5" t="e">
        <f t="shared" si="3"/>
        <v>#VALUE!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25">
      <c r="A21" s="5">
        <v>26</v>
      </c>
      <c r="B21" s="6"/>
      <c r="C21" s="5"/>
      <c r="D21" s="5"/>
      <c r="E21" s="5"/>
      <c r="F21" s="8"/>
      <c r="G21" s="8"/>
      <c r="H21" s="5"/>
      <c r="I21" s="8"/>
      <c r="J21" s="8"/>
      <c r="K21" s="9"/>
      <c r="L21" s="9" t="str">
        <f t="shared" si="1"/>
        <v/>
      </c>
      <c r="M21" s="5" t="str">
        <f t="shared" si="2"/>
        <v>Win</v>
      </c>
      <c r="N21" s="5" t="str">
        <f>IF(AND(F21&lt;&gt;"",G21&lt;&gt;"",H21&lt;&gt;"",D21&lt;&gt;""), IF(E21="Long", (G21-F21)*H21*VLOOKUP(D21,Multipliers!A:B,2,FALSE), (F21-G21)*H21*VLOOKUP(D21,Multipliers!A:B,2,FALSE)), "")</f>
        <v/>
      </c>
      <c r="O21" s="10" t="str">
        <f>IF(AND(N21&lt;&gt;"",F21&lt;&gt;"",H21&lt;&gt;"",D21&lt;&gt;""), N21/(F21*H21*VLOOKUP(D21,Multipliers!A:B,2,FALSE)), "")</f>
        <v/>
      </c>
      <c r="P21" s="5" t="e">
        <f t="shared" si="3"/>
        <v>#VALUE!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customHeight="1" x14ac:dyDescent="0.25">
      <c r="A22" s="5">
        <v>27</v>
      </c>
      <c r="B22" s="6"/>
      <c r="C22" s="5"/>
      <c r="D22" s="5"/>
      <c r="E22" s="5"/>
      <c r="F22" s="8"/>
      <c r="G22" s="8"/>
      <c r="H22" s="5"/>
      <c r="I22" s="8"/>
      <c r="J22" s="8"/>
      <c r="K22" s="9"/>
      <c r="L22" s="9" t="str">
        <f t="shared" si="1"/>
        <v/>
      </c>
      <c r="M22" s="5" t="str">
        <f t="shared" si="2"/>
        <v>Win</v>
      </c>
      <c r="N22" s="5" t="str">
        <f>IF(AND(F22&lt;&gt;"",G22&lt;&gt;"",H22&lt;&gt;"",D22&lt;&gt;""), IF(E22="Long", (G22-F22)*H22*VLOOKUP(D22,Multipliers!A:B,2,FALSE), (F22-G22)*H22*VLOOKUP(D22,Multipliers!A:B,2,FALSE)), "")</f>
        <v/>
      </c>
      <c r="O22" s="10" t="str">
        <f>IF(AND(N22&lt;&gt;"",F22&lt;&gt;"",H22&lt;&gt;"",D22&lt;&gt;""), N22/(F22*H22*VLOOKUP(D22,Multipliers!A:B,2,FALSE)), "")</f>
        <v/>
      </c>
      <c r="P22" s="5" t="e">
        <f t="shared" si="3"/>
        <v>#VALUE!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25">
      <c r="A23" s="5">
        <v>28</v>
      </c>
      <c r="B23" s="6"/>
      <c r="C23" s="7"/>
      <c r="D23" s="5"/>
      <c r="E23" s="5"/>
      <c r="F23" s="8"/>
      <c r="G23" s="8"/>
      <c r="H23" s="5"/>
      <c r="I23" s="8"/>
      <c r="J23" s="8"/>
      <c r="K23" s="9"/>
      <c r="L23" s="9"/>
      <c r="M23" s="5" t="str">
        <f t="shared" si="2"/>
        <v>Win</v>
      </c>
      <c r="N23" s="5" t="str">
        <f>IF(AND(F23&lt;&gt;"",G23&lt;&gt;"",H23&lt;&gt;"",D23&lt;&gt;""), IF(E23="Long", (G23-F23)*H23*VLOOKUP(D23,Multipliers!A:B,2,FALSE), (F23-G23)*H23*VLOOKUP(D23,Multipliers!A:B,2,FALSE)), "")</f>
        <v/>
      </c>
      <c r="O23" s="10" t="str">
        <f>IF(AND(N23&lt;&gt;"",F23&lt;&gt;"",H23&lt;&gt;"",D23&lt;&gt;""), N23/(F23*H23*VLOOKUP(D23,Multipliers!A:B,2,FALSE)), "")</f>
        <v/>
      </c>
      <c r="P23" s="5" t="e">
        <f t="shared" si="3"/>
        <v>#VALUE!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 x14ac:dyDescent="0.25">
      <c r="A24" s="5"/>
      <c r="B24" s="6"/>
      <c r="C24" s="5"/>
      <c r="D24" s="5"/>
      <c r="E24" s="5"/>
      <c r="F24" s="5"/>
      <c r="G24" s="5"/>
      <c r="H24" s="5"/>
      <c r="I24" s="8"/>
      <c r="J24" s="8"/>
      <c r="K24" s="9"/>
      <c r="L24" s="9"/>
      <c r="M24" s="5"/>
      <c r="N24" s="5"/>
      <c r="O24" s="10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.7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8"/>
      <c r="K25" s="9"/>
      <c r="L25" s="9"/>
      <c r="M25" s="5"/>
      <c r="N25" s="5"/>
      <c r="O25" s="10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8"/>
      <c r="K26" s="9"/>
      <c r="L26" s="9"/>
      <c r="M26" s="5"/>
      <c r="N26" s="5"/>
      <c r="O26" s="10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8"/>
      <c r="K27" s="9"/>
      <c r="L27" s="9"/>
      <c r="M27" s="5"/>
      <c r="N27" s="5"/>
      <c r="O27" s="10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customHeight="1" x14ac:dyDescent="0.25">
      <c r="A28" s="5"/>
      <c r="B28" s="6"/>
      <c r="C28" s="7"/>
      <c r="D28" s="5"/>
      <c r="E28" s="5"/>
      <c r="F28" s="5"/>
      <c r="G28" s="5"/>
      <c r="H28" s="5"/>
      <c r="I28" s="5"/>
      <c r="J28" s="8"/>
      <c r="K28" s="9"/>
      <c r="L28" s="9"/>
      <c r="M28" s="5"/>
      <c r="N28" s="5"/>
      <c r="O28" s="10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.7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8"/>
      <c r="K29" s="9"/>
      <c r="L29" s="9"/>
      <c r="M29" s="5"/>
      <c r="N29" s="5"/>
      <c r="O29" s="10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5.7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8"/>
      <c r="K30" s="9"/>
      <c r="L30" s="9"/>
      <c r="M30" s="5"/>
      <c r="N30" s="5"/>
      <c r="O30" s="10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.7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8"/>
      <c r="K31" s="9"/>
      <c r="L31" s="9"/>
      <c r="M31" s="5"/>
      <c r="N31" s="5"/>
      <c r="O31" s="10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7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8"/>
      <c r="K32" s="9"/>
      <c r="L32" s="9"/>
      <c r="M32" s="5"/>
      <c r="N32" s="5"/>
      <c r="O32" s="10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5.7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8"/>
      <c r="K33" s="9"/>
      <c r="L33" s="9"/>
      <c r="M33" s="5"/>
      <c r="N33" s="5"/>
      <c r="O33" s="10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8"/>
      <c r="K34" s="9"/>
      <c r="L34" s="9"/>
      <c r="M34" s="5"/>
      <c r="N34" s="5"/>
      <c r="O34" s="10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7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8"/>
      <c r="K35" s="9"/>
      <c r="L35" s="9"/>
      <c r="M35" s="5"/>
      <c r="N35" s="5"/>
      <c r="O35" s="10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8"/>
      <c r="K36" s="9"/>
      <c r="L36" s="9"/>
      <c r="M36" s="5"/>
      <c r="N36" s="5"/>
      <c r="O36" s="10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7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8"/>
      <c r="K37" s="9"/>
      <c r="L37" s="9"/>
      <c r="M37" s="5"/>
      <c r="N37" s="5"/>
      <c r="O37" s="10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9"/>
      <c r="L38" s="9"/>
      <c r="M38" s="5"/>
      <c r="N38" s="5"/>
      <c r="O38" s="10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7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9"/>
      <c r="L39" s="9"/>
      <c r="M39" s="5"/>
      <c r="N39" s="5"/>
      <c r="O39" s="10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.7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9"/>
      <c r="L40" s="9"/>
      <c r="M40" s="5"/>
      <c r="N40" s="5"/>
      <c r="O40" s="10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.75" customHeight="1" x14ac:dyDescent="0.25">
      <c r="A41" s="5"/>
      <c r="B41" s="6"/>
      <c r="C41" s="7"/>
      <c r="D41" s="5"/>
      <c r="E41" s="5"/>
      <c r="F41" s="5"/>
      <c r="G41" s="5"/>
      <c r="H41" s="5"/>
      <c r="I41" s="5"/>
      <c r="J41" s="5"/>
      <c r="K41" s="9"/>
      <c r="L41" s="9"/>
      <c r="M41" s="5"/>
      <c r="N41" s="5"/>
      <c r="O41" s="10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7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9"/>
      <c r="L42" s="9"/>
      <c r="M42" s="5"/>
      <c r="N42" s="5"/>
      <c r="O42" s="10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.7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9"/>
      <c r="L43" s="9"/>
      <c r="M43" s="5"/>
      <c r="N43" s="5"/>
      <c r="O43" s="10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5.7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9"/>
      <c r="L44" s="9"/>
      <c r="M44" s="5"/>
      <c r="N44" s="5"/>
      <c r="O44" s="10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5.7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9"/>
      <c r="L45" s="9"/>
      <c r="M45" s="5"/>
      <c r="N45" s="5"/>
      <c r="O45" s="10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5.7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9"/>
      <c r="L46" s="9"/>
      <c r="M46" s="5"/>
      <c r="N46" s="5"/>
      <c r="O46" s="10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5.7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9"/>
      <c r="L47" s="9"/>
      <c r="M47" s="5"/>
      <c r="N47" s="5"/>
      <c r="O47" s="10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5.7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9"/>
      <c r="L48" s="9"/>
      <c r="M48" s="5"/>
      <c r="N48" s="5"/>
      <c r="O48" s="10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5.7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9"/>
      <c r="L49" s="9"/>
      <c r="M49" s="5"/>
      <c r="N49" s="5"/>
      <c r="O49" s="10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.7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9"/>
      <c r="L50" s="9"/>
      <c r="M50" s="5"/>
      <c r="N50" s="5"/>
      <c r="O50" s="10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.75" customHeight="1" x14ac:dyDescent="0.25">
      <c r="A51" s="5"/>
      <c r="B51" s="6"/>
      <c r="C51" s="11"/>
      <c r="D51" s="5"/>
      <c r="E51" s="5"/>
      <c r="F51" s="5"/>
      <c r="G51" s="5"/>
      <c r="H51" s="5"/>
      <c r="I51" s="5"/>
      <c r="J51" s="5"/>
      <c r="K51" s="9"/>
      <c r="L51" s="9"/>
      <c r="M51" s="5"/>
      <c r="N51" s="5"/>
      <c r="O51" s="10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5.7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9"/>
      <c r="L52" s="9"/>
      <c r="M52" s="5"/>
      <c r="N52" s="5"/>
      <c r="O52" s="10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5.7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9"/>
      <c r="L53" s="9"/>
      <c r="M53" s="5"/>
      <c r="N53" s="5"/>
      <c r="O53" s="10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5.7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9"/>
      <c r="L54" s="9"/>
      <c r="M54" s="5"/>
      <c r="N54" s="5"/>
      <c r="O54" s="10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7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9"/>
      <c r="L55" s="9"/>
      <c r="M55" s="5"/>
      <c r="N55" s="5"/>
      <c r="O55" s="10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.7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9"/>
      <c r="L56" s="9"/>
      <c r="M56" s="5"/>
      <c r="N56" s="5"/>
      <c r="O56" s="10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7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9"/>
      <c r="L57" s="9"/>
      <c r="M57" s="5"/>
      <c r="N57" s="5"/>
      <c r="O57" s="10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.7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9"/>
      <c r="L58" s="9"/>
      <c r="M58" s="5"/>
      <c r="N58" s="5"/>
      <c r="O58" s="10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.7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9"/>
      <c r="L59" s="9"/>
      <c r="M59" s="5"/>
      <c r="N59" s="5"/>
      <c r="O59" s="10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.7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9"/>
      <c r="L60" s="9"/>
      <c r="M60" s="5"/>
      <c r="N60" s="5"/>
      <c r="O60" s="10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.7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9"/>
      <c r="L61" s="9"/>
      <c r="M61" s="5"/>
      <c r="N61" s="5"/>
      <c r="O61" s="10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.7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9"/>
      <c r="L62" s="9"/>
      <c r="M62" s="5"/>
      <c r="N62" s="5"/>
      <c r="O62" s="10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.7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9"/>
      <c r="L63" s="9"/>
      <c r="M63" s="5"/>
      <c r="N63" s="5"/>
      <c r="O63" s="10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.7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9"/>
      <c r="L64" s="9"/>
      <c r="M64" s="5"/>
      <c r="N64" s="5"/>
      <c r="O64" s="10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.7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9"/>
      <c r="L65" s="9"/>
      <c r="M65" s="5"/>
      <c r="N65" s="5"/>
      <c r="O65" s="10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5.75" customHeight="1" x14ac:dyDescent="0.25">
      <c r="A66" s="5"/>
      <c r="B66" s="6"/>
      <c r="C66" s="11"/>
      <c r="D66" s="5"/>
      <c r="E66" s="5"/>
      <c r="F66" s="5"/>
      <c r="G66" s="5"/>
      <c r="H66" s="5"/>
      <c r="I66" s="5"/>
      <c r="J66" s="5"/>
      <c r="K66" s="9"/>
      <c r="L66" s="9"/>
      <c r="M66" s="5"/>
      <c r="N66" s="5"/>
      <c r="O66" s="10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.7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9"/>
      <c r="L67" s="9"/>
      <c r="M67" s="5"/>
      <c r="N67" s="5"/>
      <c r="O67" s="10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.7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9"/>
      <c r="L68" s="9"/>
      <c r="M68" s="5"/>
      <c r="N68" s="5"/>
      <c r="O68" s="10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.7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9"/>
      <c r="L69" s="9"/>
      <c r="M69" s="5"/>
      <c r="N69" s="5"/>
      <c r="O69" s="10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.7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9"/>
      <c r="L70" s="9"/>
      <c r="M70" s="5"/>
      <c r="N70" s="5"/>
      <c r="O70" s="10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.7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9"/>
      <c r="L71" s="9"/>
      <c r="M71" s="5"/>
      <c r="N71" s="5"/>
      <c r="O71" s="10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.7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9"/>
      <c r="L72" s="9"/>
      <c r="M72" s="5"/>
      <c r="N72" s="5"/>
      <c r="O72" s="10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.7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9"/>
      <c r="L73" s="9"/>
      <c r="M73" s="5"/>
      <c r="N73" s="5"/>
      <c r="O73" s="10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.7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9"/>
      <c r="L74" s="9"/>
      <c r="M74" s="5"/>
      <c r="N74" s="5"/>
      <c r="O74" s="10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.7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9"/>
      <c r="L75" s="9"/>
      <c r="M75" s="5"/>
      <c r="N75" s="5"/>
      <c r="O75" s="10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.7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9"/>
      <c r="L76" s="9"/>
      <c r="M76" s="5"/>
      <c r="N76" s="5"/>
      <c r="O76" s="10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.7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9"/>
      <c r="L77" s="9"/>
      <c r="M77" s="5"/>
      <c r="N77" s="5"/>
      <c r="O77" s="10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.7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9"/>
      <c r="L78" s="9"/>
      <c r="M78" s="5"/>
      <c r="N78" s="5"/>
      <c r="O78" s="10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.7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9"/>
      <c r="L79" s="9"/>
      <c r="M79" s="5"/>
      <c r="N79" s="5"/>
      <c r="O79" s="10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.7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9"/>
      <c r="L80" s="9"/>
      <c r="M80" s="5"/>
      <c r="N80" s="5"/>
      <c r="O80" s="10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.7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9"/>
      <c r="L81" s="9"/>
      <c r="M81" s="5"/>
      <c r="N81" s="5"/>
      <c r="O81" s="10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.75" customHeight="1" x14ac:dyDescent="0.25">
      <c r="A82" s="5"/>
      <c r="B82" s="6"/>
      <c r="C82" s="11"/>
      <c r="D82" s="5"/>
      <c r="E82" s="5"/>
      <c r="F82" s="5"/>
      <c r="G82" s="5"/>
      <c r="H82" s="5"/>
      <c r="I82" s="5"/>
      <c r="J82" s="5"/>
      <c r="K82" s="9"/>
      <c r="L82" s="9"/>
      <c r="M82" s="5"/>
      <c r="N82" s="5"/>
      <c r="O82" s="10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.75" customHeight="1" x14ac:dyDescent="0.25">
      <c r="A83" s="5"/>
      <c r="B83" s="6"/>
      <c r="C83" s="11"/>
      <c r="D83" s="5"/>
      <c r="E83" s="5"/>
      <c r="F83" s="5"/>
      <c r="G83" s="5"/>
      <c r="H83" s="5"/>
      <c r="I83" s="5"/>
      <c r="J83" s="5"/>
      <c r="K83" s="9"/>
      <c r="L83" s="9"/>
      <c r="M83" s="5"/>
      <c r="N83" s="5"/>
      <c r="O83" s="10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.75" customHeight="1" x14ac:dyDescent="0.25">
      <c r="A84" s="5"/>
      <c r="B84" s="6"/>
      <c r="C84" s="11"/>
      <c r="D84" s="5"/>
      <c r="E84" s="5"/>
      <c r="F84" s="5"/>
      <c r="G84" s="5"/>
      <c r="H84" s="5"/>
      <c r="I84" s="5"/>
      <c r="J84" s="5"/>
      <c r="K84" s="9"/>
      <c r="L84" s="9"/>
      <c r="M84" s="5"/>
      <c r="N84" s="5"/>
      <c r="O84" s="10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.7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9"/>
      <c r="L85" s="9"/>
      <c r="M85" s="5"/>
      <c r="N85" s="5"/>
      <c r="O85" s="10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.7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9"/>
      <c r="L86" s="9"/>
      <c r="M86" s="5"/>
      <c r="N86" s="5"/>
      <c r="O86" s="10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.7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9"/>
      <c r="L87" s="9"/>
      <c r="M87" s="5"/>
      <c r="N87" s="5"/>
      <c r="O87" s="10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5.75" customHeight="1" x14ac:dyDescent="0.25">
      <c r="A88" s="5"/>
      <c r="B88" s="6"/>
      <c r="C88" s="11"/>
      <c r="D88" s="5"/>
      <c r="E88" s="5"/>
      <c r="F88" s="5"/>
      <c r="G88" s="5"/>
      <c r="H88" s="5"/>
      <c r="I88" s="5"/>
      <c r="J88" s="5"/>
      <c r="K88" s="9"/>
      <c r="L88" s="9"/>
      <c r="M88" s="5"/>
      <c r="N88" s="5"/>
      <c r="O88" s="10"/>
      <c r="P88" s="5"/>
      <c r="Q88" s="5"/>
      <c r="R88" s="5"/>
      <c r="S88" s="12"/>
      <c r="T88" s="12"/>
      <c r="U88" s="5"/>
      <c r="V88" s="5"/>
      <c r="W88" s="5"/>
      <c r="X88" s="5"/>
      <c r="Y88" s="5"/>
      <c r="Z88" s="5"/>
      <c r="AA88" s="5"/>
    </row>
    <row r="89" spans="1:27" ht="15.75" customHeight="1" x14ac:dyDescent="0.25">
      <c r="A89" s="5"/>
      <c r="B89" s="6"/>
      <c r="C89" s="11"/>
      <c r="D89" s="5"/>
      <c r="E89" s="5"/>
      <c r="F89" s="5"/>
      <c r="G89" s="5"/>
      <c r="H89" s="5"/>
      <c r="I89" s="5"/>
      <c r="J89" s="5"/>
      <c r="K89" s="9"/>
      <c r="L89" s="9"/>
      <c r="M89" s="5"/>
      <c r="N89" s="5"/>
      <c r="O89" s="10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.7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9"/>
      <c r="L90" s="9"/>
      <c r="M90" s="5"/>
      <c r="N90" s="5"/>
      <c r="O90" s="10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.7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9"/>
      <c r="L91" s="9"/>
      <c r="M91" s="5"/>
      <c r="N91" s="5"/>
      <c r="O91" s="10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.7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9"/>
      <c r="L92" s="9"/>
      <c r="M92" s="5"/>
      <c r="N92" s="5"/>
      <c r="O92" s="10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.7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9"/>
      <c r="L93" s="9"/>
      <c r="M93" s="5"/>
      <c r="N93" s="5"/>
      <c r="O93" s="10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.7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9"/>
      <c r="L94" s="9"/>
      <c r="M94" s="5"/>
      <c r="N94" s="5"/>
      <c r="O94" s="10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.7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9"/>
      <c r="L95" s="9"/>
      <c r="M95" s="5"/>
      <c r="N95" s="5"/>
      <c r="O95" s="10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.7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9"/>
      <c r="L96" s="9"/>
      <c r="M96" s="5"/>
      <c r="N96" s="5"/>
      <c r="O96" s="10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.7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9"/>
      <c r="L97" s="9"/>
      <c r="M97" s="5"/>
      <c r="N97" s="5"/>
      <c r="O97" s="10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.7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9"/>
      <c r="L98" s="9"/>
      <c r="M98" s="5"/>
      <c r="N98" s="5"/>
      <c r="O98" s="10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.7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9"/>
      <c r="L99" s="9"/>
      <c r="M99" s="5"/>
      <c r="N99" s="5"/>
      <c r="O99" s="10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.7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9"/>
      <c r="L100" s="9"/>
      <c r="M100" s="5"/>
      <c r="N100" s="5"/>
      <c r="O100" s="10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.7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9"/>
      <c r="L101" s="9"/>
      <c r="M101" s="5"/>
      <c r="N101" s="5"/>
      <c r="O101" s="10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.7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9"/>
      <c r="L102" s="9"/>
      <c r="M102" s="5"/>
      <c r="N102" s="5"/>
      <c r="O102" s="10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.7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9"/>
      <c r="L103" s="9"/>
      <c r="M103" s="5"/>
      <c r="N103" s="5"/>
      <c r="O103" s="10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.7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9"/>
      <c r="L104" s="9"/>
      <c r="M104" s="5"/>
      <c r="N104" s="5"/>
      <c r="O104" s="10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.7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9"/>
      <c r="L105" s="9"/>
      <c r="M105" s="5"/>
      <c r="N105" s="5"/>
      <c r="O105" s="10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5.7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9"/>
      <c r="L106" s="9"/>
      <c r="M106" s="5"/>
      <c r="N106" s="5"/>
      <c r="O106" s="10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.7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9"/>
      <c r="L107" s="9"/>
      <c r="M107" s="5"/>
      <c r="N107" s="5"/>
      <c r="O107" s="10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.7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9"/>
      <c r="L108" s="9"/>
      <c r="M108" s="5"/>
      <c r="N108" s="5"/>
      <c r="O108" s="10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7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9"/>
      <c r="L109" s="9"/>
      <c r="M109" s="5"/>
      <c r="N109" s="5"/>
      <c r="O109" s="10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.7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9"/>
      <c r="L110" s="9"/>
      <c r="M110" s="5"/>
      <c r="N110" s="5"/>
      <c r="O110" s="10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.7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9"/>
      <c r="L111" s="9"/>
      <c r="M111" s="5"/>
      <c r="N111" s="5"/>
      <c r="O111" s="10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.7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9"/>
      <c r="L112" s="9"/>
      <c r="M112" s="5"/>
      <c r="N112" s="5"/>
      <c r="O112" s="10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.7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9"/>
      <c r="L113" s="9"/>
      <c r="M113" s="5"/>
      <c r="N113" s="5"/>
      <c r="O113" s="10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.7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9"/>
      <c r="L114" s="9"/>
      <c r="M114" s="5"/>
      <c r="N114" s="5"/>
      <c r="O114" s="10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7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9"/>
      <c r="L115" s="9"/>
      <c r="M115" s="5"/>
      <c r="N115" s="5"/>
      <c r="O115" s="10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7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9"/>
      <c r="L116" s="9"/>
      <c r="M116" s="5"/>
      <c r="N116" s="5"/>
      <c r="O116" s="10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7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9"/>
      <c r="L117" s="9"/>
      <c r="M117" s="5"/>
      <c r="N117" s="5"/>
      <c r="O117" s="10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7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9"/>
      <c r="L118" s="9"/>
      <c r="M118" s="5"/>
      <c r="N118" s="5"/>
      <c r="O118" s="10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7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9"/>
      <c r="L119" s="9"/>
      <c r="M119" s="5"/>
      <c r="N119" s="5"/>
      <c r="O119" s="10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7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9"/>
      <c r="L120" s="9"/>
      <c r="M120" s="5"/>
      <c r="N120" s="5"/>
      <c r="O120" s="10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7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9"/>
      <c r="L121" s="9"/>
      <c r="M121" s="5"/>
      <c r="N121" s="5"/>
      <c r="O121" s="10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9"/>
      <c r="L122" s="9"/>
      <c r="M122" s="5"/>
      <c r="N122" s="5"/>
      <c r="O122" s="10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7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9"/>
      <c r="L123" s="9"/>
      <c r="M123" s="5"/>
      <c r="N123" s="5"/>
      <c r="O123" s="10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75" customHeight="1" x14ac:dyDescent="0.25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9"/>
      <c r="L124" s="9"/>
      <c r="M124" s="5"/>
      <c r="N124" s="5"/>
      <c r="O124" s="10" t="str">
        <f>IF(AND(N124&lt;&gt;"",F124&lt;&gt;"",H124&lt;&gt;"",D124&lt;&gt;""), N124/(F124*H124*VLOOKUP(D124,Multipliers!A:B,2,FALSE)), "")</f>
        <v/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75" customHeight="1" x14ac:dyDescent="0.25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9"/>
      <c r="L125" s="9"/>
      <c r="M125" s="5"/>
      <c r="N125" s="5"/>
      <c r="O125" s="10" t="str">
        <f>IF(AND(N125&lt;&gt;"",F125&lt;&gt;"",H125&lt;&gt;"",D125&lt;&gt;""), N125/(F125*H125*VLOOKUP(D125,Multipliers!A:B,2,FALSE)), "")</f>
        <v/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75" customHeight="1" x14ac:dyDescent="0.25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9"/>
      <c r="L126" s="9"/>
      <c r="M126" s="5"/>
      <c r="N126" s="5"/>
      <c r="O126" s="10" t="str">
        <f>IF(AND(N126&lt;&gt;"",F126&lt;&gt;"",H126&lt;&gt;"",D126&lt;&gt;""), N126/(F126*H126*VLOOKUP(D126,Multipliers!A:B,2,FALSE)), "")</f>
        <v/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75" customHeight="1" x14ac:dyDescent="0.25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9"/>
      <c r="L127" s="9"/>
      <c r="M127" s="5"/>
      <c r="N127" s="5"/>
      <c r="O127" s="10" t="str">
        <f>IF(AND(N127&lt;&gt;"",F127&lt;&gt;"",H127&lt;&gt;"",D127&lt;&gt;""), N127/(F127*H127*VLOOKUP(D127,Multipliers!A:B,2,FALSE)), "")</f>
        <v/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75" customHeight="1" x14ac:dyDescent="0.25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9"/>
      <c r="L128" s="9"/>
      <c r="M128" s="5"/>
      <c r="N128" s="5"/>
      <c r="O128" s="10" t="str">
        <f>IF(AND(N128&lt;&gt;"",F128&lt;&gt;"",H128&lt;&gt;"",D128&lt;&gt;""), N128/(F128*H128*VLOOKUP(D128,Multipliers!A:B,2,FALSE)), "")</f>
        <v/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75" customHeight="1" x14ac:dyDescent="0.25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9"/>
      <c r="L129" s="9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75" customHeight="1" x14ac:dyDescent="0.25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9"/>
      <c r="L130" s="9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75" customHeight="1" x14ac:dyDescent="0.25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9"/>
      <c r="L131" s="9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75" customHeight="1" x14ac:dyDescent="0.25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9"/>
      <c r="L132" s="9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75" customHeight="1" x14ac:dyDescent="0.25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9"/>
      <c r="L133" s="9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75" customHeight="1" x14ac:dyDescent="0.25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9"/>
      <c r="L134" s="9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.75" customHeight="1" x14ac:dyDescent="0.25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9"/>
      <c r="L135" s="9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.75" customHeight="1" x14ac:dyDescent="0.25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9"/>
      <c r="L136" s="9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.75" customHeight="1" x14ac:dyDescent="0.25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9"/>
      <c r="L137" s="9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.75" customHeight="1" x14ac:dyDescent="0.25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9"/>
      <c r="L138" s="9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.75" customHeight="1" x14ac:dyDescent="0.25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9"/>
      <c r="L139" s="9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.75" customHeight="1" x14ac:dyDescent="0.25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9"/>
      <c r="L140" s="9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.75" customHeight="1" x14ac:dyDescent="0.25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9"/>
      <c r="L141" s="9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.75" customHeight="1" x14ac:dyDescent="0.25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9"/>
      <c r="L142" s="9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75" customHeight="1" x14ac:dyDescent="0.25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9"/>
      <c r="L143" s="9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75" customHeight="1" x14ac:dyDescent="0.25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9"/>
      <c r="L144" s="9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75" customHeight="1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9"/>
      <c r="L145" s="9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75" customHeight="1" x14ac:dyDescent="0.25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9"/>
      <c r="L146" s="9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75" customHeight="1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9"/>
      <c r="L147" s="9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75" customHeight="1" x14ac:dyDescent="0.25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9"/>
      <c r="L148" s="9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customHeight="1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9"/>
      <c r="L149" s="9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customHeight="1" x14ac:dyDescent="0.25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9"/>
      <c r="L150" s="9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customHeight="1" x14ac:dyDescent="0.25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9"/>
      <c r="L151" s="9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customHeight="1" x14ac:dyDescent="0.25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9"/>
      <c r="L152" s="9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customHeight="1" x14ac:dyDescent="0.25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9"/>
      <c r="L153" s="9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75" customHeight="1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9"/>
      <c r="L154" s="9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75" customHeight="1" x14ac:dyDescent="0.25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9"/>
      <c r="L155" s="9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75" customHeight="1" x14ac:dyDescent="0.25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9"/>
      <c r="L156" s="9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.75" customHeight="1" x14ac:dyDescent="0.25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9"/>
      <c r="L157" s="9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.75" customHeight="1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9"/>
      <c r="L158" s="9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.75" customHeight="1" x14ac:dyDescent="0.25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9"/>
      <c r="L159" s="9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.75" customHeight="1" x14ac:dyDescent="0.25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9"/>
      <c r="L160" s="9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75" customHeight="1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9"/>
      <c r="L161" s="9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75" customHeight="1" x14ac:dyDescent="0.25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9"/>
      <c r="L162" s="9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75" customHeight="1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9"/>
      <c r="L163" s="9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75" customHeight="1" x14ac:dyDescent="0.25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9"/>
      <c r="L164" s="9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75" customHeight="1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9"/>
      <c r="L165" s="9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75" customHeight="1" x14ac:dyDescent="0.25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9"/>
      <c r="L166" s="9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75" customHeight="1" x14ac:dyDescent="0.25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9"/>
      <c r="L167" s="9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75" customHeight="1" x14ac:dyDescent="0.25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9"/>
      <c r="L168" s="9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75" customHeight="1" x14ac:dyDescent="0.25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9"/>
      <c r="L169" s="9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75" customHeight="1" x14ac:dyDescent="0.25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9"/>
      <c r="L170" s="9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75" customHeight="1" x14ac:dyDescent="0.25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9"/>
      <c r="L171" s="9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.75" customHeight="1" x14ac:dyDescent="0.25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9"/>
      <c r="L172" s="9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.75" customHeight="1" x14ac:dyDescent="0.25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9"/>
      <c r="L173" s="9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.75" customHeight="1" x14ac:dyDescent="0.25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9"/>
      <c r="L174" s="9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75" customHeight="1" x14ac:dyDescent="0.25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9"/>
      <c r="L175" s="9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75" customHeight="1" x14ac:dyDescent="0.25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9"/>
      <c r="L176" s="9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75" customHeight="1" x14ac:dyDescent="0.25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9"/>
      <c r="L177" s="9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customHeight="1" x14ac:dyDescent="0.25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9"/>
      <c r="L178" s="9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customHeight="1" x14ac:dyDescent="0.25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9"/>
      <c r="L179" s="9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75" customHeight="1" x14ac:dyDescent="0.25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9"/>
      <c r="L180" s="9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75" customHeight="1" x14ac:dyDescent="0.25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9"/>
      <c r="L181" s="9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75" customHeight="1" x14ac:dyDescent="0.25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9"/>
      <c r="L182" s="9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.75" customHeight="1" x14ac:dyDescent="0.25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9"/>
      <c r="L183" s="9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.75" customHeight="1" x14ac:dyDescent="0.25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9"/>
      <c r="L184" s="9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75" customHeight="1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9"/>
      <c r="L185" s="9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.75" customHeight="1" x14ac:dyDescent="0.25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9"/>
      <c r="L186" s="9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75" customHeight="1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9"/>
      <c r="L187" s="9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.75" customHeight="1" x14ac:dyDescent="0.25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9"/>
      <c r="L188" s="9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.75" customHeight="1" x14ac:dyDescent="0.25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9"/>
      <c r="L189" s="9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75" customHeight="1" x14ac:dyDescent="0.25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9"/>
      <c r="L190" s="9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75" customHeight="1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9"/>
      <c r="L191" s="9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75" customHeight="1" x14ac:dyDescent="0.25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9"/>
      <c r="L192" s="9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75" customHeight="1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9"/>
      <c r="L193" s="9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75" customHeight="1" x14ac:dyDescent="0.25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9"/>
      <c r="L194" s="9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75" customHeight="1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9"/>
      <c r="L195" s="9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75" customHeight="1" x14ac:dyDescent="0.25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9"/>
      <c r="L196" s="9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75" customHeight="1" x14ac:dyDescent="0.25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9"/>
      <c r="L197" s="9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75" customHeight="1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9"/>
      <c r="L198" s="9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75" customHeight="1" x14ac:dyDescent="0.25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9"/>
      <c r="L199" s="9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75" customHeight="1" x14ac:dyDescent="0.25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9"/>
      <c r="L200" s="9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75" customHeight="1" x14ac:dyDescent="0.25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9"/>
      <c r="L201" s="9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customHeight="1" x14ac:dyDescent="0.25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9"/>
      <c r="L202" s="9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customHeight="1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9"/>
      <c r="L203" s="9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customHeight="1" x14ac:dyDescent="0.25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9"/>
      <c r="L204" s="9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customHeight="1" x14ac:dyDescent="0.25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9"/>
      <c r="L205" s="9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customHeight="1" x14ac:dyDescent="0.25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9"/>
      <c r="L206" s="9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 x14ac:dyDescent="0.25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9"/>
      <c r="L207" s="9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 x14ac:dyDescent="0.25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9"/>
      <c r="L208" s="9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 x14ac:dyDescent="0.25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9"/>
      <c r="L209" s="9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 x14ac:dyDescent="0.25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9"/>
      <c r="L210" s="9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9"/>
      <c r="L211" s="9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 x14ac:dyDescent="0.25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9"/>
      <c r="L212" s="9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9"/>
      <c r="L213" s="9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 x14ac:dyDescent="0.25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9"/>
      <c r="L214" s="9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9"/>
      <c r="L215" s="9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 x14ac:dyDescent="0.25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9"/>
      <c r="L216" s="9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 x14ac:dyDescent="0.25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9"/>
      <c r="L217" s="9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 x14ac:dyDescent="0.25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9"/>
      <c r="L218" s="9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9"/>
      <c r="L219" s="9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 x14ac:dyDescent="0.25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9"/>
      <c r="L220" s="9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9"/>
      <c r="L221" s="9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 x14ac:dyDescent="0.25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9"/>
      <c r="L222" s="9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 x14ac:dyDescent="0.25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9"/>
      <c r="L223" s="9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 x14ac:dyDescent="0.25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9"/>
      <c r="L224" s="9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 x14ac:dyDescent="0.25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9"/>
      <c r="L225" s="9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9"/>
      <c r="L226" s="9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9"/>
      <c r="L227" s="9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 x14ac:dyDescent="0.25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9"/>
      <c r="L228" s="9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9"/>
      <c r="L229" s="9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 x14ac:dyDescent="0.25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9"/>
      <c r="L230" s="9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9"/>
      <c r="L231" s="9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 x14ac:dyDescent="0.25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9"/>
      <c r="L232" s="9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9"/>
      <c r="L233" s="9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 x14ac:dyDescent="0.25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9"/>
      <c r="L234" s="9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9"/>
      <c r="L235" s="9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 x14ac:dyDescent="0.25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9"/>
      <c r="L236" s="9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9"/>
      <c r="L237" s="9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 x14ac:dyDescent="0.25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9"/>
      <c r="L238" s="9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9"/>
      <c r="L239" s="9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 x14ac:dyDescent="0.25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9"/>
      <c r="L240" s="9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9"/>
      <c r="L241" s="9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 x14ac:dyDescent="0.25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9"/>
      <c r="L242" s="9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 x14ac:dyDescent="0.25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9"/>
      <c r="L243" s="9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 x14ac:dyDescent="0.25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9"/>
      <c r="L244" s="9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9"/>
      <c r="L245" s="9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 x14ac:dyDescent="0.25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9"/>
      <c r="L246" s="9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 x14ac:dyDescent="0.25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9"/>
      <c r="L247" s="9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 x14ac:dyDescent="0.25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9"/>
      <c r="L248" s="9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9"/>
      <c r="L249" s="9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 x14ac:dyDescent="0.25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9"/>
      <c r="L250" s="9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 x14ac:dyDescent="0.25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9"/>
      <c r="L251" s="9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 x14ac:dyDescent="0.25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9"/>
      <c r="L252" s="9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9"/>
      <c r="L253" s="9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 x14ac:dyDescent="0.25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9"/>
      <c r="L254" s="9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9"/>
      <c r="L255" s="9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 x14ac:dyDescent="0.25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9"/>
      <c r="L256" s="9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9"/>
      <c r="L257" s="9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 x14ac:dyDescent="0.25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9"/>
      <c r="L258" s="9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 x14ac:dyDescent="0.25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9"/>
      <c r="L259" s="9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 x14ac:dyDescent="0.25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9"/>
      <c r="L260" s="9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9"/>
      <c r="L261" s="9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 x14ac:dyDescent="0.25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9"/>
      <c r="L262" s="9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 x14ac:dyDescent="0.25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9"/>
      <c r="L263" s="9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 x14ac:dyDescent="0.25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9"/>
      <c r="L264" s="9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9"/>
      <c r="L265" s="9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 x14ac:dyDescent="0.25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9"/>
      <c r="L266" s="9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9"/>
      <c r="L267" s="9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 x14ac:dyDescent="0.25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9"/>
      <c r="L268" s="9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9"/>
      <c r="L269" s="9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 x14ac:dyDescent="0.25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9"/>
      <c r="L270" s="9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 x14ac:dyDescent="0.25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9"/>
      <c r="L271" s="9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 x14ac:dyDescent="0.25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9"/>
      <c r="L272" s="9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9"/>
      <c r="L273" s="9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 x14ac:dyDescent="0.25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9"/>
      <c r="L274" s="9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 x14ac:dyDescent="0.25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9"/>
      <c r="L275" s="9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 x14ac:dyDescent="0.25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9"/>
      <c r="L276" s="9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 x14ac:dyDescent="0.25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9"/>
      <c r="L277" s="9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 x14ac:dyDescent="0.25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9"/>
      <c r="L278" s="9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 x14ac:dyDescent="0.25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9"/>
      <c r="L279" s="9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 x14ac:dyDescent="0.25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9"/>
      <c r="L280" s="9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9"/>
      <c r="L281" s="9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 x14ac:dyDescent="0.25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9"/>
      <c r="L282" s="9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 x14ac:dyDescent="0.25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9"/>
      <c r="L283" s="9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 x14ac:dyDescent="0.25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9"/>
      <c r="L284" s="9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9"/>
      <c r="L285" s="9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 x14ac:dyDescent="0.25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9"/>
      <c r="L286" s="9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 x14ac:dyDescent="0.25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9"/>
      <c r="L287" s="9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 x14ac:dyDescent="0.25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9"/>
      <c r="L288" s="9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 x14ac:dyDescent="0.25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9"/>
      <c r="L289" s="9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 x14ac:dyDescent="0.25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9"/>
      <c r="L290" s="9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9"/>
      <c r="L291" s="9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 x14ac:dyDescent="0.25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9"/>
      <c r="L292" s="9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9"/>
      <c r="L293" s="9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 x14ac:dyDescent="0.25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9"/>
      <c r="L294" s="9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9"/>
      <c r="L295" s="9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 x14ac:dyDescent="0.25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9"/>
      <c r="L296" s="9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9"/>
      <c r="L297" s="9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 x14ac:dyDescent="0.25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9"/>
      <c r="L298" s="9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 x14ac:dyDescent="0.25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9"/>
      <c r="L299" s="9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 x14ac:dyDescent="0.25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9"/>
      <c r="L300" s="9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 x14ac:dyDescent="0.25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9"/>
      <c r="L301" s="9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 x14ac:dyDescent="0.25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9"/>
      <c r="L302" s="9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9"/>
      <c r="L303" s="9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 x14ac:dyDescent="0.25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9"/>
      <c r="L304" s="9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 x14ac:dyDescent="0.25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9"/>
      <c r="L305" s="9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 x14ac:dyDescent="0.25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9"/>
      <c r="L306" s="9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 x14ac:dyDescent="0.25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9"/>
      <c r="L307" s="9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 x14ac:dyDescent="0.25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9"/>
      <c r="L308" s="9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 x14ac:dyDescent="0.25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9"/>
      <c r="L309" s="9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 x14ac:dyDescent="0.25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9"/>
      <c r="L310" s="9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 x14ac:dyDescent="0.25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9"/>
      <c r="L311" s="9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 x14ac:dyDescent="0.25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9"/>
      <c r="L312" s="9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9"/>
      <c r="L313" s="9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 x14ac:dyDescent="0.25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9"/>
      <c r="L314" s="9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9"/>
      <c r="L315" s="9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 x14ac:dyDescent="0.25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9"/>
      <c r="L316" s="9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 x14ac:dyDescent="0.25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9"/>
      <c r="L317" s="9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 x14ac:dyDescent="0.25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9"/>
      <c r="L318" s="9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9"/>
      <c r="L319" s="9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 x14ac:dyDescent="0.25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9"/>
      <c r="L320" s="9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 x14ac:dyDescent="0.25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9"/>
      <c r="L321" s="9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 x14ac:dyDescent="0.25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9"/>
      <c r="L322" s="9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 x14ac:dyDescent="0.25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9"/>
      <c r="L323" s="9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 x14ac:dyDescent="0.25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9"/>
      <c r="L324" s="9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9"/>
      <c r="L325" s="9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 x14ac:dyDescent="0.25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9"/>
      <c r="L326" s="9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 x14ac:dyDescent="0.25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9"/>
      <c r="L327" s="9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 x14ac:dyDescent="0.25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9"/>
      <c r="L328" s="9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 x14ac:dyDescent="0.25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9"/>
      <c r="L329" s="9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 x14ac:dyDescent="0.25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9"/>
      <c r="L330" s="9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 x14ac:dyDescent="0.25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9"/>
      <c r="L331" s="9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 x14ac:dyDescent="0.25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9"/>
      <c r="L332" s="9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9"/>
      <c r="L333" s="9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 x14ac:dyDescent="0.25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9"/>
      <c r="L334" s="9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 x14ac:dyDescent="0.2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9"/>
      <c r="L335" s="9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 x14ac:dyDescent="0.25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9"/>
      <c r="L336" s="9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9"/>
      <c r="L337" s="9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 x14ac:dyDescent="0.25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9"/>
      <c r="L338" s="9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 x14ac:dyDescent="0.25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9"/>
      <c r="L339" s="9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 x14ac:dyDescent="0.25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9"/>
      <c r="L340" s="9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9"/>
      <c r="L341" s="9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 x14ac:dyDescent="0.25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9"/>
      <c r="L342" s="9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9"/>
      <c r="L343" s="9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 x14ac:dyDescent="0.25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9"/>
      <c r="L344" s="9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9"/>
      <c r="L345" s="9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 x14ac:dyDescent="0.25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9"/>
      <c r="L346" s="9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 x14ac:dyDescent="0.25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9"/>
      <c r="L347" s="9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 x14ac:dyDescent="0.25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9"/>
      <c r="L348" s="9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 x14ac:dyDescent="0.25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9"/>
      <c r="L349" s="9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 x14ac:dyDescent="0.25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9"/>
      <c r="L350" s="9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9"/>
      <c r="L351" s="9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 x14ac:dyDescent="0.25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9"/>
      <c r="L352" s="9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9"/>
      <c r="L353" s="9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 x14ac:dyDescent="0.25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9"/>
      <c r="L354" s="9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9"/>
      <c r="L355" s="9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 x14ac:dyDescent="0.25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9"/>
      <c r="L356" s="9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 x14ac:dyDescent="0.25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9"/>
      <c r="L357" s="9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 x14ac:dyDescent="0.25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9"/>
      <c r="L358" s="9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 x14ac:dyDescent="0.25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9"/>
      <c r="L359" s="9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 x14ac:dyDescent="0.25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9"/>
      <c r="L360" s="9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 x14ac:dyDescent="0.25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9"/>
      <c r="L361" s="9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 x14ac:dyDescent="0.25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9"/>
      <c r="L362" s="9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 x14ac:dyDescent="0.25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9"/>
      <c r="L363" s="9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 x14ac:dyDescent="0.25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9"/>
      <c r="L364" s="9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 x14ac:dyDescent="0.2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9"/>
      <c r="L365" s="9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 x14ac:dyDescent="0.25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9"/>
      <c r="L366" s="9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9"/>
      <c r="L367" s="9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 x14ac:dyDescent="0.25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9"/>
      <c r="L368" s="9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9"/>
      <c r="L369" s="9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 x14ac:dyDescent="0.25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9"/>
      <c r="L370" s="9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 x14ac:dyDescent="0.25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9"/>
      <c r="L371" s="9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 x14ac:dyDescent="0.25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9"/>
      <c r="L372" s="9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 x14ac:dyDescent="0.25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9"/>
      <c r="L373" s="9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 x14ac:dyDescent="0.25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9"/>
      <c r="L374" s="9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 x14ac:dyDescent="0.2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9"/>
      <c r="L375" s="9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 x14ac:dyDescent="0.25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9"/>
      <c r="L376" s="9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 x14ac:dyDescent="0.25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9"/>
      <c r="L377" s="9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 x14ac:dyDescent="0.25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9"/>
      <c r="L378" s="9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 x14ac:dyDescent="0.25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9"/>
      <c r="L379" s="9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 x14ac:dyDescent="0.25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9"/>
      <c r="L380" s="9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9"/>
      <c r="L381" s="9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 x14ac:dyDescent="0.25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9"/>
      <c r="L382" s="9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 x14ac:dyDescent="0.25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9"/>
      <c r="L383" s="9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 x14ac:dyDescent="0.25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9"/>
      <c r="L384" s="9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 x14ac:dyDescent="0.2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9"/>
      <c r="L385" s="9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 x14ac:dyDescent="0.25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9"/>
      <c r="L386" s="9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 x14ac:dyDescent="0.25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9"/>
      <c r="L387" s="9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 x14ac:dyDescent="0.25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9"/>
      <c r="L388" s="9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 x14ac:dyDescent="0.25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9"/>
      <c r="L389" s="9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 x14ac:dyDescent="0.25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9"/>
      <c r="L390" s="9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 x14ac:dyDescent="0.25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9"/>
      <c r="L391" s="9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 x14ac:dyDescent="0.25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9"/>
      <c r="L392" s="9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9"/>
      <c r="L393" s="9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 x14ac:dyDescent="0.25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9"/>
      <c r="L394" s="9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 x14ac:dyDescent="0.2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9"/>
      <c r="L395" s="9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 x14ac:dyDescent="0.25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9"/>
      <c r="L396" s="9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9"/>
      <c r="L397" s="9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 x14ac:dyDescent="0.25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9"/>
      <c r="L398" s="9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 x14ac:dyDescent="0.25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9"/>
      <c r="L399" s="9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 x14ac:dyDescent="0.25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9"/>
      <c r="L400" s="9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9"/>
      <c r="L401" s="9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 x14ac:dyDescent="0.25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9"/>
      <c r="L402" s="9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9"/>
      <c r="L403" s="9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 x14ac:dyDescent="0.25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9"/>
      <c r="L404" s="9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 x14ac:dyDescent="0.2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9"/>
      <c r="L405" s="9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 x14ac:dyDescent="0.25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9"/>
      <c r="L406" s="9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9"/>
      <c r="L407" s="9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 x14ac:dyDescent="0.25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9"/>
      <c r="L408" s="9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 x14ac:dyDescent="0.25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9"/>
      <c r="L409" s="9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 x14ac:dyDescent="0.25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9"/>
      <c r="L410" s="9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9"/>
      <c r="L411" s="9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 x14ac:dyDescent="0.25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9"/>
      <c r="L412" s="9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 x14ac:dyDescent="0.25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9"/>
      <c r="L413" s="9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 x14ac:dyDescent="0.25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9"/>
      <c r="L414" s="9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9"/>
      <c r="L415" s="9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 x14ac:dyDescent="0.25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9"/>
      <c r="L416" s="9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9"/>
      <c r="L417" s="9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 x14ac:dyDescent="0.25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9"/>
      <c r="L418" s="9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 x14ac:dyDescent="0.25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9"/>
      <c r="L419" s="9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 x14ac:dyDescent="0.25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9"/>
      <c r="L420" s="9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9"/>
      <c r="L421" s="9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 x14ac:dyDescent="0.25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9"/>
      <c r="L422" s="9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 x14ac:dyDescent="0.25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9"/>
      <c r="L423" s="9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 x14ac:dyDescent="0.25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9"/>
      <c r="L424" s="9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9"/>
      <c r="L425" s="9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 x14ac:dyDescent="0.25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9"/>
      <c r="L426" s="9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 x14ac:dyDescent="0.25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9"/>
      <c r="L427" s="9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 x14ac:dyDescent="0.25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9"/>
      <c r="L428" s="9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 x14ac:dyDescent="0.25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9"/>
      <c r="L429" s="9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 x14ac:dyDescent="0.25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9"/>
      <c r="L430" s="9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 x14ac:dyDescent="0.25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9"/>
      <c r="L431" s="9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 x14ac:dyDescent="0.25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9"/>
      <c r="L432" s="9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9"/>
      <c r="L433" s="9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 x14ac:dyDescent="0.25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9"/>
      <c r="L434" s="9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9"/>
      <c r="L435" s="9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 x14ac:dyDescent="0.25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9"/>
      <c r="L436" s="9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 x14ac:dyDescent="0.25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9"/>
      <c r="L437" s="9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 x14ac:dyDescent="0.25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9"/>
      <c r="L438" s="9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 x14ac:dyDescent="0.25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9"/>
      <c r="L439" s="9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 x14ac:dyDescent="0.25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9"/>
      <c r="L440" s="9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 x14ac:dyDescent="0.25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9"/>
      <c r="L441" s="9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 x14ac:dyDescent="0.25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9"/>
      <c r="L442" s="9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 x14ac:dyDescent="0.25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9"/>
      <c r="L443" s="9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 x14ac:dyDescent="0.25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9"/>
      <c r="L444" s="9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9"/>
      <c r="L445" s="9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 x14ac:dyDescent="0.25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9"/>
      <c r="L446" s="9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 x14ac:dyDescent="0.25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9"/>
      <c r="L447" s="9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 x14ac:dyDescent="0.25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9"/>
      <c r="L448" s="9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 x14ac:dyDescent="0.25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9"/>
      <c r="L449" s="9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 x14ac:dyDescent="0.25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9"/>
      <c r="L450" s="9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 x14ac:dyDescent="0.25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9"/>
      <c r="L451" s="9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 x14ac:dyDescent="0.25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9"/>
      <c r="L452" s="9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9"/>
      <c r="L453" s="9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 x14ac:dyDescent="0.25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9"/>
      <c r="L454" s="9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 x14ac:dyDescent="0.2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9"/>
      <c r="L455" s="9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 x14ac:dyDescent="0.25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9"/>
      <c r="L456" s="9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 x14ac:dyDescent="0.25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9"/>
      <c r="L457" s="9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 x14ac:dyDescent="0.25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9"/>
      <c r="L458" s="9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 x14ac:dyDescent="0.25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9"/>
      <c r="L459" s="9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 x14ac:dyDescent="0.25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9"/>
      <c r="L460" s="9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 x14ac:dyDescent="0.25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9"/>
      <c r="L461" s="9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 x14ac:dyDescent="0.25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9"/>
      <c r="L462" s="9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 x14ac:dyDescent="0.25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9"/>
      <c r="L463" s="9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 x14ac:dyDescent="0.25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9"/>
      <c r="L464" s="9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9"/>
      <c r="L465" s="9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 x14ac:dyDescent="0.25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9"/>
      <c r="L466" s="9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9"/>
      <c r="L467" s="9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 x14ac:dyDescent="0.25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9"/>
      <c r="L468" s="9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9"/>
      <c r="L469" s="9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 x14ac:dyDescent="0.25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9"/>
      <c r="L470" s="9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 x14ac:dyDescent="0.25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9"/>
      <c r="L471" s="9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 x14ac:dyDescent="0.25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9"/>
      <c r="L472" s="9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 x14ac:dyDescent="0.25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9"/>
      <c r="L473" s="9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 x14ac:dyDescent="0.25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9"/>
      <c r="L474" s="9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 x14ac:dyDescent="0.2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9"/>
      <c r="L475" s="9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 x14ac:dyDescent="0.25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9"/>
      <c r="L476" s="9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 x14ac:dyDescent="0.25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9"/>
      <c r="L477" s="9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 x14ac:dyDescent="0.25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9"/>
      <c r="L478" s="9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 x14ac:dyDescent="0.25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9"/>
      <c r="L479" s="9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 x14ac:dyDescent="0.25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9"/>
      <c r="L480" s="9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 x14ac:dyDescent="0.25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9"/>
      <c r="L481" s="9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 x14ac:dyDescent="0.25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9"/>
      <c r="L482" s="9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9"/>
      <c r="L483" s="9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 x14ac:dyDescent="0.25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9"/>
      <c r="L484" s="9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 x14ac:dyDescent="0.2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9"/>
      <c r="L485" s="9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 x14ac:dyDescent="0.25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9"/>
      <c r="L486" s="9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9"/>
      <c r="L487" s="9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 x14ac:dyDescent="0.25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9"/>
      <c r="L488" s="9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 x14ac:dyDescent="0.25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9"/>
      <c r="L489" s="9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 x14ac:dyDescent="0.25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9"/>
      <c r="L490" s="9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 x14ac:dyDescent="0.25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9"/>
      <c r="L491" s="9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 x14ac:dyDescent="0.25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9"/>
      <c r="L492" s="9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 x14ac:dyDescent="0.25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9"/>
      <c r="L493" s="9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 x14ac:dyDescent="0.25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9"/>
      <c r="L494" s="9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9"/>
      <c r="L495" s="9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 x14ac:dyDescent="0.25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9"/>
      <c r="L496" s="9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 x14ac:dyDescent="0.25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9"/>
      <c r="L497" s="9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 x14ac:dyDescent="0.25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9"/>
      <c r="L498" s="9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 x14ac:dyDescent="0.25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9"/>
      <c r="L499" s="9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 x14ac:dyDescent="0.25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9"/>
      <c r="L500" s="9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9"/>
      <c r="L501" s="9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 x14ac:dyDescent="0.25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9"/>
      <c r="L502" s="9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 x14ac:dyDescent="0.25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9"/>
      <c r="L503" s="9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 x14ac:dyDescent="0.25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9"/>
      <c r="L504" s="9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9"/>
      <c r="L505" s="9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 x14ac:dyDescent="0.25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9"/>
      <c r="L506" s="9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 x14ac:dyDescent="0.25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9"/>
      <c r="L507" s="9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 x14ac:dyDescent="0.25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9"/>
      <c r="L508" s="9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 x14ac:dyDescent="0.25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9"/>
      <c r="L509" s="9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 x14ac:dyDescent="0.25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9"/>
      <c r="L510" s="9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 x14ac:dyDescent="0.25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9"/>
      <c r="L511" s="9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 x14ac:dyDescent="0.25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9"/>
      <c r="L512" s="9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9"/>
      <c r="L513" s="9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 x14ac:dyDescent="0.25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9"/>
      <c r="L514" s="9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9"/>
      <c r="L515" s="9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 x14ac:dyDescent="0.25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9"/>
      <c r="L516" s="9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 x14ac:dyDescent="0.25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9"/>
      <c r="L517" s="9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 x14ac:dyDescent="0.25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9"/>
      <c r="L518" s="9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9"/>
      <c r="L519" s="9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 x14ac:dyDescent="0.25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9"/>
      <c r="L520" s="9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 x14ac:dyDescent="0.25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9"/>
      <c r="L521" s="9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 x14ac:dyDescent="0.25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9"/>
      <c r="L522" s="9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9"/>
      <c r="L523" s="9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 x14ac:dyDescent="0.25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9"/>
      <c r="L524" s="9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 x14ac:dyDescent="0.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9"/>
      <c r="L525" s="9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 x14ac:dyDescent="0.25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9"/>
      <c r="L526" s="9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9"/>
      <c r="L527" s="9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 x14ac:dyDescent="0.25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9"/>
      <c r="L528" s="9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9"/>
      <c r="L529" s="9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 x14ac:dyDescent="0.25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9"/>
      <c r="L530" s="9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 x14ac:dyDescent="0.25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9"/>
      <c r="L531" s="9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 x14ac:dyDescent="0.25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9"/>
      <c r="L532" s="9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9"/>
      <c r="L533" s="9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 x14ac:dyDescent="0.25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9"/>
      <c r="L534" s="9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9"/>
      <c r="L535" s="9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 x14ac:dyDescent="0.25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9"/>
      <c r="L536" s="9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9"/>
      <c r="L537" s="9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 x14ac:dyDescent="0.25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9"/>
      <c r="L538" s="9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 x14ac:dyDescent="0.25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9"/>
      <c r="L539" s="9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 x14ac:dyDescent="0.25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9"/>
      <c r="L540" s="9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 x14ac:dyDescent="0.25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9"/>
      <c r="L541" s="9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 x14ac:dyDescent="0.25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9"/>
      <c r="L542" s="9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9"/>
      <c r="L543" s="9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 x14ac:dyDescent="0.25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9"/>
      <c r="L544" s="9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9"/>
      <c r="L545" s="9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 x14ac:dyDescent="0.25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9"/>
      <c r="L546" s="9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9"/>
      <c r="L547" s="9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 x14ac:dyDescent="0.25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9"/>
      <c r="L548" s="9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9"/>
      <c r="L549" s="9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 x14ac:dyDescent="0.25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9"/>
      <c r="L550" s="9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 x14ac:dyDescent="0.25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9"/>
      <c r="L551" s="9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 x14ac:dyDescent="0.25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9"/>
      <c r="L552" s="9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9"/>
      <c r="L553" s="9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 x14ac:dyDescent="0.25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9"/>
      <c r="L554" s="9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9"/>
      <c r="L555" s="9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 x14ac:dyDescent="0.25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9"/>
      <c r="L556" s="9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9"/>
      <c r="L557" s="9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 x14ac:dyDescent="0.25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9"/>
      <c r="L558" s="9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 x14ac:dyDescent="0.25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9"/>
      <c r="L559" s="9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 x14ac:dyDescent="0.25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9"/>
      <c r="L560" s="9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9"/>
      <c r="L561" s="9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 x14ac:dyDescent="0.25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9"/>
      <c r="L562" s="9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9"/>
      <c r="L563" s="9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 x14ac:dyDescent="0.25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9"/>
      <c r="L564" s="9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 x14ac:dyDescent="0.2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9"/>
      <c r="L565" s="9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 x14ac:dyDescent="0.25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9"/>
      <c r="L566" s="9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 x14ac:dyDescent="0.25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9"/>
      <c r="L567" s="9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 x14ac:dyDescent="0.25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9"/>
      <c r="L568" s="9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9"/>
      <c r="L569" s="9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 x14ac:dyDescent="0.25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9"/>
      <c r="L570" s="9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9"/>
      <c r="L571" s="9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 x14ac:dyDescent="0.25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9"/>
      <c r="L572" s="9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 x14ac:dyDescent="0.25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9"/>
      <c r="L573" s="9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 x14ac:dyDescent="0.25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9"/>
      <c r="L574" s="9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 x14ac:dyDescent="0.2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9"/>
      <c r="L575" s="9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 x14ac:dyDescent="0.25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9"/>
      <c r="L576" s="9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 x14ac:dyDescent="0.25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9"/>
      <c r="L577" s="9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 x14ac:dyDescent="0.25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9"/>
      <c r="L578" s="9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9"/>
      <c r="L579" s="9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 x14ac:dyDescent="0.25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9"/>
      <c r="L580" s="9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9"/>
      <c r="L581" s="9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 x14ac:dyDescent="0.25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9"/>
      <c r="L582" s="9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 x14ac:dyDescent="0.25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9"/>
      <c r="L583" s="9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 x14ac:dyDescent="0.25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9"/>
      <c r="L584" s="9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 x14ac:dyDescent="0.2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9"/>
      <c r="L585" s="9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 x14ac:dyDescent="0.25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9"/>
      <c r="L586" s="9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9"/>
      <c r="L587" s="9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 x14ac:dyDescent="0.25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9"/>
      <c r="L588" s="9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9"/>
      <c r="L589" s="9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 x14ac:dyDescent="0.25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9"/>
      <c r="L590" s="9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9"/>
      <c r="L591" s="9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 x14ac:dyDescent="0.25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9"/>
      <c r="L592" s="9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9"/>
      <c r="L593" s="9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 x14ac:dyDescent="0.25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9"/>
      <c r="L594" s="9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9"/>
      <c r="L595" s="9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 x14ac:dyDescent="0.25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9"/>
      <c r="L596" s="9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9"/>
      <c r="L597" s="9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 x14ac:dyDescent="0.25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9"/>
      <c r="L598" s="9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9"/>
      <c r="L599" s="9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 x14ac:dyDescent="0.25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9"/>
      <c r="L600" s="9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9"/>
      <c r="L601" s="9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 x14ac:dyDescent="0.25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9"/>
      <c r="L602" s="9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 x14ac:dyDescent="0.25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9"/>
      <c r="L603" s="9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 x14ac:dyDescent="0.25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9"/>
      <c r="L604" s="9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9"/>
      <c r="L605" s="9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 x14ac:dyDescent="0.25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9"/>
      <c r="L606" s="9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9"/>
      <c r="L607" s="9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 x14ac:dyDescent="0.25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9"/>
      <c r="L608" s="9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9"/>
      <c r="L609" s="9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 x14ac:dyDescent="0.25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9"/>
      <c r="L610" s="9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9"/>
      <c r="L611" s="9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 x14ac:dyDescent="0.25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9"/>
      <c r="L612" s="9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9"/>
      <c r="L613" s="9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 x14ac:dyDescent="0.25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9"/>
      <c r="L614" s="9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9"/>
      <c r="L615" s="9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 x14ac:dyDescent="0.25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9"/>
      <c r="L616" s="9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9"/>
      <c r="L617" s="9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 x14ac:dyDescent="0.25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9"/>
      <c r="L618" s="9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 x14ac:dyDescent="0.25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9"/>
      <c r="L619" s="9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 x14ac:dyDescent="0.25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9"/>
      <c r="L620" s="9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 x14ac:dyDescent="0.25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9"/>
      <c r="L621" s="9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 x14ac:dyDescent="0.25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9"/>
      <c r="L622" s="9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9"/>
      <c r="L623" s="9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 x14ac:dyDescent="0.25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9"/>
      <c r="L624" s="9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9"/>
      <c r="L625" s="9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 x14ac:dyDescent="0.25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9"/>
      <c r="L626" s="9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9"/>
      <c r="L627" s="9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 x14ac:dyDescent="0.25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9"/>
      <c r="L628" s="9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9"/>
      <c r="L629" s="9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 x14ac:dyDescent="0.25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9"/>
      <c r="L630" s="9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9"/>
      <c r="L631" s="9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 x14ac:dyDescent="0.25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9"/>
      <c r="L632" s="9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9"/>
      <c r="L633" s="9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 x14ac:dyDescent="0.25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9"/>
      <c r="L634" s="9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 x14ac:dyDescent="0.2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9"/>
      <c r="L635" s="9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 x14ac:dyDescent="0.25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9"/>
      <c r="L636" s="9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 x14ac:dyDescent="0.25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9"/>
      <c r="L637" s="9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 x14ac:dyDescent="0.25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9"/>
      <c r="L638" s="9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 x14ac:dyDescent="0.25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9"/>
      <c r="L639" s="9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 x14ac:dyDescent="0.25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9"/>
      <c r="L640" s="9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 x14ac:dyDescent="0.25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9"/>
      <c r="L641" s="9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 x14ac:dyDescent="0.25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9"/>
      <c r="L642" s="9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 x14ac:dyDescent="0.25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9"/>
      <c r="L643" s="9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 x14ac:dyDescent="0.25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9"/>
      <c r="L644" s="9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9"/>
      <c r="L645" s="9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 x14ac:dyDescent="0.25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9"/>
      <c r="L646" s="9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9"/>
      <c r="L647" s="9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 x14ac:dyDescent="0.25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9"/>
      <c r="L648" s="9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9"/>
      <c r="L649" s="9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 x14ac:dyDescent="0.25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9"/>
      <c r="L650" s="9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9"/>
      <c r="L651" s="9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 x14ac:dyDescent="0.25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9"/>
      <c r="L652" s="9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9"/>
      <c r="L653" s="9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 x14ac:dyDescent="0.25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9"/>
      <c r="L654" s="9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9"/>
      <c r="L655" s="9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 x14ac:dyDescent="0.25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9"/>
      <c r="L656" s="9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 x14ac:dyDescent="0.25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9"/>
      <c r="L657" s="9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 x14ac:dyDescent="0.25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9"/>
      <c r="L658" s="9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 x14ac:dyDescent="0.25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9"/>
      <c r="L659" s="9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 x14ac:dyDescent="0.25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9"/>
      <c r="L660" s="9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 x14ac:dyDescent="0.25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9"/>
      <c r="L661" s="9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 x14ac:dyDescent="0.25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9"/>
      <c r="L662" s="9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 x14ac:dyDescent="0.25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9"/>
      <c r="L663" s="9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 x14ac:dyDescent="0.25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9"/>
      <c r="L664" s="9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 x14ac:dyDescent="0.2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9"/>
      <c r="L665" s="9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 x14ac:dyDescent="0.25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9"/>
      <c r="L666" s="9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 x14ac:dyDescent="0.25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9"/>
      <c r="L667" s="9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 x14ac:dyDescent="0.25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9"/>
      <c r="L668" s="9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 x14ac:dyDescent="0.25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9"/>
      <c r="L669" s="9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 x14ac:dyDescent="0.25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9"/>
      <c r="L670" s="9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9"/>
      <c r="L671" s="9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 x14ac:dyDescent="0.25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9"/>
      <c r="L672" s="9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 x14ac:dyDescent="0.25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9"/>
      <c r="L673" s="9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 x14ac:dyDescent="0.25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9"/>
      <c r="L674" s="9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9"/>
      <c r="L675" s="9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 x14ac:dyDescent="0.25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9"/>
      <c r="L676" s="9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 x14ac:dyDescent="0.25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9"/>
      <c r="L677" s="9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 x14ac:dyDescent="0.25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9"/>
      <c r="L678" s="9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 x14ac:dyDescent="0.25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9"/>
      <c r="L679" s="9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 x14ac:dyDescent="0.25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9"/>
      <c r="L680" s="9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 x14ac:dyDescent="0.25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9"/>
      <c r="L681" s="9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 x14ac:dyDescent="0.25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9"/>
      <c r="L682" s="9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 x14ac:dyDescent="0.25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9"/>
      <c r="L683" s="9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 x14ac:dyDescent="0.25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9"/>
      <c r="L684" s="9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 x14ac:dyDescent="0.2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9"/>
      <c r="L685" s="9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 x14ac:dyDescent="0.25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9"/>
      <c r="L686" s="9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 x14ac:dyDescent="0.25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9"/>
      <c r="L687" s="9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 x14ac:dyDescent="0.25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9"/>
      <c r="L688" s="9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 x14ac:dyDescent="0.25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9"/>
      <c r="L689" s="9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 x14ac:dyDescent="0.25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9"/>
      <c r="L690" s="9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 x14ac:dyDescent="0.25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9"/>
      <c r="L691" s="9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 x14ac:dyDescent="0.25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9"/>
      <c r="L692" s="9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 x14ac:dyDescent="0.25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9"/>
      <c r="L693" s="9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 x14ac:dyDescent="0.25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9"/>
      <c r="L694" s="9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 x14ac:dyDescent="0.2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9"/>
      <c r="L695" s="9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 x14ac:dyDescent="0.25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9"/>
      <c r="L696" s="9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 x14ac:dyDescent="0.25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9"/>
      <c r="L697" s="9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 x14ac:dyDescent="0.25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9"/>
      <c r="L698" s="9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 x14ac:dyDescent="0.25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9"/>
      <c r="L699" s="9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 x14ac:dyDescent="0.25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9"/>
      <c r="L700" s="9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 x14ac:dyDescent="0.25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9"/>
      <c r="L701" s="9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 x14ac:dyDescent="0.25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9"/>
      <c r="L702" s="9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 x14ac:dyDescent="0.25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9"/>
      <c r="L703" s="9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 x14ac:dyDescent="0.25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9"/>
      <c r="L704" s="9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 x14ac:dyDescent="0.2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9"/>
      <c r="L705" s="9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 x14ac:dyDescent="0.25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9"/>
      <c r="L706" s="9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 x14ac:dyDescent="0.25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9"/>
      <c r="L707" s="9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 x14ac:dyDescent="0.25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9"/>
      <c r="L708" s="9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 x14ac:dyDescent="0.25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9"/>
      <c r="L709" s="9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 x14ac:dyDescent="0.25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9"/>
      <c r="L710" s="9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 x14ac:dyDescent="0.25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9"/>
      <c r="L711" s="9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 x14ac:dyDescent="0.25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9"/>
      <c r="L712" s="9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 x14ac:dyDescent="0.25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9"/>
      <c r="L713" s="9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 x14ac:dyDescent="0.25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9"/>
      <c r="L714" s="9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 x14ac:dyDescent="0.2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9"/>
      <c r="L715" s="9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 x14ac:dyDescent="0.25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9"/>
      <c r="L716" s="9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9"/>
      <c r="L717" s="9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 x14ac:dyDescent="0.25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9"/>
      <c r="L718" s="9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9"/>
      <c r="L719" s="9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 x14ac:dyDescent="0.25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9"/>
      <c r="L720" s="9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9"/>
      <c r="L721" s="9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 x14ac:dyDescent="0.25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9"/>
      <c r="L722" s="9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9"/>
      <c r="L723" s="9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 x14ac:dyDescent="0.25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9"/>
      <c r="L724" s="9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 x14ac:dyDescent="0.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9"/>
      <c r="L725" s="9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 x14ac:dyDescent="0.25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9"/>
      <c r="L726" s="9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 x14ac:dyDescent="0.25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9"/>
      <c r="L727" s="9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 x14ac:dyDescent="0.25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9"/>
      <c r="L728" s="9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9"/>
      <c r="L729" s="9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 x14ac:dyDescent="0.25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9"/>
      <c r="L730" s="9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9"/>
      <c r="L731" s="9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 x14ac:dyDescent="0.25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9"/>
      <c r="L732" s="9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 x14ac:dyDescent="0.25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9"/>
      <c r="L733" s="9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 x14ac:dyDescent="0.25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9"/>
      <c r="L734" s="9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9"/>
      <c r="L735" s="9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 x14ac:dyDescent="0.25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9"/>
      <c r="L736" s="9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9"/>
      <c r="L737" s="9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 x14ac:dyDescent="0.25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9"/>
      <c r="L738" s="9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9"/>
      <c r="L739" s="9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 x14ac:dyDescent="0.25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9"/>
      <c r="L740" s="9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 x14ac:dyDescent="0.25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9"/>
      <c r="L741" s="9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 x14ac:dyDescent="0.25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9"/>
      <c r="L742" s="9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9"/>
      <c r="L743" s="9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 x14ac:dyDescent="0.25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9"/>
      <c r="L744" s="9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 x14ac:dyDescent="0.2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9"/>
      <c r="L745" s="9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 x14ac:dyDescent="0.25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9"/>
      <c r="L746" s="9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 x14ac:dyDescent="0.25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9"/>
      <c r="L747" s="9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 x14ac:dyDescent="0.25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9"/>
      <c r="L748" s="9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9"/>
      <c r="L749" s="9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 x14ac:dyDescent="0.25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9"/>
      <c r="L750" s="9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 x14ac:dyDescent="0.25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9"/>
      <c r="L751" s="9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 x14ac:dyDescent="0.25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9"/>
      <c r="L752" s="9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9"/>
      <c r="L753" s="9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 x14ac:dyDescent="0.25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9"/>
      <c r="L754" s="9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 x14ac:dyDescent="0.2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9"/>
      <c r="L755" s="9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 x14ac:dyDescent="0.25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9"/>
      <c r="L756" s="9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9"/>
      <c r="L757" s="9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 x14ac:dyDescent="0.25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9"/>
      <c r="L758" s="9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9"/>
      <c r="L759" s="9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 x14ac:dyDescent="0.25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9"/>
      <c r="L760" s="9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9"/>
      <c r="L761" s="9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 x14ac:dyDescent="0.25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9"/>
      <c r="L762" s="9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 x14ac:dyDescent="0.25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9"/>
      <c r="L763" s="9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 x14ac:dyDescent="0.25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9"/>
      <c r="L764" s="9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9"/>
      <c r="L765" s="9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 x14ac:dyDescent="0.25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9"/>
      <c r="L766" s="9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9"/>
      <c r="L767" s="9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 x14ac:dyDescent="0.25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9"/>
      <c r="L768" s="9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 x14ac:dyDescent="0.25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9"/>
      <c r="L769" s="9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 x14ac:dyDescent="0.25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9"/>
      <c r="L770" s="9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9"/>
      <c r="L771" s="9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 x14ac:dyDescent="0.25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9"/>
      <c r="L772" s="9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9"/>
      <c r="L773" s="9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 x14ac:dyDescent="0.25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9"/>
      <c r="L774" s="9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 x14ac:dyDescent="0.2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9"/>
      <c r="L775" s="9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 x14ac:dyDescent="0.25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9"/>
      <c r="L776" s="9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9"/>
      <c r="L777" s="9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 x14ac:dyDescent="0.25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9"/>
      <c r="L778" s="9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9"/>
      <c r="L779" s="9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 x14ac:dyDescent="0.25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9"/>
      <c r="L780" s="9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9"/>
      <c r="L781" s="9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 x14ac:dyDescent="0.25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9"/>
      <c r="L782" s="9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9"/>
      <c r="L783" s="9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 x14ac:dyDescent="0.25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9"/>
      <c r="L784" s="9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 x14ac:dyDescent="0.2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9"/>
      <c r="L785" s="9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 x14ac:dyDescent="0.25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9"/>
      <c r="L786" s="9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9"/>
      <c r="L787" s="9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 x14ac:dyDescent="0.25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9"/>
      <c r="L788" s="9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 x14ac:dyDescent="0.25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9"/>
      <c r="L789" s="9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 x14ac:dyDescent="0.25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9"/>
      <c r="L790" s="9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9"/>
      <c r="L791" s="9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 x14ac:dyDescent="0.25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9"/>
      <c r="L792" s="9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 x14ac:dyDescent="0.25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9"/>
      <c r="L793" s="9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 x14ac:dyDescent="0.25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9"/>
      <c r="L794" s="9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9"/>
      <c r="L795" s="9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 x14ac:dyDescent="0.25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9"/>
      <c r="L796" s="9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 x14ac:dyDescent="0.25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9"/>
      <c r="L797" s="9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 x14ac:dyDescent="0.25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9"/>
      <c r="L798" s="9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9"/>
      <c r="L799" s="9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 x14ac:dyDescent="0.25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9"/>
      <c r="L800" s="9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9"/>
      <c r="L801" s="9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 x14ac:dyDescent="0.25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9"/>
      <c r="L802" s="9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9"/>
      <c r="L803" s="9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 x14ac:dyDescent="0.25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9"/>
      <c r="L804" s="9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 x14ac:dyDescent="0.2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9"/>
      <c r="L805" s="9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 x14ac:dyDescent="0.25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9"/>
      <c r="L806" s="9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9"/>
      <c r="L807" s="9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 x14ac:dyDescent="0.25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9"/>
      <c r="L808" s="9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 x14ac:dyDescent="0.25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9"/>
      <c r="L809" s="9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 x14ac:dyDescent="0.25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9"/>
      <c r="L810" s="9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9"/>
      <c r="L811" s="9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 x14ac:dyDescent="0.25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9"/>
      <c r="L812" s="9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9"/>
      <c r="L813" s="9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 x14ac:dyDescent="0.25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9"/>
      <c r="L814" s="9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9"/>
      <c r="L815" s="9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 x14ac:dyDescent="0.25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9"/>
      <c r="L816" s="9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 x14ac:dyDescent="0.25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9"/>
      <c r="L817" s="9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 x14ac:dyDescent="0.25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9"/>
      <c r="L818" s="9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9"/>
      <c r="L819" s="9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 x14ac:dyDescent="0.25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9"/>
      <c r="L820" s="9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 x14ac:dyDescent="0.25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9"/>
      <c r="L821" s="9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 x14ac:dyDescent="0.25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9"/>
      <c r="L822" s="9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 x14ac:dyDescent="0.25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9"/>
      <c r="L823" s="9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 x14ac:dyDescent="0.25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9"/>
      <c r="L824" s="9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 x14ac:dyDescent="0.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9"/>
      <c r="L825" s="9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 x14ac:dyDescent="0.25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9"/>
      <c r="L826" s="9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 x14ac:dyDescent="0.25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9"/>
      <c r="L827" s="9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 x14ac:dyDescent="0.25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9"/>
      <c r="L828" s="9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9"/>
      <c r="L829" s="9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 x14ac:dyDescent="0.25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9"/>
      <c r="L830" s="9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 x14ac:dyDescent="0.25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9"/>
      <c r="L831" s="9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 x14ac:dyDescent="0.25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9"/>
      <c r="L832" s="9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 x14ac:dyDescent="0.25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9"/>
      <c r="L833" s="9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 x14ac:dyDescent="0.25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9"/>
      <c r="L834" s="9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 x14ac:dyDescent="0.2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9"/>
      <c r="L835" s="9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 x14ac:dyDescent="0.25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9"/>
      <c r="L836" s="9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 x14ac:dyDescent="0.25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9"/>
      <c r="L837" s="9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 x14ac:dyDescent="0.25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9"/>
      <c r="L838" s="9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 x14ac:dyDescent="0.25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9"/>
      <c r="L839" s="9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 x14ac:dyDescent="0.25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9"/>
      <c r="L840" s="9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 x14ac:dyDescent="0.25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9"/>
      <c r="L841" s="9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 x14ac:dyDescent="0.25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9"/>
      <c r="L842" s="9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 x14ac:dyDescent="0.25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9"/>
      <c r="L843" s="9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 x14ac:dyDescent="0.25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9"/>
      <c r="L844" s="9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 x14ac:dyDescent="0.2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9"/>
      <c r="L845" s="9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 x14ac:dyDescent="0.25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9"/>
      <c r="L846" s="9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 x14ac:dyDescent="0.25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9"/>
      <c r="L847" s="9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 x14ac:dyDescent="0.25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9"/>
      <c r="L848" s="9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 x14ac:dyDescent="0.25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9"/>
      <c r="L849" s="9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 x14ac:dyDescent="0.25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9"/>
      <c r="L850" s="9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 x14ac:dyDescent="0.25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9"/>
      <c r="L851" s="9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 x14ac:dyDescent="0.25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9"/>
      <c r="L852" s="9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9"/>
      <c r="L853" s="9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 x14ac:dyDescent="0.25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9"/>
      <c r="L854" s="9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9"/>
      <c r="L855" s="9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 x14ac:dyDescent="0.25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9"/>
      <c r="L856" s="9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9"/>
      <c r="L857" s="9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 x14ac:dyDescent="0.25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9"/>
      <c r="L858" s="9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9"/>
      <c r="L859" s="9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 x14ac:dyDescent="0.25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9"/>
      <c r="L860" s="9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9"/>
      <c r="L861" s="9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 x14ac:dyDescent="0.25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9"/>
      <c r="L862" s="9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 x14ac:dyDescent="0.25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9"/>
      <c r="L863" s="9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 x14ac:dyDescent="0.25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9"/>
      <c r="L864" s="9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 x14ac:dyDescent="0.2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9"/>
      <c r="L865" s="9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 x14ac:dyDescent="0.25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9"/>
      <c r="L866" s="9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 x14ac:dyDescent="0.25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9"/>
      <c r="L867" s="9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 x14ac:dyDescent="0.25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9"/>
      <c r="L868" s="9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 x14ac:dyDescent="0.25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9"/>
      <c r="L869" s="9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 x14ac:dyDescent="0.25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9"/>
      <c r="L870" s="9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 x14ac:dyDescent="0.25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9"/>
      <c r="L871" s="9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 x14ac:dyDescent="0.25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9"/>
      <c r="L872" s="9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 x14ac:dyDescent="0.25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9"/>
      <c r="L873" s="9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 x14ac:dyDescent="0.25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9"/>
      <c r="L874" s="9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9"/>
      <c r="L875" s="9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 x14ac:dyDescent="0.25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9"/>
      <c r="L876" s="9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9"/>
      <c r="L877" s="9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 x14ac:dyDescent="0.25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9"/>
      <c r="L878" s="9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 x14ac:dyDescent="0.25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9"/>
      <c r="L879" s="9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 x14ac:dyDescent="0.25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9"/>
      <c r="L880" s="9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 x14ac:dyDescent="0.25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9"/>
      <c r="L881" s="9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 x14ac:dyDescent="0.25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9"/>
      <c r="L882" s="9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9"/>
      <c r="L883" s="9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 x14ac:dyDescent="0.25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9"/>
      <c r="L884" s="9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9"/>
      <c r="L885" s="9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 x14ac:dyDescent="0.25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9"/>
      <c r="L886" s="9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9"/>
      <c r="L887" s="9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 x14ac:dyDescent="0.25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9"/>
      <c r="L888" s="9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9"/>
      <c r="L889" s="9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 x14ac:dyDescent="0.25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9"/>
      <c r="L890" s="9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9"/>
      <c r="L891" s="9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 x14ac:dyDescent="0.25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9"/>
      <c r="L892" s="9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9"/>
      <c r="L893" s="9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 x14ac:dyDescent="0.25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9"/>
      <c r="L894" s="9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9"/>
      <c r="L895" s="9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 x14ac:dyDescent="0.25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9"/>
      <c r="L896" s="9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 x14ac:dyDescent="0.25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9"/>
      <c r="L897" s="9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 x14ac:dyDescent="0.25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9"/>
      <c r="L898" s="9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9"/>
      <c r="L899" s="9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 x14ac:dyDescent="0.25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9"/>
      <c r="L900" s="9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 x14ac:dyDescent="0.25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9"/>
      <c r="L901" s="9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 x14ac:dyDescent="0.25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9"/>
      <c r="L902" s="9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 x14ac:dyDescent="0.25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9"/>
      <c r="L903" s="9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 x14ac:dyDescent="0.25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9"/>
      <c r="L904" s="9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9"/>
      <c r="L905" s="9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 x14ac:dyDescent="0.25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9"/>
      <c r="L906" s="9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 x14ac:dyDescent="0.25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9"/>
      <c r="L907" s="9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 x14ac:dyDescent="0.25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9"/>
      <c r="L908" s="9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9"/>
      <c r="L909" s="9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 x14ac:dyDescent="0.25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9"/>
      <c r="L910" s="9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 x14ac:dyDescent="0.25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9"/>
      <c r="L911" s="9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 x14ac:dyDescent="0.25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9"/>
      <c r="L912" s="9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 x14ac:dyDescent="0.25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9"/>
      <c r="L913" s="9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 x14ac:dyDescent="0.25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9"/>
      <c r="L914" s="9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9"/>
      <c r="L915" s="9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 x14ac:dyDescent="0.25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9"/>
      <c r="L916" s="9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9"/>
      <c r="L917" s="9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 x14ac:dyDescent="0.25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9"/>
      <c r="L918" s="9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9"/>
      <c r="L919" s="9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 x14ac:dyDescent="0.25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9"/>
      <c r="L920" s="9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9"/>
      <c r="L921" s="9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 x14ac:dyDescent="0.25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9"/>
      <c r="L922" s="9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9"/>
      <c r="L923" s="9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 x14ac:dyDescent="0.25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9"/>
      <c r="L924" s="9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 x14ac:dyDescent="0.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9"/>
      <c r="L925" s="9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 x14ac:dyDescent="0.25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9"/>
      <c r="L926" s="9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 x14ac:dyDescent="0.25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9"/>
      <c r="L927" s="9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 x14ac:dyDescent="0.25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9"/>
      <c r="L928" s="9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9"/>
      <c r="L929" s="9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 x14ac:dyDescent="0.25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9"/>
      <c r="L930" s="9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9"/>
      <c r="L931" s="9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 x14ac:dyDescent="0.25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9"/>
      <c r="L932" s="9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 x14ac:dyDescent="0.25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9"/>
      <c r="L933" s="9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 x14ac:dyDescent="0.25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9"/>
      <c r="L934" s="9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 x14ac:dyDescent="0.2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9"/>
      <c r="L935" s="9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 x14ac:dyDescent="0.25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9"/>
      <c r="L936" s="9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9"/>
      <c r="L937" s="9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 x14ac:dyDescent="0.25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9"/>
      <c r="L938" s="9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 x14ac:dyDescent="0.25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9"/>
      <c r="L939" s="9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 x14ac:dyDescent="0.25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9"/>
      <c r="L940" s="9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9"/>
      <c r="L941" s="9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 x14ac:dyDescent="0.25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9"/>
      <c r="L942" s="9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 x14ac:dyDescent="0.25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9"/>
      <c r="L943" s="9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 x14ac:dyDescent="0.25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9"/>
      <c r="L944" s="9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9"/>
      <c r="L945" s="9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 x14ac:dyDescent="0.25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9"/>
      <c r="L946" s="9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9"/>
      <c r="L947" s="9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 x14ac:dyDescent="0.25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9"/>
      <c r="L948" s="9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9"/>
      <c r="L949" s="9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 x14ac:dyDescent="0.25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9"/>
      <c r="L950" s="9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9"/>
      <c r="L951" s="9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 x14ac:dyDescent="0.25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9"/>
      <c r="L952" s="9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 x14ac:dyDescent="0.25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9"/>
      <c r="L953" s="9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 x14ac:dyDescent="0.25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9"/>
      <c r="L954" s="9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9"/>
      <c r="L955" s="9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 x14ac:dyDescent="0.25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9"/>
      <c r="L956" s="9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9"/>
      <c r="L957" s="9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 x14ac:dyDescent="0.25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9"/>
      <c r="L958" s="9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9"/>
      <c r="L959" s="9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 x14ac:dyDescent="0.25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9"/>
      <c r="L960" s="9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9"/>
      <c r="L961" s="9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 x14ac:dyDescent="0.25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9"/>
      <c r="L962" s="9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 x14ac:dyDescent="0.25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9"/>
      <c r="L963" s="9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 x14ac:dyDescent="0.25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9"/>
      <c r="L964" s="9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 x14ac:dyDescent="0.2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9"/>
      <c r="L965" s="9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 x14ac:dyDescent="0.25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9"/>
      <c r="L966" s="9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9"/>
      <c r="L967" s="9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 x14ac:dyDescent="0.25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9"/>
      <c r="L968" s="9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9"/>
      <c r="L969" s="9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 x14ac:dyDescent="0.25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9"/>
      <c r="L970" s="9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9"/>
      <c r="L971" s="9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 x14ac:dyDescent="0.25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9"/>
      <c r="L972" s="9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9"/>
      <c r="L973" s="9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 x14ac:dyDescent="0.25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9"/>
      <c r="L974" s="9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customHeight="1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9"/>
      <c r="L975" s="9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customHeight="1" x14ac:dyDescent="0.25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9"/>
      <c r="L976" s="9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customHeight="1" x14ac:dyDescent="0.25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9"/>
      <c r="L977" s="9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customHeight="1" x14ac:dyDescent="0.25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9"/>
      <c r="L978" s="9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customHeight="1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9"/>
      <c r="L979" s="9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75" customHeight="1" x14ac:dyDescent="0.25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9"/>
      <c r="L980" s="9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75" customHeight="1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9"/>
      <c r="L981" s="9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75" customHeight="1" x14ac:dyDescent="0.25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9"/>
      <c r="L982" s="9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75" customHeight="1" x14ac:dyDescent="0.25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9"/>
      <c r="L983" s="9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.75" customHeight="1" x14ac:dyDescent="0.25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9"/>
      <c r="L984" s="9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.75" customHeight="1" x14ac:dyDescent="0.2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9"/>
      <c r="L985" s="9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5.75" customHeight="1" x14ac:dyDescent="0.25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9"/>
      <c r="L986" s="9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5.75" customHeight="1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9"/>
      <c r="L987" s="9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5.75" customHeight="1" x14ac:dyDescent="0.25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9"/>
      <c r="L988" s="9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5.75" customHeight="1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9"/>
      <c r="L989" s="9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5.75" customHeight="1" x14ac:dyDescent="0.25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9"/>
      <c r="L990" s="9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5.75" customHeight="1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9"/>
      <c r="L991" s="9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5.75" customHeight="1" x14ac:dyDescent="0.25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9"/>
      <c r="L992" s="9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5.75" customHeight="1" x14ac:dyDescent="0.25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9"/>
      <c r="L993" s="9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5.75" customHeight="1" x14ac:dyDescent="0.25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9"/>
      <c r="L994" s="9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5.75" customHeight="1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9"/>
      <c r="L995" s="9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5.75" customHeight="1" x14ac:dyDescent="0.25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9"/>
      <c r="L996" s="9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5.75" customHeight="1" x14ac:dyDescent="0.25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9"/>
      <c r="L997" s="9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5.75" customHeight="1" x14ac:dyDescent="0.25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9"/>
      <c r="L998" s="9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5.75" customHeight="1" x14ac:dyDescent="0.25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9"/>
      <c r="L999" s="9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5.75" customHeight="1" x14ac:dyDescent="0.25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9"/>
      <c r="L1000" s="9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ataValidations count="4">
    <dataValidation type="date" allowBlank="1" sqref="B2:B1000" xr:uid="{8F987239-E76D-4EB7-B153-E49674325226}">
      <formula1>1/1/2020</formula1>
      <formula2>12/31/2030</formula2>
    </dataValidation>
    <dataValidation type="list" allowBlank="1" sqref="M2:M1000" xr:uid="{9E063820-1848-4DA7-A588-0D42476D7F26}">
      <formula1>"Win,Loss"</formula1>
    </dataValidation>
    <dataValidation type="list" allowBlank="1" sqref="D2:D1000" xr:uid="{1E849C77-B200-4B13-9684-EC3BC8A4B3BC}">
      <formula1>"ES,MES,NQ,MNQ,YM,RTY,GC,MGC,CL,MCL,QM"</formula1>
    </dataValidation>
    <dataValidation type="list" allowBlank="1" sqref="E2:E1000" xr:uid="{073FABF6-11C7-4D50-A214-91277C9439C4}">
      <formula1>"Long,Short"</formula1>
    </dataValidation>
  </dataValidations>
  <hyperlinks>
    <hyperlink ref="T3" r:id="rId1" xr:uid="{E78B2E06-BD31-4CC7-A5A3-F65715BC844F}"/>
    <hyperlink ref="U3" r:id="rId2" xr:uid="{288AA7D9-0BA2-4271-871F-B54CF7235DF6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 x14ac:dyDescent="0.25"/>
  <cols>
    <col min="1" max="1" width="10" customWidth="1"/>
    <col min="2" max="2" width="12" customWidth="1"/>
    <col min="3" max="26" width="8.7109375" customWidth="1"/>
  </cols>
  <sheetData>
    <row r="1" spans="1:2" x14ac:dyDescent="0.25">
      <c r="A1" s="1" t="s">
        <v>26</v>
      </c>
      <c r="B1" s="1" t="s">
        <v>27</v>
      </c>
    </row>
    <row r="2" spans="1:2" x14ac:dyDescent="0.25">
      <c r="A2" s="3" t="s">
        <v>28</v>
      </c>
      <c r="B2" s="3">
        <v>50</v>
      </c>
    </row>
    <row r="3" spans="1:2" x14ac:dyDescent="0.25">
      <c r="A3" s="3" t="s">
        <v>29</v>
      </c>
      <c r="B3" s="3">
        <v>5</v>
      </c>
    </row>
    <row r="4" spans="1:2" x14ac:dyDescent="0.25">
      <c r="A4" s="3" t="s">
        <v>30</v>
      </c>
      <c r="B4" s="3">
        <v>20</v>
      </c>
    </row>
    <row r="5" spans="1:2" x14ac:dyDescent="0.25">
      <c r="A5" s="3" t="s">
        <v>21</v>
      </c>
      <c r="B5" s="3">
        <v>2</v>
      </c>
    </row>
    <row r="6" spans="1:2" x14ac:dyDescent="0.25">
      <c r="A6" s="3" t="s">
        <v>31</v>
      </c>
      <c r="B6" s="3">
        <v>5</v>
      </c>
    </row>
    <row r="7" spans="1:2" x14ac:dyDescent="0.25">
      <c r="A7" s="3" t="s">
        <v>32</v>
      </c>
      <c r="B7" s="3">
        <v>50</v>
      </c>
    </row>
    <row r="8" spans="1:2" x14ac:dyDescent="0.25">
      <c r="A8" s="3" t="s">
        <v>33</v>
      </c>
      <c r="B8" s="3">
        <v>100</v>
      </c>
    </row>
    <row r="9" spans="1:2" x14ac:dyDescent="0.25">
      <c r="A9" s="3" t="s">
        <v>25</v>
      </c>
      <c r="B9" s="3">
        <v>10</v>
      </c>
    </row>
    <row r="10" spans="1:2" x14ac:dyDescent="0.25">
      <c r="A10" s="3" t="s">
        <v>34</v>
      </c>
      <c r="B10" s="3">
        <v>1000</v>
      </c>
    </row>
    <row r="11" spans="1:2" x14ac:dyDescent="0.25">
      <c r="A11" s="3" t="s">
        <v>35</v>
      </c>
      <c r="B11" s="3">
        <v>100</v>
      </c>
    </row>
    <row r="12" spans="1:2" x14ac:dyDescent="0.25">
      <c r="A12" s="3" t="s">
        <v>36</v>
      </c>
      <c r="B12" s="3">
        <v>500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Tracker - Eval</vt:lpstr>
      <vt:lpstr>Multipliers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Basit</cp:lastModifiedBy>
  <dcterms:created xsi:type="dcterms:W3CDTF">2026-08-17T16:33:06Z</dcterms:created>
  <dcterms:modified xsi:type="dcterms:W3CDTF">2026-08-24T01:52:08Z</dcterms:modified>
</cp:coreProperties>
</file>