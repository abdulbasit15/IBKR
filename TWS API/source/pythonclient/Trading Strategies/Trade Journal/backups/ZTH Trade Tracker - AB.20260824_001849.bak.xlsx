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basit\Downloads\Personal\Trade\IBKR\TWS API\source\pythonclient\Trading Strategies\Trade Journal\"/>
    </mc:Choice>
  </mc:AlternateContent>
  <xr:revisionPtr revIDLastSave="0" documentId="13_ncr:1_{6380DC73-D0FF-4563-8DCE-A561BFA91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Tracker - Eval" sheetId="1" r:id="rId1"/>
    <sheet name="Multipliers" sheetId="2" r:id="rId2"/>
    <sheet name="Analysis" sheetId="3" r:id="rId3"/>
    <sheet name="AI Sugges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1" l="1"/>
  <c r="O127" i="1"/>
  <c r="O126" i="1"/>
  <c r="O125" i="1"/>
  <c r="O124" i="1"/>
  <c r="N52" i="1"/>
  <c r="O52" i="1" s="1"/>
  <c r="L52" i="1"/>
  <c r="K52" i="1"/>
  <c r="N51" i="1"/>
  <c r="M51" i="1" s="1"/>
  <c r="L51" i="1"/>
  <c r="K51" i="1"/>
  <c r="N50" i="1"/>
  <c r="O50" i="1" s="1"/>
  <c r="L50" i="1"/>
  <c r="K50" i="1"/>
  <c r="N49" i="1"/>
  <c r="M49" i="1" s="1"/>
  <c r="L49" i="1"/>
  <c r="K49" i="1"/>
  <c r="N48" i="1"/>
  <c r="O48" i="1" s="1"/>
  <c r="L48" i="1"/>
  <c r="K48" i="1"/>
  <c r="N47" i="1"/>
  <c r="M47" i="1" s="1"/>
  <c r="L47" i="1"/>
  <c r="K47" i="1"/>
  <c r="N46" i="1"/>
  <c r="O46" i="1" s="1"/>
  <c r="L46" i="1"/>
  <c r="K46" i="1"/>
  <c r="N45" i="1"/>
  <c r="M45" i="1" s="1"/>
  <c r="L45" i="1"/>
  <c r="K45" i="1"/>
  <c r="N44" i="1"/>
  <c r="O44" i="1" s="1"/>
  <c r="L44" i="1"/>
  <c r="K44" i="1"/>
  <c r="N43" i="1"/>
  <c r="M43" i="1" s="1"/>
  <c r="L43" i="1"/>
  <c r="K43" i="1"/>
  <c r="N42" i="1"/>
  <c r="O42" i="1" s="1"/>
  <c r="L42" i="1"/>
  <c r="K42" i="1"/>
  <c r="N41" i="1"/>
  <c r="M41" i="1" s="1"/>
  <c r="L41" i="1"/>
  <c r="K41" i="1"/>
  <c r="N40" i="1"/>
  <c r="O40" i="1" s="1"/>
  <c r="L40" i="1"/>
  <c r="K40" i="1"/>
  <c r="N39" i="1"/>
  <c r="M39" i="1" s="1"/>
  <c r="L39" i="1"/>
  <c r="K39" i="1"/>
  <c r="N38" i="1"/>
  <c r="O38" i="1" s="1"/>
  <c r="L38" i="1"/>
  <c r="K38" i="1"/>
  <c r="N37" i="1"/>
  <c r="M37" i="1" s="1"/>
  <c r="L37" i="1"/>
  <c r="K37" i="1"/>
  <c r="N36" i="1"/>
  <c r="O36" i="1" s="1"/>
  <c r="L36" i="1"/>
  <c r="K36" i="1"/>
  <c r="N35" i="1"/>
  <c r="M35" i="1" s="1"/>
  <c r="L35" i="1"/>
  <c r="K35" i="1"/>
  <c r="N34" i="1"/>
  <c r="O34" i="1" s="1"/>
  <c r="L34" i="1"/>
  <c r="K34" i="1"/>
  <c r="N33" i="1"/>
  <c r="M33" i="1" s="1"/>
  <c r="L33" i="1"/>
  <c r="K33" i="1"/>
  <c r="N32" i="1"/>
  <c r="O32" i="1" s="1"/>
  <c r="L32" i="1"/>
  <c r="K32" i="1"/>
  <c r="N31" i="1"/>
  <c r="M31" i="1" s="1"/>
  <c r="L31" i="1"/>
  <c r="K31" i="1"/>
  <c r="N30" i="1"/>
  <c r="O30" i="1" s="1"/>
  <c r="L30" i="1"/>
  <c r="K30" i="1"/>
  <c r="N29" i="1"/>
  <c r="M29" i="1" s="1"/>
  <c r="L29" i="1"/>
  <c r="K29" i="1"/>
  <c r="N28" i="1"/>
  <c r="O28" i="1" s="1"/>
  <c r="L28" i="1"/>
  <c r="K28" i="1"/>
  <c r="N27" i="1"/>
  <c r="M27" i="1" s="1"/>
  <c r="L27" i="1"/>
  <c r="K27" i="1"/>
  <c r="N26" i="1"/>
  <c r="O26" i="1" s="1"/>
  <c r="L26" i="1"/>
  <c r="K26" i="1"/>
  <c r="N25" i="1"/>
  <c r="M25" i="1" s="1"/>
  <c r="L25" i="1"/>
  <c r="K25" i="1"/>
  <c r="N24" i="1"/>
  <c r="O24" i="1" s="1"/>
  <c r="L24" i="1"/>
  <c r="K24" i="1"/>
  <c r="N23" i="1"/>
  <c r="M23" i="1" s="1"/>
  <c r="L23" i="1"/>
  <c r="K23" i="1"/>
  <c r="N22" i="1"/>
  <c r="O22" i="1" s="1"/>
  <c r="L22" i="1"/>
  <c r="K22" i="1"/>
  <c r="N21" i="1"/>
  <c r="M21" i="1" s="1"/>
  <c r="L21" i="1"/>
  <c r="K21" i="1"/>
  <c r="N20" i="1"/>
  <c r="O20" i="1" s="1"/>
  <c r="L20" i="1"/>
  <c r="K20" i="1"/>
  <c r="N19" i="1"/>
  <c r="M19" i="1" s="1"/>
  <c r="L19" i="1"/>
  <c r="K19" i="1"/>
  <c r="N18" i="1"/>
  <c r="O18" i="1" s="1"/>
  <c r="L18" i="1"/>
  <c r="K18" i="1"/>
  <c r="N17" i="1"/>
  <c r="M17" i="1" s="1"/>
  <c r="L17" i="1"/>
  <c r="K17" i="1"/>
  <c r="N16" i="1"/>
  <c r="O16" i="1" s="1"/>
  <c r="L16" i="1"/>
  <c r="K16" i="1"/>
  <c r="N15" i="1"/>
  <c r="M15" i="1" s="1"/>
  <c r="L15" i="1"/>
  <c r="K15" i="1"/>
  <c r="N14" i="1"/>
  <c r="O14" i="1" s="1"/>
  <c r="L14" i="1"/>
  <c r="K14" i="1"/>
  <c r="N13" i="1"/>
  <c r="M13" i="1" s="1"/>
  <c r="L13" i="1"/>
  <c r="K13" i="1"/>
  <c r="N12" i="1"/>
  <c r="O12" i="1" s="1"/>
  <c r="L12" i="1"/>
  <c r="K12" i="1"/>
  <c r="N11" i="1"/>
  <c r="M11" i="1" s="1"/>
  <c r="L11" i="1"/>
  <c r="K11" i="1"/>
  <c r="N10" i="1"/>
  <c r="O10" i="1" s="1"/>
  <c r="L10" i="1"/>
  <c r="K10" i="1"/>
  <c r="N9" i="1"/>
  <c r="M9" i="1" s="1"/>
  <c r="L9" i="1"/>
  <c r="K9" i="1"/>
  <c r="N8" i="1"/>
  <c r="O8" i="1" s="1"/>
  <c r="L8" i="1"/>
  <c r="K8" i="1"/>
  <c r="N7" i="1"/>
  <c r="M7" i="1" s="1"/>
  <c r="L7" i="1"/>
  <c r="K7" i="1"/>
  <c r="N6" i="1"/>
  <c r="O6" i="1" s="1"/>
  <c r="L6" i="1"/>
  <c r="K6" i="1"/>
  <c r="N5" i="1"/>
  <c r="M5" i="1" s="1"/>
  <c r="L5" i="1"/>
  <c r="K5" i="1"/>
  <c r="N4" i="1"/>
  <c r="O4" i="1" s="1"/>
  <c r="L4" i="1"/>
  <c r="K4" i="1"/>
  <c r="N3" i="1"/>
  <c r="M3" i="1" s="1"/>
  <c r="L3" i="1"/>
  <c r="K3" i="1"/>
  <c r="N2" i="1"/>
  <c r="P2" i="1" s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L2" i="1"/>
  <c r="K2" i="1"/>
  <c r="O3" i="1" l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M2" i="1"/>
  <c r="M4" i="1"/>
  <c r="M6" i="1"/>
  <c r="M8" i="1"/>
  <c r="M10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8" i="1"/>
  <c r="M40" i="1"/>
  <c r="M42" i="1"/>
  <c r="M44" i="1"/>
  <c r="M46" i="1"/>
  <c r="M48" i="1"/>
  <c r="M50" i="1"/>
  <c r="M52" i="1"/>
  <c r="O2" i="1"/>
</calcChain>
</file>

<file path=xl/sharedStrings.xml><?xml version="1.0" encoding="utf-8"?>
<sst xmlns="http://schemas.openxmlformats.org/spreadsheetml/2006/main" count="401" uniqueCount="157">
  <si>
    <t xml:space="preserve">ZTH </t>
  </si>
  <si>
    <t>Date</t>
  </si>
  <si>
    <t>Time</t>
  </si>
  <si>
    <t>Asset Traded</t>
  </si>
  <si>
    <t>Direction</t>
  </si>
  <si>
    <t>Entry Price</t>
  </si>
  <si>
    <t>Exit Price</t>
  </si>
  <si>
    <t>Position Size</t>
  </si>
  <si>
    <t>Stop Loss</t>
  </si>
  <si>
    <t>Take Profit</t>
  </si>
  <si>
    <t>RR Targeted</t>
  </si>
  <si>
    <t>RR Realized</t>
  </si>
  <si>
    <t>Win/Loss</t>
  </si>
  <si>
    <t>P&amp;L Amount</t>
  </si>
  <si>
    <t>P&amp;L %</t>
  </si>
  <si>
    <t>Cumulative P&amp;L</t>
  </si>
  <si>
    <t>Trade Setup</t>
  </si>
  <si>
    <t>Notes</t>
  </si>
  <si>
    <t>Intrument Level</t>
  </si>
  <si>
    <t>Level Screenshot</t>
  </si>
  <si>
    <t>Trade Screenshot</t>
  </si>
  <si>
    <t>MNQ</t>
  </si>
  <si>
    <t>Long</t>
  </si>
  <si>
    <t>BR</t>
  </si>
  <si>
    <t>https://www.tradingview.com/x/ygjyjXNE/</t>
  </si>
  <si>
    <t>https://www.tradingview.com/x/pqKL41ZW/</t>
  </si>
  <si>
    <t>MGC</t>
  </si>
  <si>
    <t>https://www.tradingview.com/x/soX7jXbm/</t>
  </si>
  <si>
    <t xml:space="preserve">https://www.tradingview.com/x/Hz1BKRjK/ </t>
  </si>
  <si>
    <t>Short</t>
  </si>
  <si>
    <t>Imported from Tradovate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</si>
  <si>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</si>
  <si>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</si>
  <si>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</si>
  <si>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</si>
  <si>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</si>
  <si>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</si>
  <si>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</si>
  <si>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</si>
  <si>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</si>
  <si>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</si>
  <si>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</si>
  <si>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MYM</t>
  </si>
  <si>
    <t>M2K</t>
  </si>
  <si>
    <t>Overview</t>
  </si>
  <si>
    <t>Generated</t>
  </si>
  <si>
    <t>2026-08-23 23:38</t>
  </si>
  <si>
    <t>Date range</t>
  </si>
  <si>
    <t>2026-08-11 → 2026-08-23</t>
  </si>
  <si>
    <t>Trades</t>
  </si>
  <si>
    <t>Win rate</t>
  </si>
  <si>
    <t>52.9%</t>
  </si>
  <si>
    <t>Total P&amp;L</t>
  </si>
  <si>
    <t>Profit factor</t>
  </si>
  <si>
    <t>Expectancy / trade</t>
  </si>
  <si>
    <t>Avg win</t>
  </si>
  <si>
    <t>Avg loss</t>
  </si>
  <si>
    <t>Avg RR targeted</t>
  </si>
  <si>
    <t>Avg RR realized</t>
  </si>
  <si>
    <t>Max drawdown</t>
  </si>
  <si>
    <t>Max win streak</t>
  </si>
  <si>
    <t>Max loss streak</t>
  </si>
  <si>
    <t>By Setup</t>
  </si>
  <si>
    <t>Setup</t>
  </si>
  <si>
    <t>Win %</t>
  </si>
  <si>
    <t>Expectancy</t>
  </si>
  <si>
    <t>(blank)</t>
  </si>
  <si>
    <t>52%</t>
  </si>
  <si>
    <t>67%</t>
  </si>
  <si>
    <t>By Instrument</t>
  </si>
  <si>
    <t>Instrument</t>
  </si>
  <si>
    <t>47%</t>
  </si>
  <si>
    <t>62%</t>
  </si>
  <si>
    <t>By Direction</t>
  </si>
  <si>
    <t>55%</t>
  </si>
  <si>
    <t>50%</t>
  </si>
  <si>
    <t>By Hour</t>
  </si>
  <si>
    <t>Hour</t>
  </si>
  <si>
    <t>08:00</t>
  </si>
  <si>
    <t>0%</t>
  </si>
  <si>
    <t>09:00</t>
  </si>
  <si>
    <t>82%</t>
  </si>
  <si>
    <t>10:00</t>
  </si>
  <si>
    <t>38%</t>
  </si>
  <si>
    <t>11:00</t>
  </si>
  <si>
    <t>12:00</t>
  </si>
  <si>
    <t>100%</t>
  </si>
  <si>
    <t>14:00</t>
  </si>
  <si>
    <t>15:00</t>
  </si>
  <si>
    <t>19:00</t>
  </si>
  <si>
    <t>20:00</t>
  </si>
  <si>
    <t>21:00</t>
  </si>
  <si>
    <t>22:00</t>
  </si>
  <si>
    <t>25%</t>
  </si>
  <si>
    <t>23:00</t>
  </si>
  <si>
    <t>By Day of Week</t>
  </si>
  <si>
    <t>Day</t>
  </si>
  <si>
    <t>Thu</t>
  </si>
  <si>
    <t>43%</t>
  </si>
  <si>
    <t>Fri</t>
  </si>
  <si>
    <t>86%</t>
  </si>
  <si>
    <t>Mon</t>
  </si>
  <si>
    <t>Sun</t>
  </si>
  <si>
    <t>40%</t>
  </si>
  <si>
    <t>Tue</t>
  </si>
  <si>
    <t>44%</t>
  </si>
  <si>
    <t>Wed</t>
  </si>
  <si>
    <t>54%</t>
  </si>
  <si>
    <t>Behavior Flags</t>
  </si>
  <si>
    <t>Overtrading</t>
  </si>
  <si>
    <t>11 trades on 2026-08-11 (&gt; 6)</t>
  </si>
  <si>
    <t>9 trades on 2026-08-12 (&gt; 6)</t>
  </si>
  <si>
    <t>Possible revenge trade</t>
  </si>
  <si>
    <t>MGC Short at 08/11 19:34 — 4 min after a loss, size 10</t>
  </si>
  <si>
    <t>MGC Long at 08/11 23:25 — 14 min after a loss, size 10</t>
  </si>
  <si>
    <t>MGC Short at 08/11 23:36 — 11 min after a loss, size 20</t>
  </si>
  <si>
    <t>MGC Short at 08/13 22:59 — 9 min after a loss, size 3</t>
  </si>
  <si>
    <t>MGC Long at 08/18 10:08 — 8 min after a loss, size 3</t>
  </si>
  <si>
    <t>MNQ Short at 08/18 10:21 — 5 min after a loss, size 3</t>
  </si>
  <si>
    <t>MGC Long at 08/23 19:46 — 11 min after a loss, size 1</t>
  </si>
  <si>
    <t>MGC Long at 08/23 20:28 — 5 min after a loss, size 2</t>
  </si>
  <si>
    <t>Stop overrun</t>
  </si>
  <si>
    <t>MNQ 08/12 11:57 realized RR -1.19 (worse than -1R)</t>
  </si>
  <si>
    <t>MNQ 08/18 10:21 realized RR -1.19 (worse than -1R)</t>
  </si>
  <si>
    <t>Winner cut short</t>
  </si>
  <si>
    <t>MGC 08/11 19:27 took 0.18R of 0.42R target</t>
  </si>
  <si>
    <t>Inconsistent sizing</t>
  </si>
  <si>
    <t>Position size varies a lot (CV 1.12)</t>
  </si>
  <si>
    <t>Negative-edge hour</t>
  </si>
  <si>
    <t>10:00: 8 trades, 38% win, $-213 total</t>
  </si>
  <si>
    <t>23:00: 4 trades, 25% win, $-840 total</t>
  </si>
  <si>
    <t>19:00: 6 trades, 50% win, $-1552 total</t>
  </si>
  <si>
    <t>Claude AI Coaching</t>
  </si>
  <si>
    <t>## Overall Assessment</t>
  </si>
  <si>
    <t>51 trades over Aug 11-23, net **+$1,492** — but a profit factor of just **1.25** and **+$29/trade** expectancy. You're net green, yet the edge is thin and lopsided: nearly all your profit comes from longs and the 9 AM hour, while your short side and your overnight sessions actively bleed. Win rate 53%, avg win $273 vs avg loss $245, max drawdown **-$1,750**, worst streak 4 losses. The headline profit is really "great mornings paying for bad nights."</t>
  </si>
  <si>
    <t>## What's Working</t>
  </si>
  <si>
    <t>- **Longs are your edge:** +$2,443 across 31 longs (55% win, +$79/trade). This is essentially your entire P&amp;L.</t>
  </si>
  <si>
    <t>- **The 9 AM hour is elite:** +$1,867 over 11 trades at **82% win rate** (+$170/trade). Your single best, most repeatable window.</t>
  </si>
  <si>
    <t>- **Thursday (+$973) and Friday (+$648, 86% win)** are your strongest days.</t>
  </si>
  <si>
    <t>- When you trade small size in the morning, you are clearly, consistently profitable.</t>
  </si>
  <si>
    <t>## Behavioral Patterns &amp; Leaks</t>
  </si>
  <si>
    <t>- **Your short side is a net loser: -$951 over 20 shorts** (-$47/trade) despite a 50% win rate — your short losses badly outweigh your short wins. Had you simply not shorted, you'd be up ~$2,443.</t>
  </si>
  <si>
    <t>- **Overnight sessions destroy capital:** 19:00 **-$1,552**, 23:00 **-$840**, 10:00 -$213 — roughly **-$2,600** from three hours, mostly thin-liquidity late sessions.</t>
  </si>
  <si>
    <t>- **Overtrading &amp; revenge spirals:** 11 trades on 8/11 and 9 on 8/12, with **8 flagged revenge trades** (entered 4-14 min after a loss, often up-sized). The 8/11 late-night run (19:00-23:00) has every tilt fingerprint: a position flip, size jumping to 10-30 lots, and back-to-back losses.</t>
  </si>
  <si>
    <t>- **Position sizing is wildly inconsistent (CV 1.12)** — 1 to 30 contracts. Your largest win ($2,160 on 30 lots) and largest loss ($1,310 on a flip) both came from oversizing. That's variance masquerading as edge.</t>
  </si>
  <si>
    <t>- **You capture almost none of your planned reward:** realized RR ~0.0 vs targeted 1.45; one winner cut at 0.18R of a 0.42R target, plus two stop overruns on MNQ (-1.19R).</t>
  </si>
  <si>
    <t>## Market &amp; News Context</t>
  </si>
  <si>
    <t>- Your profitable longs generally aligned with up-trending morning sessions; the overnight losses cluster in thin, low-liquidity gold/index hours where noise dominates and stops get run.</t>
  </si>
  <si>
    <t>- News overlay: most of this window predates the free economic-calendar feed, so treat the market notes as price-action context. Going forward, high-impact USD events (CPI, FOMC, NFP) will auto-appear per day — avoid initiating in the minutes around them.</t>
  </si>
  <si>
    <t>## Instrument &amp; Setup Notes</t>
  </si>
  <si>
    <t>- **MGC:** 30 trades, 47% win, +$1,001 — high volume but choppy; nearly all the overtrading and revenge flags live here, especially late at night.</t>
  </si>
  <si>
    <t>- **MNQ:** 21 trades, **62% win**, +$492 — cleaner and higher-probability than your gold trading.</t>
  </si>
  <si>
    <t>- **Setups are untagged** on imported trades. Start tagging each trade's setup so the by-setup breakdown can reveal which patterns actually pay.</t>
  </si>
  <si>
    <t>## Top 3 Actionable Changes</t>
  </si>
  <si>
    <t>1. **Trade long-biased, mornings only.** Shorts (-$951) and the 19:00/23:00 hours (-$2,392) are your entire drag. Concentrate on longs in the 9 AM-12 PM window and your equity curve straightens out dramatically.</t>
  </si>
  <si>
    <t>2. **Fix a single position size** (e.g., 3 MGC / 3 MNQ). Your 10-30 lot trades add huge variance without lifting win rate. Consistent size is what makes every other stat trustworthy.</t>
  </si>
  <si>
    <t>3. **Install a daily circuit breaker: stop after 2 losses or 6 trades.** The 8/11-8/12 overtrading and 8 revenge entries are textbook tilt; a hard daily loss/trade cap would have prevented most of your -$1,750 drawdown.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</si>
</sst>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ptos"/>
    </font>
    <font>
      <u/>
      <sz val="11"/>
      <color theme="10"/>
      <name val="Calibri"/>
      <scheme val="minor"/>
    </font>
    <font>
      <b/>
      <sz val="13"/>
      <color rgb="FF111827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0">
    <xf numFmtId="0" fontId="0" fillId="0" borderId="0" xfId="0" applyBorder="1"/>
    <xf numFmtId="0" fontId="1" fillId="2" borderId="1" xfId="0" applyFont="1" applyFill="1"/>
    <xf numFmtId="0" fontId="2" fillId="3" borderId="2" xfId="0" applyFont="1" applyFill="1" applyBorder="1" applyAlignment="1">
      <alignment horizontal="left" vertical="top" wrapText="1"/>
    </xf>
    <xf numFmtId="0" fontId="3" fillId="0" borderId="0" xfId="0" applyFont="1" applyBorder="1"/>
    <xf numFmtId="2" fontId="2" fillId="3" borderId="2" xfId="0" applyNumberFormat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4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 vertical="top" wrapText="1"/>
    </xf>
    <xf numFmtId="2" fontId="3" fillId="0" borderId="0" xfId="0" applyNumberFormat="1" applyFont="1" applyBorder="1" applyAlignment="1">
      <alignment horizontal="left" vertical="top" wrapText="1"/>
    </xf>
    <xf numFmtId="10" fontId="4" fillId="0" borderId="0" xfId="0" applyNumberFormat="1" applyFont="1" applyBorder="1" applyAlignment="1">
      <alignment horizontal="left" vertical="top" wrapText="1"/>
    </xf>
    <xf numFmtId="20" fontId="3" fillId="0" borderId="0" xfId="0" applyNumberFormat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0" xfId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0" fontId="7" fillId="0" borderId="0" xfId="0" applyFont="1" applyBorder="1"/>
    <xf numFmtId="0" fontId="8" fillId="4" borderId="0" xfId="0" applyFont="1" applyFill="1" applyBorder="1"/>
    <xf numFmtId="0" fontId="0" fillId="0" borderId="0" xfId="0" applyBorder="1" applyAlignment="1">
      <alignment vertical="top" wrapText="1"/>
    </xf>
    <xf numFmtId="4" fontId="2" fillId="3" borderId="2" xfId="0" applyNumberFormat="1" applyFont="1" applyFill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left" vertical="top" wrapText="1"/>
    </xf>
    <xf numFmtId="4" fontId="0" fillId="0" borderId="0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radingview.com/x/Hz1BKRjK/" TargetMode="External"/><Relationship Id="rId1" Type="http://schemas.openxmlformats.org/officeDocument/2006/relationships/hyperlink" Target="https://www.tradingview.com/x/soX7jXb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28" activePane="bottomLeft" state="frozen"/>
      <selection pane="bottomLeft" activeCell="N47" sqref="N47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style="19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17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/>
      <c r="W1" s="5"/>
      <c r="X1" s="5"/>
      <c r="Y1" s="5"/>
      <c r="Z1" s="5"/>
      <c r="AA1" s="5"/>
    </row>
    <row r="2" spans="1:27" x14ac:dyDescent="0.25">
      <c r="A2" s="5">
        <v>7</v>
      </c>
      <c r="B2" s="6">
        <v>46251</v>
      </c>
      <c r="C2" s="10">
        <v>0.41319444444444442</v>
      </c>
      <c r="D2" s="5" t="s">
        <v>21</v>
      </c>
      <c r="E2" s="5" t="s">
        <v>22</v>
      </c>
      <c r="F2" s="7">
        <v>30240.75</v>
      </c>
      <c r="G2" s="7">
        <v>30220</v>
      </c>
      <c r="H2" s="5">
        <v>3</v>
      </c>
      <c r="I2" s="7">
        <v>30220.75</v>
      </c>
      <c r="J2" s="7">
        <v>30280.75</v>
      </c>
      <c r="K2" s="8">
        <f t="shared" ref="K2:K33" si="0">IF(AND(I2&lt;&gt;"",J2&lt;&gt;"",F2&lt;&gt;""), (J2-F2)/(F2-I2), "")</f>
        <v>2</v>
      </c>
      <c r="L2" s="8">
        <f t="shared" ref="L2:L33" si="1">IF(AND(F2&lt;&gt;"",G2&lt;&gt;"",I2&lt;&gt;""), (G2-F2)/(F2-I2), "")</f>
        <v>-1.0375000000000001</v>
      </c>
      <c r="M2" s="5" t="str">
        <f t="shared" ref="M2:M33" si="2">IF(N2&gt;0,"Win",IF(N2&lt;0,"Loss",""))</f>
        <v>Loss</v>
      </c>
      <c r="N2" s="18">
        <f>IF(AND(F2&lt;&gt;"",G2&lt;&gt;"",H2&lt;&gt;"",D2&lt;&gt;""), IF(E2="Long", (G2-F2)*H2*VLOOKUP(D2,Multipliers!A:B,2,FALSE), (F2-G2)*H2*VLOOKUP(D2,Multipliers!A:B,2,FALSE)), "")</f>
        <v>-124.5</v>
      </c>
      <c r="O2" s="9">
        <f>IF(AND(N2&lt;&gt;"",F2&lt;&gt;"",H2&lt;&gt;"",D2&lt;&gt;""), N2/(F2*H2*VLOOKUP(D2,Multipliers!A:B,2,FALSE)), "")</f>
        <v>-6.8616023081438128E-4</v>
      </c>
      <c r="P2" s="5">
        <f>N2</f>
        <v>-124.5</v>
      </c>
      <c r="Q2" s="5" t="s">
        <v>23</v>
      </c>
      <c r="R2" s="5"/>
      <c r="S2" s="5" t="s">
        <v>21</v>
      </c>
      <c r="T2" s="5" t="s">
        <v>24</v>
      </c>
      <c r="U2" s="5" t="s">
        <v>25</v>
      </c>
      <c r="V2" s="5"/>
      <c r="W2" s="5"/>
      <c r="X2" s="5"/>
      <c r="Y2" s="5"/>
      <c r="Z2" s="5"/>
      <c r="AA2" s="5"/>
    </row>
    <row r="3" spans="1:27" ht="18" customHeight="1" x14ac:dyDescent="0.25">
      <c r="A3" s="5">
        <v>8</v>
      </c>
      <c r="B3" s="6">
        <v>46251</v>
      </c>
      <c r="C3" s="10">
        <v>0.42291666666666672</v>
      </c>
      <c r="D3" s="5" t="s">
        <v>26</v>
      </c>
      <c r="E3" s="5" t="s">
        <v>22</v>
      </c>
      <c r="F3" s="7">
        <v>4461.3999999999996</v>
      </c>
      <c r="G3" s="7">
        <v>4473.3999999999996</v>
      </c>
      <c r="H3" s="5">
        <v>2</v>
      </c>
      <c r="I3" s="7">
        <v>4455.3999999999996</v>
      </c>
      <c r="J3" s="7">
        <v>4473.3999999999996</v>
      </c>
      <c r="K3" s="8">
        <f t="shared" si="0"/>
        <v>2</v>
      </c>
      <c r="L3" s="8">
        <f t="shared" si="1"/>
        <v>2</v>
      </c>
      <c r="M3" s="5" t="str">
        <f t="shared" si="2"/>
        <v>Win</v>
      </c>
      <c r="N3" s="18">
        <f>IF(AND(F3&lt;&gt;"",G3&lt;&gt;"",H3&lt;&gt;"",D3&lt;&gt;""), IF(E3="Long", (G3-F3)*H3*VLOOKUP(D3,Multipliers!A:B,2,FALSE), (F3-G3)*H3*VLOOKUP(D3,Multipliers!A:B,2,FALSE)), "")</f>
        <v>240</v>
      </c>
      <c r="O3" s="9">
        <f>IF(AND(N3&lt;&gt;"",F3&lt;&gt;"",H3&lt;&gt;"",D3&lt;&gt;""), N3/(F3*H3*VLOOKUP(D3,Multipliers!A:B,2,FALSE)), "")</f>
        <v>2.6897386470614605E-3</v>
      </c>
      <c r="P3" s="5">
        <f t="shared" ref="P3:P34" si="3">P2+N3</f>
        <v>115.5</v>
      </c>
      <c r="Q3" s="5" t="s">
        <v>23</v>
      </c>
      <c r="R3" s="5"/>
      <c r="S3" s="5" t="s">
        <v>26</v>
      </c>
      <c r="T3" s="12" t="s">
        <v>27</v>
      </c>
      <c r="U3" s="12" t="s">
        <v>28</v>
      </c>
      <c r="V3" s="5"/>
      <c r="W3" s="5"/>
      <c r="X3" s="5"/>
      <c r="Y3" s="5"/>
      <c r="Z3" s="5"/>
      <c r="AA3" s="5"/>
    </row>
    <row r="4" spans="1:27" x14ac:dyDescent="0.25">
      <c r="A4" s="5">
        <v>9</v>
      </c>
      <c r="B4" s="6">
        <v>46251</v>
      </c>
      <c r="C4" s="10">
        <v>0.49375000000000002</v>
      </c>
      <c r="D4" s="5" t="s">
        <v>21</v>
      </c>
      <c r="E4" s="5" t="s">
        <v>29</v>
      </c>
      <c r="F4" s="7">
        <v>30237.75</v>
      </c>
      <c r="G4" s="7">
        <v>30221.5</v>
      </c>
      <c r="H4" s="5">
        <v>3</v>
      </c>
      <c r="I4" s="7">
        <v>30257.75</v>
      </c>
      <c r="J4" s="7">
        <v>30221.5</v>
      </c>
      <c r="K4" s="8">
        <f t="shared" si="0"/>
        <v>0.8125</v>
      </c>
      <c r="L4" s="8">
        <f t="shared" si="1"/>
        <v>0.8125</v>
      </c>
      <c r="M4" s="5" t="str">
        <f t="shared" si="2"/>
        <v>Win</v>
      </c>
      <c r="N4" s="18">
        <f>IF(AND(F4&lt;&gt;"",G4&lt;&gt;"",H4&lt;&gt;"",D4&lt;&gt;""), IF(E4="Long", (G4-F4)*H4*VLOOKUP(D4,Multipliers!A:B,2,FALSE), (F4-G4)*H4*VLOOKUP(D4,Multipliers!A:B,2,FALSE)), "")</f>
        <v>97.5</v>
      </c>
      <c r="O4" s="9">
        <f>IF(AND(N4&lt;&gt;"",F4&lt;&gt;"",H4&lt;&gt;"",D4&lt;&gt;""), N4/(F4*H4*VLOOKUP(D4,Multipliers!A:B,2,FALSE)), "")</f>
        <v>5.3740771056047488E-4</v>
      </c>
      <c r="P4" s="5">
        <f t="shared" si="3"/>
        <v>213</v>
      </c>
      <c r="Q4" s="5" t="s">
        <v>23</v>
      </c>
      <c r="R4" s="5"/>
      <c r="S4" s="5" t="s">
        <v>21</v>
      </c>
      <c r="T4" s="5"/>
      <c r="U4" s="5" t="s">
        <v>25</v>
      </c>
      <c r="V4" s="5"/>
      <c r="W4" s="5"/>
      <c r="X4" s="5"/>
      <c r="Y4" s="5"/>
      <c r="Z4" s="5"/>
      <c r="AA4" s="5"/>
    </row>
    <row r="5" spans="1:27" ht="75" x14ac:dyDescent="0.25">
      <c r="A5" s="5">
        <v>10</v>
      </c>
      <c r="B5" s="13">
        <v>46245</v>
      </c>
      <c r="C5" s="10">
        <v>0.81082175925925926</v>
      </c>
      <c r="D5" s="5" t="s">
        <v>26</v>
      </c>
      <c r="E5" s="5" t="s">
        <v>22</v>
      </c>
      <c r="F5" s="7">
        <v>4429.1000000000004</v>
      </c>
      <c r="G5" s="7">
        <v>4430.1000000000004</v>
      </c>
      <c r="H5" s="5">
        <v>3</v>
      </c>
      <c r="I5" s="7">
        <v>4423.3999999999996</v>
      </c>
      <c r="J5" s="7">
        <v>4431.5</v>
      </c>
      <c r="K5" s="8">
        <f t="shared" si="0"/>
        <v>0.42105263157882977</v>
      </c>
      <c r="L5" s="8">
        <f t="shared" si="1"/>
        <v>0.17543859649120569</v>
      </c>
      <c r="M5" s="5" t="str">
        <f t="shared" si="2"/>
        <v>Win</v>
      </c>
      <c r="N5" s="18">
        <f>IF(AND(F5&lt;&gt;"",G5&lt;&gt;"",H5&lt;&gt;"",D5&lt;&gt;""), IF(E5="Long", (G5-F5)*H5*VLOOKUP(D5,Multipliers!A:B,2,FALSE), (F5-G5)*H5*VLOOKUP(D5,Multipliers!A:B,2,FALSE)), "")</f>
        <v>30</v>
      </c>
      <c r="O5" s="9">
        <f>IF(AND(N5&lt;&gt;"",F5&lt;&gt;"",H5&lt;&gt;"",D5&lt;&gt;""), N5/(F5*H5*VLOOKUP(D5,Multipliers!A:B,2,FALSE)), "")</f>
        <v>2.2577950373665079E-4</v>
      </c>
      <c r="P5" s="5">
        <f t="shared" si="3"/>
        <v>243</v>
      </c>
      <c r="Q5" s="5"/>
      <c r="R5" s="5" t="s">
        <v>30</v>
      </c>
      <c r="S5" s="5" t="s">
        <v>26</v>
      </c>
      <c r="T5" s="5"/>
      <c r="U5" s="5"/>
      <c r="V5" s="5"/>
      <c r="W5" s="5"/>
      <c r="X5" s="5"/>
      <c r="Y5" s="5"/>
      <c r="Z5" s="5"/>
      <c r="AA5" s="5"/>
    </row>
    <row r="6" spans="1:27" ht="75" x14ac:dyDescent="0.25">
      <c r="A6" s="5">
        <v>11</v>
      </c>
      <c r="B6" s="13">
        <v>46245</v>
      </c>
      <c r="C6" s="10">
        <v>0.81194444444444447</v>
      </c>
      <c r="D6" s="5" t="s">
        <v>26</v>
      </c>
      <c r="E6" s="5" t="s">
        <v>29</v>
      </c>
      <c r="F6" s="7">
        <v>4431.6000000000004</v>
      </c>
      <c r="G6" s="7">
        <v>4430.5</v>
      </c>
      <c r="H6" s="5">
        <v>10</v>
      </c>
      <c r="I6" s="7"/>
      <c r="J6" s="7">
        <v>4430.5</v>
      </c>
      <c r="K6" s="8" t="str">
        <f t="shared" si="0"/>
        <v/>
      </c>
      <c r="L6" s="8" t="str">
        <f t="shared" si="1"/>
        <v/>
      </c>
      <c r="M6" s="5" t="str">
        <f t="shared" si="2"/>
        <v>Win</v>
      </c>
      <c r="N6" s="18">
        <f>IF(AND(F6&lt;&gt;"",G6&lt;&gt;"",H6&lt;&gt;"",D6&lt;&gt;""), IF(E6="Long", (G6-F6)*H6*VLOOKUP(D6,Multipliers!A:B,2,FALSE), (F6-G6)*H6*VLOOKUP(D6,Multipliers!A:B,2,FALSE)), "")</f>
        <v>110.00000000003638</v>
      </c>
      <c r="O6" s="9">
        <f>IF(AND(N6&lt;&gt;"",F6&lt;&gt;"",H6&lt;&gt;"",D6&lt;&gt;""), N6/(F6*H6*VLOOKUP(D6,Multipliers!A:B,2,FALSE)), "")</f>
        <v>2.4821734813619545E-4</v>
      </c>
      <c r="P6" s="5">
        <f t="shared" si="3"/>
        <v>353.00000000003638</v>
      </c>
      <c r="Q6" s="5"/>
      <c r="R6" s="5" t="s">
        <v>30</v>
      </c>
      <c r="S6" s="5" t="s">
        <v>26</v>
      </c>
      <c r="T6" s="5"/>
      <c r="U6" s="5"/>
      <c r="V6" s="5"/>
      <c r="W6" s="5"/>
      <c r="X6" s="5"/>
      <c r="Y6" s="5"/>
      <c r="Z6" s="5"/>
      <c r="AA6" s="5"/>
    </row>
    <row r="7" spans="1:27" ht="75" x14ac:dyDescent="0.25">
      <c r="A7" s="5">
        <v>12</v>
      </c>
      <c r="B7" s="13">
        <v>46245</v>
      </c>
      <c r="C7" s="10">
        <v>0.81283564814814813</v>
      </c>
      <c r="D7" s="5" t="s">
        <v>26</v>
      </c>
      <c r="E7" s="5" t="s">
        <v>22</v>
      </c>
      <c r="F7" s="7">
        <v>4430.6000000000004</v>
      </c>
      <c r="G7" s="7">
        <v>4426.2</v>
      </c>
      <c r="H7" s="5">
        <v>10</v>
      </c>
      <c r="I7" s="7">
        <v>4423.3999999999996</v>
      </c>
      <c r="J7" s="7">
        <v>4431.5</v>
      </c>
      <c r="K7" s="8">
        <f t="shared" si="0"/>
        <v>0.12499999999993684</v>
      </c>
      <c r="L7" s="8">
        <f t="shared" si="1"/>
        <v>-0.61111111111112515</v>
      </c>
      <c r="M7" s="5" t="str">
        <f t="shared" si="2"/>
        <v>Loss</v>
      </c>
      <c r="N7" s="18">
        <f>IF(AND(F7&lt;&gt;"",G7&lt;&gt;"",H7&lt;&gt;"",D7&lt;&gt;""), IF(E7="Long", (G7-F7)*H7*VLOOKUP(D7,Multipliers!A:B,2,FALSE), (F7-G7)*H7*VLOOKUP(D7,Multipliers!A:B,2,FALSE)), "")</f>
        <v>-440.00000000005457</v>
      </c>
      <c r="O7" s="9">
        <f>IF(AND(N7&lt;&gt;"",F7&lt;&gt;"",H7&lt;&gt;"",D7&lt;&gt;""), N7/(F7*H7*VLOOKUP(D7,Multipliers!A:B,2,FALSE)), "")</f>
        <v>-9.9309348620966586E-4</v>
      </c>
      <c r="P7" s="5">
        <f t="shared" si="3"/>
        <v>-87.00000000001819</v>
      </c>
      <c r="Q7" s="5"/>
      <c r="R7" s="5" t="s">
        <v>30</v>
      </c>
      <c r="S7" s="5" t="s">
        <v>26</v>
      </c>
      <c r="T7" s="5"/>
      <c r="U7" s="5"/>
      <c r="V7" s="5"/>
      <c r="W7" s="5"/>
      <c r="X7" s="5"/>
      <c r="Y7" s="5"/>
      <c r="Z7" s="5"/>
      <c r="AA7" s="5"/>
    </row>
    <row r="8" spans="1:27" ht="75" x14ac:dyDescent="0.25">
      <c r="A8" s="5">
        <v>13</v>
      </c>
      <c r="B8" s="13">
        <v>46245</v>
      </c>
      <c r="C8" s="10">
        <v>0.81564814814814812</v>
      </c>
      <c r="D8" s="5" t="s">
        <v>26</v>
      </c>
      <c r="E8" s="5" t="s">
        <v>29</v>
      </c>
      <c r="F8" s="7">
        <v>4427</v>
      </c>
      <c r="G8" s="7">
        <v>4440.1000000000004</v>
      </c>
      <c r="H8" s="5">
        <v>10</v>
      </c>
      <c r="I8" s="7"/>
      <c r="J8" s="7">
        <v>4426.8</v>
      </c>
      <c r="K8" s="8" t="str">
        <f t="shared" si="0"/>
        <v/>
      </c>
      <c r="L8" s="8" t="str">
        <f t="shared" si="1"/>
        <v/>
      </c>
      <c r="M8" s="5" t="str">
        <f t="shared" si="2"/>
        <v>Loss</v>
      </c>
      <c r="N8" s="18">
        <f>IF(AND(F8&lt;&gt;"",G8&lt;&gt;"",H8&lt;&gt;"",D8&lt;&gt;""), IF(E8="Long", (G8-F8)*H8*VLOOKUP(D8,Multipliers!A:B,2,FALSE), (F8-G8)*H8*VLOOKUP(D8,Multipliers!A:B,2,FALSE)), "")</f>
        <v>-1310.0000000000364</v>
      </c>
      <c r="O8" s="9">
        <f>IF(AND(N8&lt;&gt;"",F8&lt;&gt;"",H8&lt;&gt;"",D8&lt;&gt;""), N8/(F8*H8*VLOOKUP(D8,Multipliers!A:B,2,FALSE)), "")</f>
        <v>-2.959114524508779E-3</v>
      </c>
      <c r="P8" s="5">
        <f t="shared" si="3"/>
        <v>-1397.0000000000546</v>
      </c>
      <c r="Q8" s="5"/>
      <c r="R8" s="5" t="s">
        <v>30</v>
      </c>
      <c r="S8" s="5" t="s">
        <v>26</v>
      </c>
      <c r="T8" s="5"/>
      <c r="U8" s="5"/>
      <c r="V8" s="5"/>
      <c r="W8" s="5"/>
      <c r="X8" s="5"/>
      <c r="Y8" s="5"/>
      <c r="Z8" s="5"/>
      <c r="AA8" s="5"/>
    </row>
    <row r="9" spans="1:27" ht="75" x14ac:dyDescent="0.25">
      <c r="A9" s="5">
        <v>14</v>
      </c>
      <c r="B9" s="13">
        <v>46245</v>
      </c>
      <c r="C9" s="10">
        <v>0.85517361111111112</v>
      </c>
      <c r="D9" s="5" t="s">
        <v>26</v>
      </c>
      <c r="E9" s="5" t="s">
        <v>22</v>
      </c>
      <c r="F9" s="7">
        <v>4440.1000000000004</v>
      </c>
      <c r="G9" s="7">
        <v>4443.8</v>
      </c>
      <c r="H9" s="5">
        <v>10</v>
      </c>
      <c r="I9" s="7"/>
      <c r="J9" s="7">
        <v>4443.8</v>
      </c>
      <c r="K9" s="8" t="str">
        <f t="shared" si="0"/>
        <v/>
      </c>
      <c r="L9" s="8" t="str">
        <f t="shared" si="1"/>
        <v/>
      </c>
      <c r="M9" s="5" t="str">
        <f t="shared" si="2"/>
        <v>Win</v>
      </c>
      <c r="N9" s="18">
        <f>IF(AND(F9&lt;&gt;"",G9&lt;&gt;"",H9&lt;&gt;"",D9&lt;&gt;""), IF(E9="Long", (G9-F9)*H9*VLOOKUP(D9,Multipliers!A:B,2,FALSE), (F9-G9)*H9*VLOOKUP(D9,Multipliers!A:B,2,FALSE)), "")</f>
        <v>369.99999999998181</v>
      </c>
      <c r="O9" s="9">
        <f>IF(AND(N9&lt;&gt;"",F9&lt;&gt;"",H9&lt;&gt;"",D9&lt;&gt;""), N9/(F9*H9*VLOOKUP(D9,Multipliers!A:B,2,FALSE)), "")</f>
        <v>8.3331456498723412E-4</v>
      </c>
      <c r="P9" s="5">
        <f t="shared" si="3"/>
        <v>-1027.0000000000728</v>
      </c>
      <c r="Q9" s="5"/>
      <c r="R9" s="5" t="s">
        <v>30</v>
      </c>
      <c r="S9" s="5" t="s">
        <v>26</v>
      </c>
      <c r="T9" s="5"/>
      <c r="U9" s="5"/>
      <c r="V9" s="5"/>
      <c r="W9" s="5"/>
      <c r="X9" s="5"/>
      <c r="Y9" s="5"/>
      <c r="Z9" s="5"/>
      <c r="AA9" s="5"/>
    </row>
    <row r="10" spans="1:27" ht="75" x14ac:dyDescent="0.25">
      <c r="A10" s="5">
        <v>15</v>
      </c>
      <c r="B10" s="13">
        <v>46245</v>
      </c>
      <c r="C10" s="10">
        <v>0.88615740740740745</v>
      </c>
      <c r="D10" s="5" t="s">
        <v>26</v>
      </c>
      <c r="E10" s="5" t="s">
        <v>22</v>
      </c>
      <c r="F10" s="7">
        <v>4457.1666670000004</v>
      </c>
      <c r="G10" s="7">
        <v>4457.8</v>
      </c>
      <c r="H10" s="5">
        <v>30</v>
      </c>
      <c r="I10" s="7"/>
      <c r="J10" s="7">
        <v>4472.1000000000004</v>
      </c>
      <c r="K10" s="8" t="str">
        <f t="shared" si="0"/>
        <v/>
      </c>
      <c r="L10" s="8" t="str">
        <f t="shared" si="1"/>
        <v/>
      </c>
      <c r="M10" s="5" t="str">
        <f t="shared" si="2"/>
        <v>Win</v>
      </c>
      <c r="N10" s="18">
        <f>IF(AND(F10&lt;&gt;"",G10&lt;&gt;"",H10&lt;&gt;"",D10&lt;&gt;""), IF(E10="Long", (G10-F10)*H10*VLOOKUP(D10,Multipliers!A:B,2,FALSE), (F10-G10)*H10*VLOOKUP(D10,Multipliers!A:B,2,FALSE)), "")</f>
        <v>189.99989999992977</v>
      </c>
      <c r="O10" s="9">
        <f>IF(AND(N10&lt;&gt;"",F10&lt;&gt;"",H10&lt;&gt;"",D10&lt;&gt;""), N10/(F10*H10*VLOOKUP(D10,Multipliers!A:B,2,FALSE)), "")</f>
        <v>1.4209318325223078E-4</v>
      </c>
      <c r="P10" s="5">
        <f t="shared" si="3"/>
        <v>-837.00010000014299</v>
      </c>
      <c r="Q10" s="5"/>
      <c r="R10" s="5" t="s">
        <v>30</v>
      </c>
      <c r="S10" s="5" t="s">
        <v>26</v>
      </c>
      <c r="T10" s="5"/>
      <c r="U10" s="5"/>
      <c r="V10" s="5"/>
      <c r="W10" s="5"/>
      <c r="X10" s="5"/>
      <c r="Y10" s="5"/>
      <c r="Z10" s="5"/>
      <c r="AA10" s="5"/>
    </row>
    <row r="11" spans="1:27" ht="75" x14ac:dyDescent="0.25">
      <c r="A11" s="5">
        <v>16</v>
      </c>
      <c r="B11" s="13">
        <v>46245</v>
      </c>
      <c r="C11" s="10">
        <v>0.94464120370370375</v>
      </c>
      <c r="D11" s="5" t="s">
        <v>26</v>
      </c>
      <c r="E11" s="5" t="s">
        <v>22</v>
      </c>
      <c r="F11" s="7">
        <v>4461.8</v>
      </c>
      <c r="G11" s="7">
        <v>4469</v>
      </c>
      <c r="H11" s="5">
        <v>30</v>
      </c>
      <c r="I11" s="7"/>
      <c r="J11" s="7">
        <v>4474.1000000000004</v>
      </c>
      <c r="K11" s="8" t="str">
        <f t="shared" si="0"/>
        <v/>
      </c>
      <c r="L11" s="8" t="str">
        <f t="shared" si="1"/>
        <v/>
      </c>
      <c r="M11" s="5" t="str">
        <f t="shared" si="2"/>
        <v>Win</v>
      </c>
      <c r="N11" s="18">
        <f>IF(AND(F11&lt;&gt;"",G11&lt;&gt;"",H11&lt;&gt;"",D11&lt;&gt;""), IF(E11="Long", (G11-F11)*H11*VLOOKUP(D11,Multipliers!A:B,2,FALSE), (F11-G11)*H11*VLOOKUP(D11,Multipliers!A:B,2,FALSE)), "")</f>
        <v>2159.9999999999454</v>
      </c>
      <c r="O11" s="9">
        <f>IF(AND(N11&lt;&gt;"",F11&lt;&gt;"",H11&lt;&gt;"",D11&lt;&gt;""), N11/(F11*H11*VLOOKUP(D11,Multipliers!A:B,2,FALSE)), "")</f>
        <v>1.61369850732884E-3</v>
      </c>
      <c r="P11" s="5">
        <f t="shared" si="3"/>
        <v>1322.9998999998024</v>
      </c>
      <c r="Q11" s="5"/>
      <c r="R11" s="5" t="s">
        <v>30</v>
      </c>
      <c r="S11" s="5" t="s">
        <v>26</v>
      </c>
      <c r="T11" s="5"/>
      <c r="U11" s="5"/>
      <c r="V11" s="5"/>
      <c r="W11" s="5"/>
      <c r="X11" s="5"/>
      <c r="Y11" s="5"/>
      <c r="Z11" s="5"/>
      <c r="AA11" s="5"/>
    </row>
    <row r="12" spans="1:27" ht="75" x14ac:dyDescent="0.25">
      <c r="A12" s="5">
        <v>17</v>
      </c>
      <c r="B12" s="13">
        <v>46245</v>
      </c>
      <c r="C12" s="10">
        <v>0.95865740740740746</v>
      </c>
      <c r="D12" s="5" t="s">
        <v>26</v>
      </c>
      <c r="E12" s="5" t="s">
        <v>22</v>
      </c>
      <c r="F12" s="7">
        <v>4472.3</v>
      </c>
      <c r="G12" s="7">
        <v>4470.8999999999996</v>
      </c>
      <c r="H12" s="5">
        <v>20</v>
      </c>
      <c r="I12" s="7"/>
      <c r="J12" s="7">
        <v>4475.8999999999996</v>
      </c>
      <c r="K12" s="8" t="str">
        <f t="shared" si="0"/>
        <v/>
      </c>
      <c r="L12" s="8" t="str">
        <f t="shared" si="1"/>
        <v/>
      </c>
      <c r="M12" s="5" t="str">
        <f t="shared" si="2"/>
        <v>Loss</v>
      </c>
      <c r="N12" s="18">
        <f>IF(AND(F12&lt;&gt;"",G12&lt;&gt;"",H12&lt;&gt;"",D12&lt;&gt;""), IF(E12="Long", (G12-F12)*H12*VLOOKUP(D12,Multipliers!A:B,2,FALSE), (F12-G12)*H12*VLOOKUP(D12,Multipliers!A:B,2,FALSE)), "")</f>
        <v>-280.00000000010914</v>
      </c>
      <c r="O12" s="9">
        <f>IF(AND(N12&lt;&gt;"",F12&lt;&gt;"",H12&lt;&gt;"",D12&lt;&gt;""), N12/(F12*H12*VLOOKUP(D12,Multipliers!A:B,2,FALSE)), "")</f>
        <v>-3.1303803412126774E-4</v>
      </c>
      <c r="P12" s="5">
        <f t="shared" si="3"/>
        <v>1042.9998999996933</v>
      </c>
      <c r="Q12" s="5"/>
      <c r="R12" s="5" t="s">
        <v>30</v>
      </c>
      <c r="S12" s="5" t="s">
        <v>26</v>
      </c>
      <c r="T12" s="5"/>
      <c r="U12" s="5"/>
      <c r="V12" s="5"/>
      <c r="W12" s="5"/>
      <c r="X12" s="5"/>
      <c r="Y12" s="5"/>
      <c r="Z12" s="5"/>
      <c r="AA12" s="5"/>
    </row>
    <row r="13" spans="1:27" ht="75" x14ac:dyDescent="0.25">
      <c r="A13" s="5">
        <v>18</v>
      </c>
      <c r="B13" s="13">
        <v>46245</v>
      </c>
      <c r="C13" s="10">
        <v>0.96665509259259264</v>
      </c>
      <c r="D13" s="5" t="s">
        <v>26</v>
      </c>
      <c r="E13" s="5" t="s">
        <v>22</v>
      </c>
      <c r="F13" s="7">
        <v>4473.8999999999996</v>
      </c>
      <c r="G13" s="7">
        <v>4464.8</v>
      </c>
      <c r="H13" s="5">
        <v>10</v>
      </c>
      <c r="I13" s="7"/>
      <c r="J13" s="7"/>
      <c r="K13" s="8" t="str">
        <f t="shared" si="0"/>
        <v/>
      </c>
      <c r="L13" s="8" t="str">
        <f t="shared" si="1"/>
        <v/>
      </c>
      <c r="M13" s="5" t="str">
        <f t="shared" si="2"/>
        <v>Loss</v>
      </c>
      <c r="N13" s="18">
        <f>IF(AND(F13&lt;&gt;"",G13&lt;&gt;"",H13&lt;&gt;"",D13&lt;&gt;""), IF(E13="Long", (G13-F13)*H13*VLOOKUP(D13,Multipliers!A:B,2,FALSE), (F13-G13)*H13*VLOOKUP(D13,Multipliers!A:B,2,FALSE)), "")</f>
        <v>-909.99999999994543</v>
      </c>
      <c r="O13" s="9">
        <f>IF(AND(N13&lt;&gt;"",F13&lt;&gt;"",H13&lt;&gt;"",D13&lt;&gt;""), N13/(F13*H13*VLOOKUP(D13,Multipliers!A:B,2,FALSE)), "")</f>
        <v>-2.0340195355281641E-3</v>
      </c>
      <c r="P13" s="5">
        <f t="shared" si="3"/>
        <v>132.99989999974787</v>
      </c>
      <c r="Q13" s="5"/>
      <c r="R13" s="5" t="s">
        <v>30</v>
      </c>
      <c r="S13" s="5" t="s">
        <v>26</v>
      </c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25">
      <c r="A14" s="5">
        <v>19</v>
      </c>
      <c r="B14" s="13">
        <v>46245</v>
      </c>
      <c r="C14" s="10">
        <v>0.9762615740740741</v>
      </c>
      <c r="D14" s="5" t="s">
        <v>26</v>
      </c>
      <c r="E14" s="5" t="s">
        <v>22</v>
      </c>
      <c r="F14" s="7">
        <v>4467.3</v>
      </c>
      <c r="G14" s="7">
        <v>4465.8999999999996</v>
      </c>
      <c r="H14" s="5">
        <v>10</v>
      </c>
      <c r="I14" s="7"/>
      <c r="J14" s="7"/>
      <c r="K14" s="8" t="str">
        <f t="shared" si="0"/>
        <v/>
      </c>
      <c r="L14" s="8" t="str">
        <f t="shared" si="1"/>
        <v/>
      </c>
      <c r="M14" s="5" t="str">
        <f t="shared" si="2"/>
        <v>Loss</v>
      </c>
      <c r="N14" s="18">
        <f>IF(AND(F14&lt;&gt;"",G14&lt;&gt;"",H14&lt;&gt;"",D14&lt;&gt;""), IF(E14="Long", (G14-F14)*H14*VLOOKUP(D14,Multipliers!A:B,2,FALSE), (F14-G14)*H14*VLOOKUP(D14,Multipliers!A:B,2,FALSE)), "")</f>
        <v>-140.00000000005457</v>
      </c>
      <c r="O14" s="9">
        <f>IF(AND(N14&lt;&gt;"",F14&lt;&gt;"",H14&lt;&gt;"",D14&lt;&gt;""), N14/(F14*H14*VLOOKUP(D14,Multipliers!A:B,2,FALSE)), "")</f>
        <v>-3.1338840015233938E-4</v>
      </c>
      <c r="P14" s="5">
        <f t="shared" si="3"/>
        <v>-7.000100000306702</v>
      </c>
      <c r="Q14" s="5"/>
      <c r="R14" s="5" t="s">
        <v>30</v>
      </c>
      <c r="S14" s="5" t="s">
        <v>26</v>
      </c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25">
      <c r="A15" s="5">
        <v>20</v>
      </c>
      <c r="B15" s="13">
        <v>46245</v>
      </c>
      <c r="C15" s="10">
        <v>0.98370370370370375</v>
      </c>
      <c r="D15" s="5" t="s">
        <v>26</v>
      </c>
      <c r="E15" s="5" t="s">
        <v>29</v>
      </c>
      <c r="F15" s="7">
        <v>4461.05</v>
      </c>
      <c r="G15" s="7">
        <v>4458.6000000000004</v>
      </c>
      <c r="H15" s="5">
        <v>20</v>
      </c>
      <c r="I15" s="7"/>
      <c r="J15" s="7">
        <v>4458.6000000000004</v>
      </c>
      <c r="K15" s="8" t="str">
        <f t="shared" si="0"/>
        <v/>
      </c>
      <c r="L15" s="8" t="str">
        <f t="shared" si="1"/>
        <v/>
      </c>
      <c r="M15" s="5" t="str">
        <f t="shared" si="2"/>
        <v>Win</v>
      </c>
      <c r="N15" s="18">
        <f>IF(AND(F15&lt;&gt;"",G15&lt;&gt;"",H15&lt;&gt;"",D15&lt;&gt;""), IF(E15="Long", (G15-F15)*H15*VLOOKUP(D15,Multipliers!A:B,2,FALSE), (F15-G15)*H15*VLOOKUP(D15,Multipliers!A:B,2,FALSE)), "")</f>
        <v>489.99999999996362</v>
      </c>
      <c r="O15" s="9">
        <f>IF(AND(N15&lt;&gt;"",F15&lt;&gt;"",H15&lt;&gt;"",D15&lt;&gt;""), N15/(F15*H15*VLOOKUP(D15,Multipliers!A:B,2,FALSE)), "")</f>
        <v>5.4919805875294336E-4</v>
      </c>
      <c r="P15" s="5">
        <f t="shared" si="3"/>
        <v>482.99989999965692</v>
      </c>
      <c r="Q15" s="5"/>
      <c r="R15" s="5" t="s">
        <v>30</v>
      </c>
      <c r="S15" s="5" t="s">
        <v>26</v>
      </c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25">
      <c r="A16" s="5">
        <v>21</v>
      </c>
      <c r="B16" s="13">
        <v>46246</v>
      </c>
      <c r="C16" s="10">
        <v>0.38358796296296288</v>
      </c>
      <c r="D16" s="5" t="s">
        <v>21</v>
      </c>
      <c r="E16" s="5" t="s">
        <v>22</v>
      </c>
      <c r="F16" s="7">
        <v>29931.25</v>
      </c>
      <c r="G16" s="7">
        <v>29936</v>
      </c>
      <c r="H16" s="5">
        <v>5</v>
      </c>
      <c r="I16" s="7"/>
      <c r="J16" s="7">
        <v>29936</v>
      </c>
      <c r="K16" s="8" t="str">
        <f t="shared" si="0"/>
        <v/>
      </c>
      <c r="L16" s="8" t="str">
        <f t="shared" si="1"/>
        <v/>
      </c>
      <c r="M16" s="5" t="str">
        <f t="shared" si="2"/>
        <v>Win</v>
      </c>
      <c r="N16" s="18">
        <f>IF(AND(F16&lt;&gt;"",G16&lt;&gt;"",H16&lt;&gt;"",D16&lt;&gt;""), IF(E16="Long", (G16-F16)*H16*VLOOKUP(D16,Multipliers!A:B,2,FALSE), (F16-G16)*H16*VLOOKUP(D16,Multipliers!A:B,2,FALSE)), "")</f>
        <v>47.5</v>
      </c>
      <c r="O16" s="9">
        <f>IF(AND(N16&lt;&gt;"",F16&lt;&gt;"",H16&lt;&gt;"",D16&lt;&gt;""), N16/(F16*H16*VLOOKUP(D16,Multipliers!A:B,2,FALSE)), "")</f>
        <v>1.5869701399039466E-4</v>
      </c>
      <c r="P16" s="5">
        <f t="shared" si="3"/>
        <v>530.49989999965692</v>
      </c>
      <c r="Q16" s="5"/>
      <c r="R16" s="5" t="s">
        <v>30</v>
      </c>
      <c r="S16" s="5" t="s">
        <v>21</v>
      </c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25">
      <c r="A17" s="5">
        <v>22</v>
      </c>
      <c r="B17" s="13">
        <v>46246</v>
      </c>
      <c r="C17" s="10">
        <v>0.39325231481481482</v>
      </c>
      <c r="D17" s="5" t="s">
        <v>26</v>
      </c>
      <c r="E17" s="5" t="s">
        <v>29</v>
      </c>
      <c r="F17" s="7">
        <v>4475.7</v>
      </c>
      <c r="G17" s="7">
        <v>4474</v>
      </c>
      <c r="H17" s="5">
        <v>10</v>
      </c>
      <c r="I17" s="7"/>
      <c r="J17" s="7">
        <v>4474</v>
      </c>
      <c r="K17" s="8" t="str">
        <f t="shared" si="0"/>
        <v/>
      </c>
      <c r="L17" s="8" t="str">
        <f t="shared" si="1"/>
        <v/>
      </c>
      <c r="M17" s="5" t="str">
        <f t="shared" si="2"/>
        <v>Win</v>
      </c>
      <c r="N17" s="18">
        <f>IF(AND(F17&lt;&gt;"",G17&lt;&gt;"",H17&lt;&gt;"",D17&lt;&gt;""), IF(E17="Long", (G17-F17)*H17*VLOOKUP(D17,Multipliers!A:B,2,FALSE), (F17-G17)*H17*VLOOKUP(D17,Multipliers!A:B,2,FALSE)), "")</f>
        <v>169.99999999998181</v>
      </c>
      <c r="O17" s="9">
        <f>IF(AND(N17&lt;&gt;"",F17&lt;&gt;"",H17&lt;&gt;"",D17&lt;&gt;""), N17/(F17*H17*VLOOKUP(D17,Multipliers!A:B,2,FALSE)), "")</f>
        <v>3.7982885358710776E-4</v>
      </c>
      <c r="P17" s="5">
        <f t="shared" si="3"/>
        <v>700.49989999963873</v>
      </c>
      <c r="Q17" s="5"/>
      <c r="R17" s="5" t="s">
        <v>30</v>
      </c>
      <c r="S17" s="5" t="s">
        <v>26</v>
      </c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5">
      <c r="A18" s="5">
        <v>23</v>
      </c>
      <c r="B18" s="13">
        <v>46246</v>
      </c>
      <c r="C18" s="10">
        <v>0.40153935185185191</v>
      </c>
      <c r="D18" s="5" t="s">
        <v>21</v>
      </c>
      <c r="E18" s="5" t="s">
        <v>29</v>
      </c>
      <c r="F18" s="7">
        <v>29915.75</v>
      </c>
      <c r="G18" s="7">
        <v>29881</v>
      </c>
      <c r="H18" s="5">
        <v>1</v>
      </c>
      <c r="I18" s="7"/>
      <c r="J18" s="7">
        <v>29881</v>
      </c>
      <c r="K18" s="8" t="str">
        <f t="shared" si="0"/>
        <v/>
      </c>
      <c r="L18" s="8" t="str">
        <f t="shared" si="1"/>
        <v/>
      </c>
      <c r="M18" s="5" t="str">
        <f t="shared" si="2"/>
        <v>Win</v>
      </c>
      <c r="N18" s="18">
        <f>IF(AND(F18&lt;&gt;"",G18&lt;&gt;"",H18&lt;&gt;"",D18&lt;&gt;""), IF(E18="Long", (G18-F18)*H18*VLOOKUP(D18,Multipliers!A:B,2,FALSE), (F18-G18)*H18*VLOOKUP(D18,Multipliers!A:B,2,FALSE)), "")</f>
        <v>69.5</v>
      </c>
      <c r="O18" s="9">
        <f>IF(AND(N18&lt;&gt;"",F18&lt;&gt;"",H18&lt;&gt;"",D18&lt;&gt;""), N18/(F18*H18*VLOOKUP(D18,Multipliers!A:B,2,FALSE)), "")</f>
        <v>1.1615954806414681E-3</v>
      </c>
      <c r="P18" s="5">
        <f t="shared" si="3"/>
        <v>769.99989999963873</v>
      </c>
      <c r="Q18" s="5"/>
      <c r="R18" s="5" t="s">
        <v>30</v>
      </c>
      <c r="S18" s="5" t="s">
        <v>21</v>
      </c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25">
      <c r="A19" s="5">
        <v>24</v>
      </c>
      <c r="B19" s="13">
        <v>46246</v>
      </c>
      <c r="C19" s="10">
        <v>0.41098379629629628</v>
      </c>
      <c r="D19" s="5" t="s">
        <v>26</v>
      </c>
      <c r="E19" s="5" t="s">
        <v>22</v>
      </c>
      <c r="F19" s="7">
        <v>4490</v>
      </c>
      <c r="G19" s="7">
        <v>4485.3999999999996</v>
      </c>
      <c r="H19" s="5">
        <v>10</v>
      </c>
      <c r="I19" s="7"/>
      <c r="J19" s="7"/>
      <c r="K19" s="8" t="str">
        <f t="shared" si="0"/>
        <v/>
      </c>
      <c r="L19" s="8" t="str">
        <f t="shared" si="1"/>
        <v/>
      </c>
      <c r="M19" s="5" t="str">
        <f t="shared" si="2"/>
        <v>Loss</v>
      </c>
      <c r="N19" s="18">
        <f>IF(AND(F19&lt;&gt;"",G19&lt;&gt;"",H19&lt;&gt;"",D19&lt;&gt;""), IF(E19="Long", (G19-F19)*H19*VLOOKUP(D19,Multipliers!A:B,2,FALSE), (F19-G19)*H19*VLOOKUP(D19,Multipliers!A:B,2,FALSE)), "")</f>
        <v>-460.00000000003638</v>
      </c>
      <c r="O19" s="9">
        <f>IF(AND(N19&lt;&gt;"",F19&lt;&gt;"",H19&lt;&gt;"",D19&lt;&gt;""), N19/(F19*H19*VLOOKUP(D19,Multipliers!A:B,2,FALSE)), "")</f>
        <v>-1.0244988864143349E-3</v>
      </c>
      <c r="P19" s="5">
        <f t="shared" si="3"/>
        <v>309.99989999960235</v>
      </c>
      <c r="Q19" s="5"/>
      <c r="R19" s="5" t="s">
        <v>30</v>
      </c>
      <c r="S19" s="5" t="s">
        <v>26</v>
      </c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25">
      <c r="A20" s="5">
        <v>25</v>
      </c>
      <c r="B20" s="13">
        <v>46246</v>
      </c>
      <c r="C20" s="10">
        <v>0.45519675925925918</v>
      </c>
      <c r="D20" s="5" t="s">
        <v>21</v>
      </c>
      <c r="E20" s="5" t="s">
        <v>22</v>
      </c>
      <c r="F20" s="7">
        <v>29863</v>
      </c>
      <c r="G20" s="7">
        <v>29878.5</v>
      </c>
      <c r="H20" s="5">
        <v>3</v>
      </c>
      <c r="I20" s="7">
        <v>29833</v>
      </c>
      <c r="J20" s="7">
        <v>29878.5</v>
      </c>
      <c r="K20" s="8">
        <f t="shared" si="0"/>
        <v>0.51666666666666672</v>
      </c>
      <c r="L20" s="8">
        <f t="shared" si="1"/>
        <v>0.51666666666666672</v>
      </c>
      <c r="M20" s="5" t="str">
        <f t="shared" si="2"/>
        <v>Win</v>
      </c>
      <c r="N20" s="18">
        <f>IF(AND(F20&lt;&gt;"",G20&lt;&gt;"",H20&lt;&gt;"",D20&lt;&gt;""), IF(E20="Long", (G20-F20)*H20*VLOOKUP(D20,Multipliers!A:B,2,FALSE), (F20-G20)*H20*VLOOKUP(D20,Multipliers!A:B,2,FALSE)), "")</f>
        <v>93</v>
      </c>
      <c r="O20" s="9">
        <f>IF(AND(N20&lt;&gt;"",F20&lt;&gt;"",H20&lt;&gt;"",D20&lt;&gt;""), N20/(F20*H20*VLOOKUP(D20,Multipliers!A:B,2,FALSE)), "")</f>
        <v>5.1903693533804373E-4</v>
      </c>
      <c r="P20" s="5">
        <f t="shared" si="3"/>
        <v>402.99989999960235</v>
      </c>
      <c r="Q20" s="5"/>
      <c r="R20" s="5" t="s">
        <v>30</v>
      </c>
      <c r="S20" s="5" t="s">
        <v>21</v>
      </c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25">
      <c r="A21" s="5">
        <v>26</v>
      </c>
      <c r="B21" s="13">
        <v>46246</v>
      </c>
      <c r="C21" s="10">
        <v>0.47391203703703699</v>
      </c>
      <c r="D21" s="5" t="s">
        <v>21</v>
      </c>
      <c r="E21" s="5" t="s">
        <v>22</v>
      </c>
      <c r="F21" s="7">
        <v>29854</v>
      </c>
      <c r="G21" s="7">
        <v>29879.75</v>
      </c>
      <c r="H21" s="5">
        <v>3</v>
      </c>
      <c r="I21" s="7">
        <v>29834.5</v>
      </c>
      <c r="J21" s="7">
        <v>29894.5</v>
      </c>
      <c r="K21" s="8">
        <f t="shared" si="0"/>
        <v>2.0769230769230771</v>
      </c>
      <c r="L21" s="8">
        <f t="shared" si="1"/>
        <v>1.3205128205128205</v>
      </c>
      <c r="M21" s="5" t="str">
        <f t="shared" si="2"/>
        <v>Win</v>
      </c>
      <c r="N21" s="18">
        <f>IF(AND(F21&lt;&gt;"",G21&lt;&gt;"",H21&lt;&gt;"",D21&lt;&gt;""), IF(E21="Long", (G21-F21)*H21*VLOOKUP(D21,Multipliers!A:B,2,FALSE), (F21-G21)*H21*VLOOKUP(D21,Multipliers!A:B,2,FALSE)), "")</f>
        <v>154.5</v>
      </c>
      <c r="O21" s="9">
        <f>IF(AND(N21&lt;&gt;"",F21&lt;&gt;"",H21&lt;&gt;"",D21&lt;&gt;""), N21/(F21*H21*VLOOKUP(D21,Multipliers!A:B,2,FALSE)), "")</f>
        <v>8.625309841227306E-4</v>
      </c>
      <c r="P21" s="5">
        <f t="shared" si="3"/>
        <v>557.49989999960235</v>
      </c>
      <c r="Q21" s="5"/>
      <c r="R21" s="5" t="s">
        <v>30</v>
      </c>
      <c r="S21" s="5" t="s">
        <v>21</v>
      </c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25">
      <c r="A22" s="5">
        <v>27</v>
      </c>
      <c r="B22" s="13">
        <v>46246</v>
      </c>
      <c r="C22" s="10">
        <v>0.48062500000000002</v>
      </c>
      <c r="D22" s="5" t="s">
        <v>21</v>
      </c>
      <c r="E22" s="5" t="s">
        <v>22</v>
      </c>
      <c r="F22" s="7">
        <v>29855.75</v>
      </c>
      <c r="G22" s="7">
        <v>29833</v>
      </c>
      <c r="H22" s="5">
        <v>3</v>
      </c>
      <c r="I22" s="7">
        <v>29834.5</v>
      </c>
      <c r="J22" s="7">
        <v>29894.5</v>
      </c>
      <c r="K22" s="8">
        <f t="shared" si="0"/>
        <v>1.8235294117647058</v>
      </c>
      <c r="L22" s="8">
        <f t="shared" si="1"/>
        <v>-1.0705882352941176</v>
      </c>
      <c r="M22" s="5" t="str">
        <f t="shared" si="2"/>
        <v>Loss</v>
      </c>
      <c r="N22" s="18">
        <f>IF(AND(F22&lt;&gt;"",G22&lt;&gt;"",H22&lt;&gt;"",D22&lt;&gt;""), IF(E22="Long", (G22-F22)*H22*VLOOKUP(D22,Multipliers!A:B,2,FALSE), (F22-G22)*H22*VLOOKUP(D22,Multipliers!A:B,2,FALSE)), "")</f>
        <v>-136.5</v>
      </c>
      <c r="O22" s="9">
        <f>IF(AND(N22&lt;&gt;"",F22&lt;&gt;"",H22&lt;&gt;"",D22&lt;&gt;""), N22/(F22*H22*VLOOKUP(D22,Multipliers!A:B,2,FALSE)), "")</f>
        <v>-7.619972702075815E-4</v>
      </c>
      <c r="P22" s="5">
        <f t="shared" si="3"/>
        <v>420.99989999960235</v>
      </c>
      <c r="Q22" s="5"/>
      <c r="R22" s="5" t="s">
        <v>30</v>
      </c>
      <c r="S22" s="5" t="s">
        <v>21</v>
      </c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25">
      <c r="A23" s="5">
        <v>28</v>
      </c>
      <c r="B23" s="13">
        <v>46246</v>
      </c>
      <c r="C23" s="10">
        <v>0.4982523148148148</v>
      </c>
      <c r="D23" s="5" t="s">
        <v>21</v>
      </c>
      <c r="E23" s="5" t="s">
        <v>29</v>
      </c>
      <c r="F23" s="7">
        <v>29838.25</v>
      </c>
      <c r="G23" s="7">
        <v>29862.25</v>
      </c>
      <c r="H23" s="5">
        <v>3</v>
      </c>
      <c r="I23" s="7">
        <v>29858.5</v>
      </c>
      <c r="J23" s="7">
        <v>29823.5</v>
      </c>
      <c r="K23" s="8">
        <f t="shared" si="0"/>
        <v>0.72839506172839508</v>
      </c>
      <c r="L23" s="8">
        <f t="shared" si="1"/>
        <v>-1.1851851851851851</v>
      </c>
      <c r="M23" s="5" t="str">
        <f t="shared" si="2"/>
        <v>Loss</v>
      </c>
      <c r="N23" s="18">
        <f>IF(AND(F23&lt;&gt;"",G23&lt;&gt;"",H23&lt;&gt;"",D23&lt;&gt;""), IF(E23="Long", (G23-F23)*H23*VLOOKUP(D23,Multipliers!A:B,2,FALSE), (F23-G23)*H23*VLOOKUP(D23,Multipliers!A:B,2,FALSE)), "")</f>
        <v>-144</v>
      </c>
      <c r="O23" s="9">
        <f>IF(AND(N23&lt;&gt;"",F23&lt;&gt;"",H23&lt;&gt;"",D23&lt;&gt;""), N23/(F23*H23*VLOOKUP(D23,Multipliers!A:B,2,FALSE)), "")</f>
        <v>-8.0433671545750835E-4</v>
      </c>
      <c r="P23" s="5">
        <f t="shared" si="3"/>
        <v>276.99989999960235</v>
      </c>
      <c r="Q23" s="5"/>
      <c r="R23" s="5" t="s">
        <v>30</v>
      </c>
      <c r="S23" s="5" t="s">
        <v>21</v>
      </c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5">
      <c r="A24" s="5">
        <v>29</v>
      </c>
      <c r="B24" s="13">
        <v>46246</v>
      </c>
      <c r="C24" s="10">
        <v>0.5917824074074074</v>
      </c>
      <c r="D24" s="5" t="s">
        <v>26</v>
      </c>
      <c r="E24" s="5" t="s">
        <v>29</v>
      </c>
      <c r="F24" s="5">
        <v>4465.3999999999996</v>
      </c>
      <c r="G24" s="5">
        <v>4471.8999999999996</v>
      </c>
      <c r="H24" s="5">
        <v>3</v>
      </c>
      <c r="I24" s="7">
        <v>4471.8</v>
      </c>
      <c r="J24" s="7">
        <v>4458.5</v>
      </c>
      <c r="K24" s="8">
        <f t="shared" si="0"/>
        <v>1.0781249999998512</v>
      </c>
      <c r="L24" s="8">
        <f t="shared" si="1"/>
        <v>-1.0156249999999134</v>
      </c>
      <c r="M24" s="5" t="str">
        <f t="shared" si="2"/>
        <v>Loss</v>
      </c>
      <c r="N24" s="18">
        <f>IF(AND(F24&lt;&gt;"",G24&lt;&gt;"",H24&lt;&gt;"",D24&lt;&gt;""), IF(E24="Long", (G24-F24)*H24*VLOOKUP(D24,Multipliers!A:B,2,FALSE), (F24-G24)*H24*VLOOKUP(D24,Multipliers!A:B,2,FALSE)), "")</f>
        <v>-195</v>
      </c>
      <c r="O24" s="9">
        <f>IF(AND(N24&lt;&gt;"",F24&lt;&gt;"",H24&lt;&gt;"",D24&lt;&gt;""), N24/(F24*H24*VLOOKUP(D24,Multipliers!A:B,2,FALSE)), "")</f>
        <v>-1.4556366730863976E-3</v>
      </c>
      <c r="P24" s="5">
        <f t="shared" si="3"/>
        <v>81.999899999602349</v>
      </c>
      <c r="Q24" s="5"/>
      <c r="R24" s="5" t="s">
        <v>30</v>
      </c>
      <c r="S24" s="5" t="s">
        <v>26</v>
      </c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25">
      <c r="A25" s="5">
        <v>30</v>
      </c>
      <c r="B25" s="13">
        <v>46247</v>
      </c>
      <c r="C25" s="10">
        <v>0.36866898148148147</v>
      </c>
      <c r="D25" s="5" t="s">
        <v>26</v>
      </c>
      <c r="E25" s="5" t="s">
        <v>22</v>
      </c>
      <c r="F25" s="5">
        <v>4450.95</v>
      </c>
      <c r="G25" s="5">
        <v>4448.1000000000004</v>
      </c>
      <c r="H25" s="5">
        <v>2</v>
      </c>
      <c r="I25" s="5">
        <v>4444.3999999999996</v>
      </c>
      <c r="J25" s="7">
        <v>4451.8</v>
      </c>
      <c r="K25" s="8">
        <f t="shared" si="0"/>
        <v>0.12977099236646414</v>
      </c>
      <c r="L25" s="8">
        <f t="shared" si="1"/>
        <v>-0.43511450381669847</v>
      </c>
      <c r="M25" s="5" t="str">
        <f t="shared" si="2"/>
        <v>Loss</v>
      </c>
      <c r="N25" s="18">
        <f>IF(AND(F25&lt;&gt;"",G25&lt;&gt;"",H25&lt;&gt;"",D25&lt;&gt;""), IF(E25="Long", (G25-F25)*H25*VLOOKUP(D25,Multipliers!A:B,2,FALSE), (F25-G25)*H25*VLOOKUP(D25,Multipliers!A:B,2,FALSE)), "")</f>
        <v>-56.999999999989086</v>
      </c>
      <c r="O25" s="9">
        <f>IF(AND(N25&lt;&gt;"",F25&lt;&gt;"",H25&lt;&gt;"",D25&lt;&gt;""), N25/(F25*H25*VLOOKUP(D25,Multipliers!A:B,2,FALSE)), "")</f>
        <v>-6.4031274222344761E-4</v>
      </c>
      <c r="P25" s="5">
        <f t="shared" si="3"/>
        <v>24.999899999613262</v>
      </c>
      <c r="Q25" s="5"/>
      <c r="R25" s="5" t="s">
        <v>30</v>
      </c>
      <c r="S25" s="5" t="s">
        <v>26</v>
      </c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25">
      <c r="A26" s="5">
        <v>31</v>
      </c>
      <c r="B26" s="13">
        <v>46247</v>
      </c>
      <c r="C26" s="10">
        <v>0.40733796296296299</v>
      </c>
      <c r="D26" s="5" t="s">
        <v>21</v>
      </c>
      <c r="E26" s="5" t="s">
        <v>22</v>
      </c>
      <c r="F26" s="5">
        <v>30089.5</v>
      </c>
      <c r="G26" s="5">
        <v>30127</v>
      </c>
      <c r="H26" s="5">
        <v>5</v>
      </c>
      <c r="I26" s="5">
        <v>30067</v>
      </c>
      <c r="J26" s="7">
        <v>30127</v>
      </c>
      <c r="K26" s="8">
        <f t="shared" si="0"/>
        <v>1.6666666666666667</v>
      </c>
      <c r="L26" s="8">
        <f t="shared" si="1"/>
        <v>1.6666666666666667</v>
      </c>
      <c r="M26" s="5" t="str">
        <f t="shared" si="2"/>
        <v>Win</v>
      </c>
      <c r="N26" s="18">
        <f>IF(AND(F26&lt;&gt;"",G26&lt;&gt;"",H26&lt;&gt;"",D26&lt;&gt;""), IF(E26="Long", (G26-F26)*H26*VLOOKUP(D26,Multipliers!A:B,2,FALSE), (F26-G26)*H26*VLOOKUP(D26,Multipliers!A:B,2,FALSE)), "")</f>
        <v>375</v>
      </c>
      <c r="O26" s="9">
        <f>IF(AND(N26&lt;&gt;"",F26&lt;&gt;"",H26&lt;&gt;"",D26&lt;&gt;""), N26/(F26*H26*VLOOKUP(D26,Multipliers!A:B,2,FALSE)), "")</f>
        <v>1.2462819255886605E-3</v>
      </c>
      <c r="P26" s="5">
        <f t="shared" si="3"/>
        <v>399.99989999961326</v>
      </c>
      <c r="Q26" s="5"/>
      <c r="R26" s="5" t="s">
        <v>30</v>
      </c>
      <c r="S26" s="5" t="s">
        <v>21</v>
      </c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5">
      <c r="A27" s="5">
        <v>32</v>
      </c>
      <c r="B27" s="13">
        <v>46247</v>
      </c>
      <c r="C27" s="10">
        <v>0.47510416666666672</v>
      </c>
      <c r="D27" s="5" t="s">
        <v>26</v>
      </c>
      <c r="E27" s="5" t="s">
        <v>29</v>
      </c>
      <c r="F27" s="5">
        <v>4427.5</v>
      </c>
      <c r="G27" s="5">
        <v>4418</v>
      </c>
      <c r="H27" s="5">
        <v>3</v>
      </c>
      <c r="I27" s="5"/>
      <c r="J27" s="7">
        <v>4418</v>
      </c>
      <c r="K27" s="8" t="str">
        <f t="shared" si="0"/>
        <v/>
      </c>
      <c r="L27" s="8" t="str">
        <f t="shared" si="1"/>
        <v/>
      </c>
      <c r="M27" s="5" t="str">
        <f t="shared" si="2"/>
        <v>Win</v>
      </c>
      <c r="N27" s="18">
        <f>IF(AND(F27&lt;&gt;"",G27&lt;&gt;"",H27&lt;&gt;"",D27&lt;&gt;""), IF(E27="Long", (G27-F27)*H27*VLOOKUP(D27,Multipliers!A:B,2,FALSE), (F27-G27)*H27*VLOOKUP(D27,Multipliers!A:B,2,FALSE)), "")</f>
        <v>285</v>
      </c>
      <c r="O27" s="9">
        <f>IF(AND(N27&lt;&gt;"",F27&lt;&gt;"",H27&lt;&gt;"",D27&lt;&gt;""), N27/(F27*H27*VLOOKUP(D27,Multipliers!A:B,2,FALSE)), "")</f>
        <v>2.1456804065499717E-3</v>
      </c>
      <c r="P27" s="5">
        <f t="shared" si="3"/>
        <v>684.99989999961326</v>
      </c>
      <c r="Q27" s="5"/>
      <c r="R27" s="5" t="s">
        <v>30</v>
      </c>
      <c r="S27" s="5" t="s">
        <v>26</v>
      </c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5">
      <c r="A28" s="5">
        <v>33</v>
      </c>
      <c r="B28" s="13">
        <v>46247</v>
      </c>
      <c r="C28" s="10">
        <v>0.95162037037037039</v>
      </c>
      <c r="D28" s="5" t="s">
        <v>26</v>
      </c>
      <c r="E28" s="5" t="s">
        <v>22</v>
      </c>
      <c r="F28" s="5">
        <v>4371.8</v>
      </c>
      <c r="G28" s="5">
        <v>4369.6000000000004</v>
      </c>
      <c r="H28" s="5">
        <v>3</v>
      </c>
      <c r="I28" s="5"/>
      <c r="J28" s="7"/>
      <c r="K28" s="8" t="str">
        <f t="shared" si="0"/>
        <v/>
      </c>
      <c r="L28" s="8" t="str">
        <f t="shared" si="1"/>
        <v/>
      </c>
      <c r="M28" s="5" t="str">
        <f t="shared" si="2"/>
        <v>Loss</v>
      </c>
      <c r="N28" s="18">
        <f>IF(AND(F28&lt;&gt;"",G28&lt;&gt;"",H28&lt;&gt;"",D28&lt;&gt;""), IF(E28="Long", (G28-F28)*H28*VLOOKUP(D28,Multipliers!A:B,2,FALSE), (F28-G28)*H28*VLOOKUP(D28,Multipliers!A:B,2,FALSE)), "")</f>
        <v>-65.999999999994543</v>
      </c>
      <c r="O28" s="9">
        <f>IF(AND(N28&lt;&gt;"",F28&lt;&gt;"",H28&lt;&gt;"",D28&lt;&gt;""), N28/(F28*H28*VLOOKUP(D28,Multipliers!A:B,2,FALSE)), "")</f>
        <v>-5.0322521615806263E-4</v>
      </c>
      <c r="P28" s="5">
        <f t="shared" si="3"/>
        <v>618.99989999961872</v>
      </c>
      <c r="Q28" s="5"/>
      <c r="R28" s="5" t="s">
        <v>30</v>
      </c>
      <c r="S28" s="5" t="s">
        <v>26</v>
      </c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25">
      <c r="A29" s="5">
        <v>34</v>
      </c>
      <c r="B29" s="13">
        <v>46247</v>
      </c>
      <c r="C29" s="10">
        <v>0.95800925925925928</v>
      </c>
      <c r="D29" s="5" t="s">
        <v>26</v>
      </c>
      <c r="E29" s="5" t="s">
        <v>29</v>
      </c>
      <c r="F29" s="5">
        <v>4370.5</v>
      </c>
      <c r="G29" s="5">
        <v>4377</v>
      </c>
      <c r="H29" s="5">
        <v>3</v>
      </c>
      <c r="I29" s="5">
        <v>4377</v>
      </c>
      <c r="J29" s="7">
        <v>4369.3</v>
      </c>
      <c r="K29" s="8">
        <f t="shared" si="0"/>
        <v>0.18461538461535662</v>
      </c>
      <c r="L29" s="8">
        <f t="shared" si="1"/>
        <v>-1</v>
      </c>
      <c r="M29" s="5" t="str">
        <f t="shared" si="2"/>
        <v>Loss</v>
      </c>
      <c r="N29" s="18">
        <f>IF(AND(F29&lt;&gt;"",G29&lt;&gt;"",H29&lt;&gt;"",D29&lt;&gt;""), IF(E29="Long", (G29-F29)*H29*VLOOKUP(D29,Multipliers!A:B,2,FALSE), (F29-G29)*H29*VLOOKUP(D29,Multipliers!A:B,2,FALSE)), "")</f>
        <v>-195</v>
      </c>
      <c r="O29" s="9">
        <f>IF(AND(N29&lt;&gt;"",F29&lt;&gt;"",H29&lt;&gt;"",D29&lt;&gt;""), N29/(F29*H29*VLOOKUP(D29,Multipliers!A:B,2,FALSE)), "")</f>
        <v>-1.4872440224230638E-3</v>
      </c>
      <c r="P29" s="5">
        <f t="shared" si="3"/>
        <v>423.99989999961872</v>
      </c>
      <c r="Q29" s="5"/>
      <c r="R29" s="5" t="s">
        <v>30</v>
      </c>
      <c r="S29" s="5" t="s">
        <v>26</v>
      </c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25">
      <c r="A30" s="5">
        <v>35</v>
      </c>
      <c r="B30" s="13">
        <v>46248</v>
      </c>
      <c r="C30" s="10">
        <v>0.40767361111111111</v>
      </c>
      <c r="D30" s="5" t="s">
        <v>21</v>
      </c>
      <c r="E30" s="5" t="s">
        <v>22</v>
      </c>
      <c r="F30" s="5">
        <v>30233</v>
      </c>
      <c r="G30" s="5">
        <v>30255.75</v>
      </c>
      <c r="H30" s="5">
        <v>3</v>
      </c>
      <c r="I30" s="5"/>
      <c r="J30" s="7">
        <v>30272</v>
      </c>
      <c r="K30" s="8" t="str">
        <f t="shared" si="0"/>
        <v/>
      </c>
      <c r="L30" s="8" t="str">
        <f t="shared" si="1"/>
        <v/>
      </c>
      <c r="M30" s="5" t="str">
        <f t="shared" si="2"/>
        <v>Win</v>
      </c>
      <c r="N30" s="18">
        <f>IF(AND(F30&lt;&gt;"",G30&lt;&gt;"",H30&lt;&gt;"",D30&lt;&gt;""), IF(E30="Long", (G30-F30)*H30*VLOOKUP(D30,Multipliers!A:B,2,FALSE), (F30-G30)*H30*VLOOKUP(D30,Multipliers!A:B,2,FALSE)), "")</f>
        <v>136.5</v>
      </c>
      <c r="O30" s="9">
        <f>IF(AND(N30&lt;&gt;"",F30&lt;&gt;"",H30&lt;&gt;"",D30&lt;&gt;""), N30/(F30*H30*VLOOKUP(D30,Multipliers!A:B,2,FALSE)), "")</f>
        <v>7.5248900208381572E-4</v>
      </c>
      <c r="P30" s="5">
        <f t="shared" si="3"/>
        <v>560.49989999961872</v>
      </c>
      <c r="Q30" s="5"/>
      <c r="R30" s="5" t="s">
        <v>30</v>
      </c>
      <c r="S30" s="5" t="s">
        <v>21</v>
      </c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25">
      <c r="A31" s="5">
        <v>36</v>
      </c>
      <c r="B31" s="13">
        <v>46248</v>
      </c>
      <c r="C31" s="10">
        <v>0.41525462962962961</v>
      </c>
      <c r="D31" s="5" t="s">
        <v>21</v>
      </c>
      <c r="E31" s="5" t="s">
        <v>22</v>
      </c>
      <c r="F31" s="5">
        <v>30221</v>
      </c>
      <c r="G31" s="5">
        <v>30225.5</v>
      </c>
      <c r="H31" s="5">
        <v>3</v>
      </c>
      <c r="I31" s="5">
        <v>30201</v>
      </c>
      <c r="J31" s="7">
        <v>30225.5</v>
      </c>
      <c r="K31" s="8">
        <f t="shared" si="0"/>
        <v>0.22500000000000001</v>
      </c>
      <c r="L31" s="8">
        <f t="shared" si="1"/>
        <v>0.22500000000000001</v>
      </c>
      <c r="M31" s="5" t="str">
        <f t="shared" si="2"/>
        <v>Win</v>
      </c>
      <c r="N31" s="18">
        <f>IF(AND(F31&lt;&gt;"",G31&lt;&gt;"",H31&lt;&gt;"",D31&lt;&gt;""), IF(E31="Long", (G31-F31)*H31*VLOOKUP(D31,Multipliers!A:B,2,FALSE), (F31-G31)*H31*VLOOKUP(D31,Multipliers!A:B,2,FALSE)), "")</f>
        <v>27</v>
      </c>
      <c r="O31" s="9">
        <f>IF(AND(N31&lt;&gt;"",F31&lt;&gt;"",H31&lt;&gt;"",D31&lt;&gt;""), N31/(F31*H31*VLOOKUP(D31,Multipliers!A:B,2,FALSE)), "")</f>
        <v>1.4890308063929055E-4</v>
      </c>
      <c r="P31" s="5">
        <f t="shared" si="3"/>
        <v>587.49989999961872</v>
      </c>
      <c r="Q31" s="5"/>
      <c r="R31" s="5" t="s">
        <v>30</v>
      </c>
      <c r="S31" s="5" t="s">
        <v>21</v>
      </c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5">
      <c r="A32" s="5">
        <v>37</v>
      </c>
      <c r="B32" s="13">
        <v>46248</v>
      </c>
      <c r="C32" s="10">
        <v>0.49888888888888888</v>
      </c>
      <c r="D32" s="5" t="s">
        <v>21</v>
      </c>
      <c r="E32" s="5" t="s">
        <v>29</v>
      </c>
      <c r="F32" s="5">
        <v>30072.5</v>
      </c>
      <c r="G32" s="5">
        <v>30099.5</v>
      </c>
      <c r="H32" s="5">
        <v>3</v>
      </c>
      <c r="I32" s="5">
        <v>30099.5</v>
      </c>
      <c r="J32" s="7">
        <v>30058.25</v>
      </c>
      <c r="K32" s="8">
        <f t="shared" si="0"/>
        <v>0.52777777777777779</v>
      </c>
      <c r="L32" s="8">
        <f t="shared" si="1"/>
        <v>-1</v>
      </c>
      <c r="M32" s="5" t="str">
        <f t="shared" si="2"/>
        <v>Loss</v>
      </c>
      <c r="N32" s="18">
        <f>IF(AND(F32&lt;&gt;"",G32&lt;&gt;"",H32&lt;&gt;"",D32&lt;&gt;""), IF(E32="Long", (G32-F32)*H32*VLOOKUP(D32,Multipliers!A:B,2,FALSE), (F32-G32)*H32*VLOOKUP(D32,Multipliers!A:B,2,FALSE)), "")</f>
        <v>-162</v>
      </c>
      <c r="O32" s="9">
        <f>IF(AND(N32&lt;&gt;"",F32&lt;&gt;"",H32&lt;&gt;"",D32&lt;&gt;""), N32/(F32*H32*VLOOKUP(D32,Multipliers!A:B,2,FALSE)), "")</f>
        <v>-8.978302435780198E-4</v>
      </c>
      <c r="P32" s="5">
        <f t="shared" si="3"/>
        <v>425.49989999961872</v>
      </c>
      <c r="Q32" s="5"/>
      <c r="R32" s="5" t="s">
        <v>30</v>
      </c>
      <c r="S32" s="5" t="s">
        <v>21</v>
      </c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25">
      <c r="A33" s="5">
        <v>38</v>
      </c>
      <c r="B33" s="13">
        <v>46248</v>
      </c>
      <c r="C33" s="10">
        <v>0.52870370370370368</v>
      </c>
      <c r="D33" s="5" t="s">
        <v>21</v>
      </c>
      <c r="E33" s="5" t="s">
        <v>29</v>
      </c>
      <c r="F33" s="5">
        <v>30068.5</v>
      </c>
      <c r="G33" s="5">
        <v>30064</v>
      </c>
      <c r="H33" s="5">
        <v>3</v>
      </c>
      <c r="I33" s="5">
        <v>30088.5</v>
      </c>
      <c r="J33" s="7">
        <v>30064</v>
      </c>
      <c r="K33" s="8">
        <f t="shared" si="0"/>
        <v>0.22500000000000001</v>
      </c>
      <c r="L33" s="8">
        <f t="shared" si="1"/>
        <v>0.22500000000000001</v>
      </c>
      <c r="M33" s="5" t="str">
        <f t="shared" si="2"/>
        <v>Win</v>
      </c>
      <c r="N33" s="18">
        <f>IF(AND(F33&lt;&gt;"",G33&lt;&gt;"",H33&lt;&gt;"",D33&lt;&gt;""), IF(E33="Long", (G33-F33)*H33*VLOOKUP(D33,Multipliers!A:B,2,FALSE), (F33-G33)*H33*VLOOKUP(D33,Multipliers!A:B,2,FALSE)), "")</f>
        <v>27</v>
      </c>
      <c r="O33" s="9">
        <f>IF(AND(N33&lt;&gt;"",F33&lt;&gt;"",H33&lt;&gt;"",D33&lt;&gt;""), N33/(F33*H33*VLOOKUP(D33,Multipliers!A:B,2,FALSE)), "")</f>
        <v>1.4965828026007282E-4</v>
      </c>
      <c r="P33" s="5">
        <f t="shared" si="3"/>
        <v>452.49989999961872</v>
      </c>
      <c r="Q33" s="5"/>
      <c r="R33" s="5" t="s">
        <v>30</v>
      </c>
      <c r="S33" s="5" t="s">
        <v>21</v>
      </c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25">
      <c r="A34" s="5">
        <v>39</v>
      </c>
      <c r="B34" s="13">
        <v>46248</v>
      </c>
      <c r="C34" s="10">
        <v>0.53212962962962962</v>
      </c>
      <c r="D34" s="5" t="s">
        <v>21</v>
      </c>
      <c r="E34" s="5" t="s">
        <v>22</v>
      </c>
      <c r="F34" s="5">
        <v>30067</v>
      </c>
      <c r="G34" s="5">
        <v>30071.25</v>
      </c>
      <c r="H34" s="5">
        <v>5</v>
      </c>
      <c r="I34" s="5">
        <v>30047.75</v>
      </c>
      <c r="J34" s="7">
        <v>30074.5</v>
      </c>
      <c r="K34" s="8">
        <f t="shared" ref="K34:K65" si="4">IF(AND(I34&lt;&gt;"",J34&lt;&gt;"",F34&lt;&gt;""), (J34-F34)/(F34-I34), "")</f>
        <v>0.38961038961038963</v>
      </c>
      <c r="L34" s="8">
        <f t="shared" ref="L34:L52" si="5">IF(AND(F34&lt;&gt;"",G34&lt;&gt;"",I34&lt;&gt;""), (G34-F34)/(F34-I34), "")</f>
        <v>0.22077922077922077</v>
      </c>
      <c r="M34" s="5" t="str">
        <f t="shared" ref="M34:M65" si="6">IF(N34&gt;0,"Win",IF(N34&lt;0,"Loss",""))</f>
        <v>Win</v>
      </c>
      <c r="N34" s="18">
        <f>IF(AND(F34&lt;&gt;"",G34&lt;&gt;"",H34&lt;&gt;"",D34&lt;&gt;""), IF(E34="Long", (G34-F34)*H34*VLOOKUP(D34,Multipliers!A:B,2,FALSE), (F34-G34)*H34*VLOOKUP(D34,Multipliers!A:B,2,FALSE)), "")</f>
        <v>42.5</v>
      </c>
      <c r="O34" s="9">
        <f>IF(AND(N34&lt;&gt;"",F34&lt;&gt;"",H34&lt;&gt;"",D34&lt;&gt;""), N34/(F34*H34*VLOOKUP(D34,Multipliers!A:B,2,FALSE)), "")</f>
        <v>1.4135098280506869E-4</v>
      </c>
      <c r="P34" s="5">
        <f t="shared" si="3"/>
        <v>494.99989999961872</v>
      </c>
      <c r="Q34" s="5"/>
      <c r="R34" s="5" t="s">
        <v>30</v>
      </c>
      <c r="S34" s="5" t="s">
        <v>21</v>
      </c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25">
      <c r="A35" s="5">
        <v>40</v>
      </c>
      <c r="B35" s="13">
        <v>46248</v>
      </c>
      <c r="C35" s="10">
        <v>0.53502314814814811</v>
      </c>
      <c r="D35" s="5" t="s">
        <v>21</v>
      </c>
      <c r="E35" s="5" t="s">
        <v>22</v>
      </c>
      <c r="F35" s="5">
        <v>30064.5</v>
      </c>
      <c r="G35" s="5">
        <v>30068</v>
      </c>
      <c r="H35" s="5">
        <v>5</v>
      </c>
      <c r="I35" s="5"/>
      <c r="J35" s="7">
        <v>30074.5</v>
      </c>
      <c r="K35" s="8" t="str">
        <f t="shared" si="4"/>
        <v/>
      </c>
      <c r="L35" s="8" t="str">
        <f t="shared" si="5"/>
        <v/>
      </c>
      <c r="M35" s="5" t="str">
        <f t="shared" si="6"/>
        <v>Win</v>
      </c>
      <c r="N35" s="18">
        <f>IF(AND(F35&lt;&gt;"",G35&lt;&gt;"",H35&lt;&gt;"",D35&lt;&gt;""), IF(E35="Long", (G35-F35)*H35*VLOOKUP(D35,Multipliers!A:B,2,FALSE), (F35-G35)*H35*VLOOKUP(D35,Multipliers!A:B,2,FALSE)), "")</f>
        <v>35</v>
      </c>
      <c r="O35" s="9">
        <f>IF(AND(N35&lt;&gt;"",F35&lt;&gt;"",H35&lt;&gt;"",D35&lt;&gt;""), N35/(F35*H35*VLOOKUP(D35,Multipliers!A:B,2,FALSE)), "")</f>
        <v>1.1641637146801045E-4</v>
      </c>
      <c r="P35" s="5">
        <f t="shared" ref="P35:P52" si="7">P34+N35</f>
        <v>529.99989999961872</v>
      </c>
      <c r="Q35" s="5"/>
      <c r="R35" s="5" t="s">
        <v>30</v>
      </c>
      <c r="S35" s="5" t="s">
        <v>21</v>
      </c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5">
      <c r="A36" s="5">
        <v>41</v>
      </c>
      <c r="B36" s="13">
        <v>46252</v>
      </c>
      <c r="C36" s="10">
        <v>0.41706018518518517</v>
      </c>
      <c r="D36" s="5" t="s">
        <v>26</v>
      </c>
      <c r="E36" s="5" t="s">
        <v>29</v>
      </c>
      <c r="F36" s="5">
        <v>4454.7</v>
      </c>
      <c r="G36" s="5">
        <v>4460</v>
      </c>
      <c r="H36" s="5">
        <v>3</v>
      </c>
      <c r="I36" s="5">
        <v>4459.8999999999996</v>
      </c>
      <c r="J36" s="7">
        <v>4454</v>
      </c>
      <c r="K36" s="8">
        <f t="shared" si="4"/>
        <v>0.13461538461535436</v>
      </c>
      <c r="L36" s="8">
        <f t="shared" si="5"/>
        <v>-1.0192307692308398</v>
      </c>
      <c r="M36" s="5" t="str">
        <f t="shared" si="6"/>
        <v>Loss</v>
      </c>
      <c r="N36" s="18">
        <f>IF(AND(F36&lt;&gt;"",G36&lt;&gt;"",H36&lt;&gt;"",D36&lt;&gt;""), IF(E36="Long", (G36-F36)*H36*VLOOKUP(D36,Multipliers!A:B,2,FALSE), (F36-G36)*H36*VLOOKUP(D36,Multipliers!A:B,2,FALSE)), "")</f>
        <v>-159.00000000000546</v>
      </c>
      <c r="O36" s="9">
        <f>IF(AND(N36&lt;&gt;"",F36&lt;&gt;"",H36&lt;&gt;"",D36&lt;&gt;""), N36/(F36*H36*VLOOKUP(D36,Multipliers!A:B,2,FALSE)), "")</f>
        <v>-1.1897546411655513E-3</v>
      </c>
      <c r="P36" s="5">
        <f t="shared" si="7"/>
        <v>370.99989999961326</v>
      </c>
      <c r="Q36" s="5"/>
      <c r="R36" s="5" t="s">
        <v>30</v>
      </c>
      <c r="S36" s="5" t="s">
        <v>26</v>
      </c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25">
      <c r="A37" s="5">
        <v>42</v>
      </c>
      <c r="B37" s="13">
        <v>46252</v>
      </c>
      <c r="C37" s="10">
        <v>0.42253472222222221</v>
      </c>
      <c r="D37" s="5" t="s">
        <v>26</v>
      </c>
      <c r="E37" s="5" t="s">
        <v>22</v>
      </c>
      <c r="F37" s="5">
        <v>4454.2</v>
      </c>
      <c r="G37" s="5">
        <v>4448.2</v>
      </c>
      <c r="H37" s="5">
        <v>3</v>
      </c>
      <c r="I37" s="5">
        <v>4448.2</v>
      </c>
      <c r="J37" s="7">
        <v>4467</v>
      </c>
      <c r="K37" s="8">
        <f t="shared" si="4"/>
        <v>2.1333333333333635</v>
      </c>
      <c r="L37" s="8">
        <f t="shared" si="5"/>
        <v>-1</v>
      </c>
      <c r="M37" s="5" t="str">
        <f t="shared" si="6"/>
        <v>Loss</v>
      </c>
      <c r="N37" s="18">
        <f>IF(AND(F37&lt;&gt;"",G37&lt;&gt;"",H37&lt;&gt;"",D37&lt;&gt;""), IF(E37="Long", (G37-F37)*H37*VLOOKUP(D37,Multipliers!A:B,2,FALSE), (F37-G37)*H37*VLOOKUP(D37,Multipliers!A:B,2,FALSE)), "")</f>
        <v>-180</v>
      </c>
      <c r="O37" s="9">
        <f>IF(AND(N37&lt;&gt;"",F37&lt;&gt;"",H37&lt;&gt;"",D37&lt;&gt;""), N37/(F37*H37*VLOOKUP(D37,Multipliers!A:B,2,FALSE)), "")</f>
        <v>-1.3470432400880068E-3</v>
      </c>
      <c r="P37" s="5">
        <f t="shared" si="7"/>
        <v>190.99989999961326</v>
      </c>
      <c r="Q37" s="5"/>
      <c r="R37" s="5" t="s">
        <v>30</v>
      </c>
      <c r="S37" s="5" t="s">
        <v>26</v>
      </c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25">
      <c r="A38" s="5">
        <v>43</v>
      </c>
      <c r="B38" s="13">
        <v>46252</v>
      </c>
      <c r="C38" s="10">
        <v>0.42832175925925919</v>
      </c>
      <c r="D38" s="5" t="s">
        <v>21</v>
      </c>
      <c r="E38" s="5" t="s">
        <v>29</v>
      </c>
      <c r="F38" s="5">
        <v>29614</v>
      </c>
      <c r="G38" s="5">
        <v>29634</v>
      </c>
      <c r="H38" s="5">
        <v>2</v>
      </c>
      <c r="I38" s="5">
        <v>29634</v>
      </c>
      <c r="J38" s="5">
        <v>29574</v>
      </c>
      <c r="K38" s="8">
        <f t="shared" si="4"/>
        <v>2</v>
      </c>
      <c r="L38" s="8">
        <f t="shared" si="5"/>
        <v>-1</v>
      </c>
      <c r="M38" s="5" t="str">
        <f t="shared" si="6"/>
        <v>Loss</v>
      </c>
      <c r="N38" s="18">
        <f>IF(AND(F38&lt;&gt;"",G38&lt;&gt;"",H38&lt;&gt;"",D38&lt;&gt;""), IF(E38="Long", (G38-F38)*H38*VLOOKUP(D38,Multipliers!A:B,2,FALSE), (F38-G38)*H38*VLOOKUP(D38,Multipliers!A:B,2,FALSE)), "")</f>
        <v>-80</v>
      </c>
      <c r="O38" s="9">
        <f>IF(AND(N38&lt;&gt;"",F38&lt;&gt;"",H38&lt;&gt;"",D38&lt;&gt;""), N38/(F38*H38*VLOOKUP(D38,Multipliers!A:B,2,FALSE)), "")</f>
        <v>-6.7535625042209767E-4</v>
      </c>
      <c r="P38" s="5">
        <f t="shared" si="7"/>
        <v>110.99989999961326</v>
      </c>
      <c r="Q38" s="5"/>
      <c r="R38" s="5" t="s">
        <v>30</v>
      </c>
      <c r="S38" s="5" t="s">
        <v>21</v>
      </c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25">
      <c r="A39" s="5">
        <v>44</v>
      </c>
      <c r="B39" s="13">
        <v>46252</v>
      </c>
      <c r="C39" s="10">
        <v>0.43178240740740742</v>
      </c>
      <c r="D39" s="5" t="s">
        <v>21</v>
      </c>
      <c r="E39" s="5" t="s">
        <v>29</v>
      </c>
      <c r="F39" s="5">
        <v>29607.5</v>
      </c>
      <c r="G39" s="5">
        <v>29656.75</v>
      </c>
      <c r="H39" s="5">
        <v>3</v>
      </c>
      <c r="I39" s="5">
        <v>29649</v>
      </c>
      <c r="J39" s="5">
        <v>29552</v>
      </c>
      <c r="K39" s="8">
        <f t="shared" si="4"/>
        <v>1.3373493975903614</v>
      </c>
      <c r="L39" s="8">
        <f t="shared" si="5"/>
        <v>-1.1867469879518073</v>
      </c>
      <c r="M39" s="5" t="str">
        <f t="shared" si="6"/>
        <v>Loss</v>
      </c>
      <c r="N39" s="18">
        <f>IF(AND(F39&lt;&gt;"",G39&lt;&gt;"",H39&lt;&gt;"",D39&lt;&gt;""), IF(E39="Long", (G39-F39)*H39*VLOOKUP(D39,Multipliers!A:B,2,FALSE), (F39-G39)*H39*VLOOKUP(D39,Multipliers!A:B,2,FALSE)), "")</f>
        <v>-295.5</v>
      </c>
      <c r="O39" s="9">
        <f>IF(AND(N39&lt;&gt;"",F39&lt;&gt;"",H39&lt;&gt;"",D39&lt;&gt;""), N39/(F39*H39*VLOOKUP(D39,Multipliers!A:B,2,FALSE)), "")</f>
        <v>-1.6634298741872837E-3</v>
      </c>
      <c r="P39" s="5">
        <f t="shared" si="7"/>
        <v>-184.50010000038674</v>
      </c>
      <c r="Q39" s="5"/>
      <c r="R39" s="5" t="s">
        <v>30</v>
      </c>
      <c r="S39" s="5" t="s">
        <v>21</v>
      </c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25">
      <c r="A40" s="5">
        <v>45</v>
      </c>
      <c r="B40" s="13">
        <v>46252</v>
      </c>
      <c r="C40" s="10">
        <v>0.45059027777777783</v>
      </c>
      <c r="D40" s="5" t="s">
        <v>26</v>
      </c>
      <c r="E40" s="5" t="s">
        <v>29</v>
      </c>
      <c r="F40" s="5">
        <v>4444.2</v>
      </c>
      <c r="G40" s="5">
        <v>4434.5</v>
      </c>
      <c r="H40" s="5">
        <v>2</v>
      </c>
      <c r="I40" s="5">
        <v>4447.8</v>
      </c>
      <c r="J40" s="5">
        <v>4434.5</v>
      </c>
      <c r="K40" s="8">
        <f t="shared" si="4"/>
        <v>2.6944444444441218</v>
      </c>
      <c r="L40" s="8">
        <f t="shared" si="5"/>
        <v>2.6944444444441218</v>
      </c>
      <c r="M40" s="5" t="str">
        <f t="shared" si="6"/>
        <v>Win</v>
      </c>
      <c r="N40" s="18">
        <f>IF(AND(F40&lt;&gt;"",G40&lt;&gt;"",H40&lt;&gt;"",D40&lt;&gt;""), IF(E40="Long", (G40-F40)*H40*VLOOKUP(D40,Multipliers!A:B,2,FALSE), (F40-G40)*H40*VLOOKUP(D40,Multipliers!A:B,2,FALSE)), "")</f>
        <v>193.99999999999636</v>
      </c>
      <c r="O40" s="9">
        <f>IF(AND(N40&lt;&gt;"",F40&lt;&gt;"",H40&lt;&gt;"",D40&lt;&gt;""), N40/(F40*H40*VLOOKUP(D40,Multipliers!A:B,2,FALSE)), "")</f>
        <v>2.1826200441023846E-3</v>
      </c>
      <c r="P40" s="5">
        <f t="shared" si="7"/>
        <v>9.4998999996096245</v>
      </c>
      <c r="Q40" s="5"/>
      <c r="R40" s="5" t="s">
        <v>30</v>
      </c>
      <c r="S40" s="5" t="s">
        <v>26</v>
      </c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25">
      <c r="A41" s="5">
        <v>46</v>
      </c>
      <c r="B41" s="13">
        <v>46253</v>
      </c>
      <c r="C41" s="10">
        <v>0.40523148148148153</v>
      </c>
      <c r="D41" s="5" t="s">
        <v>21</v>
      </c>
      <c r="E41" s="5" t="s">
        <v>29</v>
      </c>
      <c r="F41" s="5">
        <v>29615.5</v>
      </c>
      <c r="G41" s="5">
        <v>29544.25</v>
      </c>
      <c r="H41" s="5">
        <v>3</v>
      </c>
      <c r="I41" s="5"/>
      <c r="J41" s="5">
        <v>29549</v>
      </c>
      <c r="K41" s="8" t="str">
        <f t="shared" si="4"/>
        <v/>
      </c>
      <c r="L41" s="8" t="str">
        <f t="shared" si="5"/>
        <v/>
      </c>
      <c r="M41" s="5" t="str">
        <f t="shared" si="6"/>
        <v>Win</v>
      </c>
      <c r="N41" s="18">
        <f>IF(AND(F41&lt;&gt;"",G41&lt;&gt;"",H41&lt;&gt;"",D41&lt;&gt;""), IF(E41="Long", (G41-F41)*H41*VLOOKUP(D41,Multipliers!A:B,2,FALSE), (F41-G41)*H41*VLOOKUP(D41,Multipliers!A:B,2,FALSE)), "")</f>
        <v>427.5</v>
      </c>
      <c r="O41" s="9">
        <f>IF(AND(N41&lt;&gt;"",F41&lt;&gt;"",H41&lt;&gt;"",D41&lt;&gt;""), N41/(F41*H41*VLOOKUP(D41,Multipliers!A:B,2,FALSE)), "")</f>
        <v>2.4058347824618864E-3</v>
      </c>
      <c r="P41" s="5">
        <f t="shared" si="7"/>
        <v>436.99989999960962</v>
      </c>
      <c r="Q41" s="5"/>
      <c r="R41" s="5" t="s">
        <v>30</v>
      </c>
      <c r="S41" s="5" t="s">
        <v>21</v>
      </c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25">
      <c r="A42" s="5">
        <v>47</v>
      </c>
      <c r="B42" s="13">
        <v>46253</v>
      </c>
      <c r="C42" s="10">
        <v>0.52335648148148151</v>
      </c>
      <c r="D42" s="5" t="s">
        <v>21</v>
      </c>
      <c r="E42" s="5" t="s">
        <v>29</v>
      </c>
      <c r="F42" s="5">
        <v>29614.75</v>
      </c>
      <c r="G42" s="5">
        <v>29607</v>
      </c>
      <c r="H42" s="5">
        <v>3</v>
      </c>
      <c r="I42" s="5">
        <v>29638.75</v>
      </c>
      <c r="J42" s="5">
        <v>29607</v>
      </c>
      <c r="K42" s="8">
        <f t="shared" si="4"/>
        <v>0.32291666666666669</v>
      </c>
      <c r="L42" s="8">
        <f t="shared" si="5"/>
        <v>0.32291666666666669</v>
      </c>
      <c r="M42" s="5" t="str">
        <f t="shared" si="6"/>
        <v>Win</v>
      </c>
      <c r="N42" s="18">
        <f>IF(AND(F42&lt;&gt;"",G42&lt;&gt;"",H42&lt;&gt;"",D42&lt;&gt;""), IF(E42="Long", (G42-F42)*H42*VLOOKUP(D42,Multipliers!A:B,2,FALSE), (F42-G42)*H42*VLOOKUP(D42,Multipliers!A:B,2,FALSE)), "")</f>
        <v>46.5</v>
      </c>
      <c r="O42" s="9">
        <f>IF(AND(N42&lt;&gt;"",F42&lt;&gt;"",H42&lt;&gt;"",D42&lt;&gt;""), N42/(F42*H42*VLOOKUP(D42,Multipliers!A:B,2,FALSE)), "")</f>
        <v>2.6169391941515628E-4</v>
      </c>
      <c r="P42" s="5">
        <f t="shared" si="7"/>
        <v>483.49989999960962</v>
      </c>
      <c r="Q42" s="5"/>
      <c r="R42" s="5" t="s">
        <v>30</v>
      </c>
      <c r="S42" s="5" t="s">
        <v>21</v>
      </c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25">
      <c r="A43" s="5">
        <v>48</v>
      </c>
      <c r="B43" s="13">
        <v>46253</v>
      </c>
      <c r="C43" s="10">
        <v>0.60753472222222227</v>
      </c>
      <c r="D43" s="5" t="s">
        <v>26</v>
      </c>
      <c r="E43" s="5" t="s">
        <v>29</v>
      </c>
      <c r="F43" s="5">
        <v>4539.5</v>
      </c>
      <c r="G43" s="5">
        <v>4546.3999999999996</v>
      </c>
      <c r="H43" s="5">
        <v>3</v>
      </c>
      <c r="I43" s="5">
        <v>4545.5</v>
      </c>
      <c r="J43" s="5">
        <v>4537.6000000000004</v>
      </c>
      <c r="K43" s="8">
        <f t="shared" si="4"/>
        <v>0.31666666666660603</v>
      </c>
      <c r="L43" s="8">
        <f t="shared" si="5"/>
        <v>-1.1499999999999393</v>
      </c>
      <c r="M43" s="5" t="str">
        <f t="shared" si="6"/>
        <v>Loss</v>
      </c>
      <c r="N43" s="18">
        <f>IF(AND(F43&lt;&gt;"",G43&lt;&gt;"",H43&lt;&gt;"",D43&lt;&gt;""), IF(E43="Long", (G43-F43)*H43*VLOOKUP(D43,Multipliers!A:B,2,FALSE), (F43-G43)*H43*VLOOKUP(D43,Multipliers!A:B,2,FALSE)), "")</f>
        <v>-206.99999999998909</v>
      </c>
      <c r="O43" s="9">
        <f>IF(AND(N43&lt;&gt;"",F43&lt;&gt;"",H43&lt;&gt;"",D43&lt;&gt;""), N43/(F43*H43*VLOOKUP(D43,Multipliers!A:B,2,FALSE)), "")</f>
        <v>-1.5199911884567984E-3</v>
      </c>
      <c r="P43" s="5">
        <f t="shared" si="7"/>
        <v>276.49989999962054</v>
      </c>
      <c r="Q43" s="5"/>
      <c r="R43" s="5" t="s">
        <v>30</v>
      </c>
      <c r="S43" s="5" t="s">
        <v>26</v>
      </c>
      <c r="T43" s="5"/>
      <c r="U43" s="5"/>
      <c r="V43" s="5"/>
      <c r="W43" s="5"/>
      <c r="X43" s="5"/>
      <c r="Y43" s="5"/>
      <c r="Z43" s="5"/>
      <c r="AA43" s="5"/>
    </row>
    <row r="44" spans="1:27" ht="15.75" customHeight="1" x14ac:dyDescent="0.25">
      <c r="A44" s="5">
        <v>49</v>
      </c>
      <c r="B44" s="13">
        <v>46253</v>
      </c>
      <c r="C44" s="10">
        <v>0.62565972222222221</v>
      </c>
      <c r="D44" s="5" t="s">
        <v>21</v>
      </c>
      <c r="E44" s="5" t="s">
        <v>29</v>
      </c>
      <c r="F44" s="5">
        <v>29544.5</v>
      </c>
      <c r="G44" s="5">
        <v>29564.5</v>
      </c>
      <c r="H44" s="5">
        <v>3</v>
      </c>
      <c r="I44" s="5">
        <v>29564.5</v>
      </c>
      <c r="J44" s="5">
        <v>29540</v>
      </c>
      <c r="K44" s="8">
        <f t="shared" si="4"/>
        <v>0.22500000000000001</v>
      </c>
      <c r="L44" s="8">
        <f t="shared" si="5"/>
        <v>-1</v>
      </c>
      <c r="M44" s="5" t="str">
        <f t="shared" si="6"/>
        <v>Loss</v>
      </c>
      <c r="N44" s="18">
        <f>IF(AND(F44&lt;&gt;"",G44&lt;&gt;"",H44&lt;&gt;"",D44&lt;&gt;""), IF(E44="Long", (G44-F44)*H44*VLOOKUP(D44,Multipliers!A:B,2,FALSE), (F44-G44)*H44*VLOOKUP(D44,Multipliers!A:B,2,FALSE)), "")</f>
        <v>-120</v>
      </c>
      <c r="O44" s="9">
        <f>IF(AND(N44&lt;&gt;"",F44&lt;&gt;"",H44&lt;&gt;"",D44&lt;&gt;""), N44/(F44*H44*VLOOKUP(D44,Multipliers!A:B,2,FALSE)), "")</f>
        <v>-6.7694494745214849E-4</v>
      </c>
      <c r="P44" s="5">
        <f t="shared" si="7"/>
        <v>156.49989999962054</v>
      </c>
      <c r="Q44" s="5"/>
      <c r="R44" s="5" t="s">
        <v>30</v>
      </c>
      <c r="S44" s="5" t="s">
        <v>21</v>
      </c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25">
      <c r="A45" s="5">
        <v>50</v>
      </c>
      <c r="B45" s="13">
        <v>46254</v>
      </c>
      <c r="C45" s="10">
        <v>0.41099537037037043</v>
      </c>
      <c r="D45" s="5" t="s">
        <v>26</v>
      </c>
      <c r="E45" s="5" t="s">
        <v>22</v>
      </c>
      <c r="F45" s="5">
        <v>4538.74</v>
      </c>
      <c r="G45" s="5">
        <v>4551.8599999999997</v>
      </c>
      <c r="H45" s="5">
        <v>5</v>
      </c>
      <c r="I45" s="5">
        <v>4530.8</v>
      </c>
      <c r="J45" s="5">
        <v>4555.5</v>
      </c>
      <c r="K45" s="8">
        <f t="shared" si="4"/>
        <v>2.110831234257061</v>
      </c>
      <c r="L45" s="8">
        <f t="shared" si="5"/>
        <v>1.6523929471033441</v>
      </c>
      <c r="M45" s="5" t="str">
        <f t="shared" si="6"/>
        <v>Win</v>
      </c>
      <c r="N45" s="18">
        <f>IF(AND(F45&lt;&gt;"",G45&lt;&gt;"",H45&lt;&gt;"",D45&lt;&gt;""), IF(E45="Long", (G45-F45)*H45*VLOOKUP(D45,Multipliers!A:B,2,FALSE), (F45-G45)*H45*VLOOKUP(D45,Multipliers!A:B,2,FALSE)), "")</f>
        <v>655.99999999999454</v>
      </c>
      <c r="O45" s="9">
        <f>IF(AND(N45&lt;&gt;"",F45&lt;&gt;"",H45&lt;&gt;"",D45&lt;&gt;""), N45/(F45*H45*VLOOKUP(D45,Multipliers!A:B,2,FALSE)), "")</f>
        <v>2.8906700978685476E-3</v>
      </c>
      <c r="P45" s="5">
        <f t="shared" si="7"/>
        <v>812.49989999961508</v>
      </c>
      <c r="Q45" s="5"/>
      <c r="R45" s="5" t="s">
        <v>30</v>
      </c>
      <c r="S45" s="5" t="s">
        <v>26</v>
      </c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25">
      <c r="A46" s="5">
        <v>51</v>
      </c>
      <c r="B46" s="13">
        <v>46254</v>
      </c>
      <c r="C46" s="10">
        <v>0.42015046296296299</v>
      </c>
      <c r="D46" s="5" t="s">
        <v>21</v>
      </c>
      <c r="E46" s="5" t="s">
        <v>22</v>
      </c>
      <c r="F46" s="5">
        <v>29329.5</v>
      </c>
      <c r="G46" s="5">
        <v>29323.25</v>
      </c>
      <c r="H46" s="5">
        <v>2</v>
      </c>
      <c r="I46" s="5">
        <v>29323.5</v>
      </c>
      <c r="J46" s="5">
        <v>29383.5</v>
      </c>
      <c r="K46" s="8">
        <f t="shared" si="4"/>
        <v>9</v>
      </c>
      <c r="L46" s="8">
        <f t="shared" si="5"/>
        <v>-1.0416666666666667</v>
      </c>
      <c r="M46" s="5" t="str">
        <f t="shared" si="6"/>
        <v>Loss</v>
      </c>
      <c r="N46" s="18">
        <f>IF(AND(F46&lt;&gt;"",G46&lt;&gt;"",H46&lt;&gt;"",D46&lt;&gt;""), IF(E46="Long", (G46-F46)*H46*VLOOKUP(D46,Multipliers!A:B,2,FALSE), (F46-G46)*H46*VLOOKUP(D46,Multipliers!A:B,2,FALSE)), "")</f>
        <v>-25</v>
      </c>
      <c r="O46" s="9">
        <f>IF(AND(N46&lt;&gt;"",F46&lt;&gt;"",H46&lt;&gt;"",D46&lt;&gt;""), N46/(F46*H46*VLOOKUP(D46,Multipliers!A:B,2,FALSE)), "")</f>
        <v>-2.130960295947766E-4</v>
      </c>
      <c r="P46" s="5">
        <f t="shared" si="7"/>
        <v>787.49989999961508</v>
      </c>
      <c r="Q46" s="5"/>
      <c r="R46" s="5" t="s">
        <v>30</v>
      </c>
      <c r="S46" s="5" t="s">
        <v>21</v>
      </c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25">
      <c r="A47" s="5">
        <v>52</v>
      </c>
      <c r="B47" s="13">
        <v>46255</v>
      </c>
      <c r="C47" s="10">
        <v>0.41141203703703699</v>
      </c>
      <c r="D47" s="5" t="s">
        <v>26</v>
      </c>
      <c r="E47" s="5" t="s">
        <v>22</v>
      </c>
      <c r="F47" s="5">
        <v>4638.6000000000004</v>
      </c>
      <c r="G47" s="5">
        <v>4656.6666670000004</v>
      </c>
      <c r="H47" s="5">
        <v>3</v>
      </c>
      <c r="I47" s="5">
        <v>4632</v>
      </c>
      <c r="J47" s="5">
        <v>4660</v>
      </c>
      <c r="K47" s="8">
        <f t="shared" si="4"/>
        <v>3.2424242424240086</v>
      </c>
      <c r="L47" s="8">
        <f t="shared" si="5"/>
        <v>2.7373737878786448</v>
      </c>
      <c r="M47" s="5" t="str">
        <f t="shared" si="6"/>
        <v>Win</v>
      </c>
      <c r="N47" s="18">
        <f>IF(AND(F47&lt;&gt;"",G47&lt;&gt;"",H47&lt;&gt;"",D47&lt;&gt;""), IF(E47="Long", (G47-F47)*H47*VLOOKUP(D47,Multipliers!A:B,2,FALSE), (F47-G47)*H47*VLOOKUP(D47,Multipliers!A:B,2,FALSE)), "")</f>
        <v>542.00001000000157</v>
      </c>
      <c r="O47" s="9">
        <f>IF(AND(N47&lt;&gt;"",F47&lt;&gt;"",H47&lt;&gt;"",D47&lt;&gt;""), N47/(F47*H47*VLOOKUP(D47,Multipliers!A:B,2,FALSE)), "")</f>
        <v>3.8948534040443351E-3</v>
      </c>
      <c r="P47" s="5">
        <f t="shared" si="7"/>
        <v>1329.4999099996166</v>
      </c>
      <c r="Q47" s="5"/>
      <c r="R47" s="5" t="s">
        <v>30</v>
      </c>
      <c r="S47" s="5" t="s">
        <v>26</v>
      </c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25">
      <c r="A48" s="5">
        <v>53</v>
      </c>
      <c r="B48" s="13">
        <v>46257</v>
      </c>
      <c r="C48" s="10">
        <v>0.81630787037037034</v>
      </c>
      <c r="D48" s="5" t="s">
        <v>26</v>
      </c>
      <c r="E48" s="5" t="s">
        <v>22</v>
      </c>
      <c r="F48" s="5">
        <v>4640.8</v>
      </c>
      <c r="G48" s="5">
        <v>4634.6000000000004</v>
      </c>
      <c r="H48" s="5">
        <v>1</v>
      </c>
      <c r="I48" s="5">
        <v>4634.8</v>
      </c>
      <c r="J48" s="5">
        <v>4652.8</v>
      </c>
      <c r="K48" s="8">
        <f t="shared" si="4"/>
        <v>2</v>
      </c>
      <c r="L48" s="8">
        <f t="shared" si="5"/>
        <v>-1.033333333333303</v>
      </c>
      <c r="M48" s="5" t="str">
        <f t="shared" si="6"/>
        <v>Loss</v>
      </c>
      <c r="N48" s="18">
        <f>IF(AND(F48&lt;&gt;"",G48&lt;&gt;"",H48&lt;&gt;"",D48&lt;&gt;""), IF(E48="Long", (G48-F48)*H48*VLOOKUP(D48,Multipliers!A:B,2,FALSE), (F48-G48)*H48*VLOOKUP(D48,Multipliers!A:B,2,FALSE)), "")</f>
        <v>-61.999999999998181</v>
      </c>
      <c r="O48" s="9">
        <f>IF(AND(N48&lt;&gt;"",F48&lt;&gt;"",H48&lt;&gt;"",D48&lt;&gt;""), N48/(F48*H48*VLOOKUP(D48,Multipliers!A:B,2,FALSE)), "")</f>
        <v>-1.335976555766208E-3</v>
      </c>
      <c r="P48" s="5">
        <f t="shared" si="7"/>
        <v>1267.4999099996185</v>
      </c>
      <c r="Q48" s="5"/>
      <c r="R48" s="5" t="s">
        <v>30</v>
      </c>
      <c r="S48" s="5" t="s">
        <v>26</v>
      </c>
      <c r="T48" s="5"/>
      <c r="U48" s="5"/>
      <c r="V48" s="5"/>
      <c r="W48" s="5"/>
      <c r="X48" s="5"/>
      <c r="Y48" s="5"/>
      <c r="Z48" s="5"/>
      <c r="AA48" s="5"/>
    </row>
    <row r="49" spans="1:27" ht="15.75" customHeight="1" x14ac:dyDescent="0.25">
      <c r="A49" s="5">
        <v>54</v>
      </c>
      <c r="B49" s="13">
        <v>46257</v>
      </c>
      <c r="C49" s="10">
        <v>0.82392361111111112</v>
      </c>
      <c r="D49" s="5" t="s">
        <v>26</v>
      </c>
      <c r="E49" s="5" t="s">
        <v>22</v>
      </c>
      <c r="F49" s="5">
        <v>4631.1000000000004</v>
      </c>
      <c r="G49" s="5">
        <v>4643.1000000000004</v>
      </c>
      <c r="H49" s="5">
        <v>1</v>
      </c>
      <c r="I49" s="5">
        <v>4625.1000000000004</v>
      </c>
      <c r="J49" s="5">
        <v>4643.1000000000004</v>
      </c>
      <c r="K49" s="8">
        <f t="shared" si="4"/>
        <v>2</v>
      </c>
      <c r="L49" s="8">
        <f t="shared" si="5"/>
        <v>2</v>
      </c>
      <c r="M49" s="5" t="str">
        <f t="shared" si="6"/>
        <v>Win</v>
      </c>
      <c r="N49" s="18">
        <f>IF(AND(F49&lt;&gt;"",G49&lt;&gt;"",H49&lt;&gt;"",D49&lt;&gt;""), IF(E49="Long", (G49-F49)*H49*VLOOKUP(D49,Multipliers!A:B,2,FALSE), (F49-G49)*H49*VLOOKUP(D49,Multipliers!A:B,2,FALSE)), "")</f>
        <v>120</v>
      </c>
      <c r="O49" s="9">
        <f>IF(AND(N49&lt;&gt;"",F49&lt;&gt;"",H49&lt;&gt;"",D49&lt;&gt;""), N49/(F49*H49*VLOOKUP(D49,Multipliers!A:B,2,FALSE)), "")</f>
        <v>2.5911770421714062E-3</v>
      </c>
      <c r="P49" s="5">
        <f t="shared" si="7"/>
        <v>1387.4999099996185</v>
      </c>
      <c r="Q49" s="5"/>
      <c r="R49" s="5" t="s">
        <v>30</v>
      </c>
      <c r="S49" s="5" t="s">
        <v>26</v>
      </c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25">
      <c r="A50" s="5">
        <v>55</v>
      </c>
      <c r="B50" s="13">
        <v>46257</v>
      </c>
      <c r="C50" s="10">
        <v>0.84993055555555552</v>
      </c>
      <c r="D50" s="5" t="s">
        <v>26</v>
      </c>
      <c r="E50" s="5" t="s">
        <v>22</v>
      </c>
      <c r="F50" s="5">
        <v>4642.3</v>
      </c>
      <c r="G50" s="5">
        <v>4636.2</v>
      </c>
      <c r="H50" s="5">
        <v>1</v>
      </c>
      <c r="I50" s="5">
        <v>4636.3</v>
      </c>
      <c r="J50" s="5">
        <v>4654.3</v>
      </c>
      <c r="K50" s="8">
        <f t="shared" si="4"/>
        <v>2</v>
      </c>
      <c r="L50" s="8">
        <f t="shared" si="5"/>
        <v>-1.0166666666667272</v>
      </c>
      <c r="M50" s="5" t="str">
        <f t="shared" si="6"/>
        <v>Loss</v>
      </c>
      <c r="N50" s="18">
        <f>IF(AND(F50&lt;&gt;"",G50&lt;&gt;"",H50&lt;&gt;"",D50&lt;&gt;""), IF(E50="Long", (G50-F50)*H50*VLOOKUP(D50,Multipliers!A:B,2,FALSE), (F50-G50)*H50*VLOOKUP(D50,Multipliers!A:B,2,FALSE)), "")</f>
        <v>-61.000000000003638</v>
      </c>
      <c r="O50" s="9">
        <f>IF(AND(N50&lt;&gt;"",F50&lt;&gt;"",H50&lt;&gt;"",D50&lt;&gt;""), N50/(F50*H50*VLOOKUP(D50,Multipliers!A:B,2,FALSE)), "")</f>
        <v>-1.3140038343063491E-3</v>
      </c>
      <c r="P50" s="5">
        <f t="shared" si="7"/>
        <v>1326.4999099996148</v>
      </c>
      <c r="Q50" s="5"/>
      <c r="R50" s="5" t="s">
        <v>30</v>
      </c>
      <c r="S50" s="5" t="s">
        <v>26</v>
      </c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25">
      <c r="A51" s="5">
        <v>56</v>
      </c>
      <c r="B51" s="13">
        <v>46257</v>
      </c>
      <c r="C51" s="10">
        <v>0.85321759259259256</v>
      </c>
      <c r="D51" s="5" t="s">
        <v>26</v>
      </c>
      <c r="E51" s="5" t="s">
        <v>22</v>
      </c>
      <c r="F51" s="5">
        <v>4630.1000000000004</v>
      </c>
      <c r="G51" s="5">
        <v>4641.55</v>
      </c>
      <c r="H51" s="5">
        <v>2</v>
      </c>
      <c r="I51" s="5">
        <v>4620.8</v>
      </c>
      <c r="J51" s="5">
        <v>4643.1000000000004</v>
      </c>
      <c r="K51" s="8">
        <f t="shared" si="4"/>
        <v>1.397849462365564</v>
      </c>
      <c r="L51" s="8">
        <f t="shared" si="5"/>
        <v>1.231182795698881</v>
      </c>
      <c r="M51" s="5" t="str">
        <f t="shared" si="6"/>
        <v>Win</v>
      </c>
      <c r="N51" s="18">
        <f>IF(AND(F51&lt;&gt;"",G51&lt;&gt;"",H51&lt;&gt;"",D51&lt;&gt;""), IF(E51="Long", (G51-F51)*H51*VLOOKUP(D51,Multipliers!A:B,2,FALSE), (F51-G51)*H51*VLOOKUP(D51,Multipliers!A:B,2,FALSE)), "")</f>
        <v>228.99999999999636</v>
      </c>
      <c r="O51" s="9">
        <f>IF(AND(N51&lt;&gt;"",F51&lt;&gt;"",H51&lt;&gt;"",D51&lt;&gt;""), N51/(F51*H51*VLOOKUP(D51,Multipliers!A:B,2,FALSE)), "")</f>
        <v>2.4729487484071227E-3</v>
      </c>
      <c r="P51" s="5">
        <f t="shared" si="7"/>
        <v>1555.4999099996112</v>
      </c>
      <c r="Q51" s="5"/>
      <c r="R51" s="5" t="s">
        <v>30</v>
      </c>
      <c r="S51" s="5" t="s">
        <v>26</v>
      </c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25">
      <c r="A52" s="5">
        <v>57</v>
      </c>
      <c r="B52" s="13">
        <v>46257</v>
      </c>
      <c r="C52" s="10">
        <v>0.95665509259259263</v>
      </c>
      <c r="D52" s="5" t="s">
        <v>26</v>
      </c>
      <c r="E52" s="5" t="s">
        <v>22</v>
      </c>
      <c r="F52" s="5">
        <v>4663.7</v>
      </c>
      <c r="G52" s="5">
        <v>4657.3999999999996</v>
      </c>
      <c r="H52" s="5">
        <v>1</v>
      </c>
      <c r="I52" s="5">
        <v>4657.7</v>
      </c>
      <c r="J52" s="5">
        <v>4675.7</v>
      </c>
      <c r="K52" s="8">
        <f t="shared" si="4"/>
        <v>2</v>
      </c>
      <c r="L52" s="8">
        <f t="shared" si="5"/>
        <v>-1.0500000000000302</v>
      </c>
      <c r="M52" s="5" t="str">
        <f t="shared" si="6"/>
        <v>Loss</v>
      </c>
      <c r="N52" s="18">
        <f>IF(AND(F52&lt;&gt;"",G52&lt;&gt;"",H52&lt;&gt;"",D52&lt;&gt;""), IF(E52="Long", (G52-F52)*H52*VLOOKUP(D52,Multipliers!A:B,2,FALSE), (F52-G52)*H52*VLOOKUP(D52,Multipliers!A:B,2,FALSE)), "")</f>
        <v>-63.000000000001819</v>
      </c>
      <c r="O52" s="9">
        <f>IF(AND(N52&lt;&gt;"",F52&lt;&gt;"",H52&lt;&gt;"",D52&lt;&gt;""), N52/(F52*H52*VLOOKUP(D52,Multipliers!A:B,2,FALSE)), "")</f>
        <v>-1.3508587602118879E-3</v>
      </c>
      <c r="P52" s="5">
        <f t="shared" si="7"/>
        <v>1492.4999099996094</v>
      </c>
      <c r="Q52" s="5"/>
      <c r="R52" s="5" t="s">
        <v>30</v>
      </c>
      <c r="S52" s="5" t="s">
        <v>26</v>
      </c>
      <c r="T52" s="5"/>
      <c r="U52" s="5"/>
      <c r="V52" s="5"/>
      <c r="W52" s="5"/>
      <c r="X52" s="5"/>
      <c r="Y52" s="5"/>
      <c r="Z52" s="5"/>
      <c r="AA52" s="5"/>
    </row>
    <row r="53" spans="1:27" ht="15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8"/>
      <c r="L53" s="8"/>
      <c r="M53" s="5"/>
      <c r="N53" s="18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8"/>
      <c r="L54" s="8"/>
      <c r="M54" s="5"/>
      <c r="N54" s="18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8"/>
      <c r="L55" s="8"/>
      <c r="M55" s="5"/>
      <c r="N55" s="18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8"/>
      <c r="L56" s="8"/>
      <c r="M56" s="5"/>
      <c r="N56" s="18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8"/>
      <c r="L57" s="8"/>
      <c r="M57" s="5"/>
      <c r="N57" s="18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8"/>
      <c r="L58" s="8"/>
      <c r="M58" s="5"/>
      <c r="N58" s="18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8"/>
      <c r="L59" s="8"/>
      <c r="M59" s="5"/>
      <c r="N59" s="18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8"/>
      <c r="L60" s="8"/>
      <c r="M60" s="5"/>
      <c r="N60" s="18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8"/>
      <c r="L61" s="8"/>
      <c r="M61" s="5"/>
      <c r="N61" s="18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8"/>
      <c r="L62" s="8"/>
      <c r="M62" s="5"/>
      <c r="N62" s="18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8"/>
      <c r="L63" s="8"/>
      <c r="M63" s="5"/>
      <c r="N63" s="18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8"/>
      <c r="L64" s="8"/>
      <c r="M64" s="5"/>
      <c r="N64" s="18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8"/>
      <c r="L65" s="8"/>
      <c r="M65" s="5"/>
      <c r="N65" s="18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 x14ac:dyDescent="0.25">
      <c r="A66" s="5"/>
      <c r="B66" s="6"/>
      <c r="C66" s="10"/>
      <c r="D66" s="5"/>
      <c r="E66" s="5"/>
      <c r="F66" s="5"/>
      <c r="G66" s="5"/>
      <c r="H66" s="5"/>
      <c r="I66" s="5"/>
      <c r="J66" s="5"/>
      <c r="K66" s="8"/>
      <c r="L66" s="8"/>
      <c r="M66" s="5"/>
      <c r="N66" s="18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8"/>
      <c r="L67" s="8"/>
      <c r="M67" s="5"/>
      <c r="N67" s="18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8"/>
      <c r="L68" s="8"/>
      <c r="M68" s="5"/>
      <c r="N68" s="18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8"/>
      <c r="L69" s="8"/>
      <c r="M69" s="5"/>
      <c r="N69" s="18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8"/>
      <c r="L70" s="8"/>
      <c r="M70" s="5"/>
      <c r="N70" s="18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8"/>
      <c r="L71" s="8"/>
      <c r="M71" s="5"/>
      <c r="N71" s="18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8"/>
      <c r="L72" s="8"/>
      <c r="M72" s="5"/>
      <c r="N72" s="18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8"/>
      <c r="L73" s="8"/>
      <c r="M73" s="5"/>
      <c r="N73" s="18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8"/>
      <c r="L74" s="8"/>
      <c r="M74" s="5"/>
      <c r="N74" s="18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8"/>
      <c r="L75" s="8"/>
      <c r="M75" s="5"/>
      <c r="N75" s="18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8"/>
      <c r="L76" s="8"/>
      <c r="M76" s="5"/>
      <c r="N76" s="18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8"/>
      <c r="L77" s="8"/>
      <c r="M77" s="5"/>
      <c r="N77" s="18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8"/>
      <c r="L78" s="8"/>
      <c r="M78" s="5"/>
      <c r="N78" s="18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8"/>
      <c r="L79" s="8"/>
      <c r="M79" s="5"/>
      <c r="N79" s="18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8"/>
      <c r="L80" s="8"/>
      <c r="M80" s="5"/>
      <c r="N80" s="18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8"/>
      <c r="L81" s="8"/>
      <c r="M81" s="5"/>
      <c r="N81" s="18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25">
      <c r="A82" s="5"/>
      <c r="B82" s="6"/>
      <c r="C82" s="10"/>
      <c r="D82" s="5"/>
      <c r="E82" s="5"/>
      <c r="F82" s="5"/>
      <c r="G82" s="5"/>
      <c r="H82" s="5"/>
      <c r="I82" s="5"/>
      <c r="J82" s="5"/>
      <c r="K82" s="8"/>
      <c r="L82" s="8"/>
      <c r="M82" s="5"/>
      <c r="N82" s="18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25">
      <c r="A83" s="5"/>
      <c r="B83" s="6"/>
      <c r="C83" s="10"/>
      <c r="D83" s="5"/>
      <c r="E83" s="5"/>
      <c r="F83" s="5"/>
      <c r="G83" s="5"/>
      <c r="H83" s="5"/>
      <c r="I83" s="5"/>
      <c r="J83" s="5"/>
      <c r="K83" s="8"/>
      <c r="L83" s="8"/>
      <c r="M83" s="5"/>
      <c r="N83" s="18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 x14ac:dyDescent="0.25">
      <c r="A84" s="5"/>
      <c r="B84" s="6"/>
      <c r="C84" s="10"/>
      <c r="D84" s="5"/>
      <c r="E84" s="5"/>
      <c r="F84" s="5"/>
      <c r="G84" s="5"/>
      <c r="H84" s="5"/>
      <c r="I84" s="5"/>
      <c r="J84" s="5"/>
      <c r="K84" s="8"/>
      <c r="L84" s="8"/>
      <c r="M84" s="5"/>
      <c r="N84" s="18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8"/>
      <c r="L85" s="8"/>
      <c r="M85" s="5"/>
      <c r="N85" s="18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8"/>
      <c r="L86" s="8"/>
      <c r="M86" s="5"/>
      <c r="N86" s="18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8"/>
      <c r="L87" s="8"/>
      <c r="M87" s="5"/>
      <c r="N87" s="18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 x14ac:dyDescent="0.25">
      <c r="A88" s="5"/>
      <c r="B88" s="6"/>
      <c r="C88" s="10"/>
      <c r="D88" s="5"/>
      <c r="E88" s="5"/>
      <c r="F88" s="5"/>
      <c r="G88" s="5"/>
      <c r="H88" s="5"/>
      <c r="I88" s="5"/>
      <c r="J88" s="5"/>
      <c r="K88" s="8"/>
      <c r="L88" s="8"/>
      <c r="M88" s="5"/>
      <c r="N88" s="18"/>
      <c r="O88" s="9"/>
      <c r="P88" s="5"/>
      <c r="Q88" s="5"/>
      <c r="R88" s="5"/>
      <c r="S88" s="11"/>
      <c r="T88" s="11"/>
      <c r="U88" s="5"/>
      <c r="V88" s="5"/>
      <c r="W88" s="5"/>
      <c r="X88" s="5"/>
      <c r="Y88" s="5"/>
      <c r="Z88" s="5"/>
      <c r="AA88" s="5"/>
    </row>
    <row r="89" spans="1:27" ht="15.75" customHeight="1" x14ac:dyDescent="0.25">
      <c r="A89" s="5"/>
      <c r="B89" s="6"/>
      <c r="C89" s="10"/>
      <c r="D89" s="5"/>
      <c r="E89" s="5"/>
      <c r="F89" s="5"/>
      <c r="G89" s="5"/>
      <c r="H89" s="5"/>
      <c r="I89" s="5"/>
      <c r="J89" s="5"/>
      <c r="K89" s="8"/>
      <c r="L89" s="8"/>
      <c r="M89" s="5"/>
      <c r="N89" s="18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8"/>
      <c r="L90" s="8"/>
      <c r="M90" s="5"/>
      <c r="N90" s="18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8"/>
      <c r="L91" s="8"/>
      <c r="M91" s="5"/>
      <c r="N91" s="18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8"/>
      <c r="L92" s="8"/>
      <c r="M92" s="5"/>
      <c r="N92" s="18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8"/>
      <c r="L93" s="8"/>
      <c r="M93" s="5"/>
      <c r="N93" s="18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8"/>
      <c r="L94" s="8"/>
      <c r="M94" s="5"/>
      <c r="N94" s="18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8"/>
      <c r="L95" s="8"/>
      <c r="M95" s="5"/>
      <c r="N95" s="18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8"/>
      <c r="L96" s="8"/>
      <c r="M96" s="5"/>
      <c r="N96" s="18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8"/>
      <c r="L97" s="8"/>
      <c r="M97" s="5"/>
      <c r="N97" s="18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8"/>
      <c r="L98" s="8"/>
      <c r="M98" s="5"/>
      <c r="N98" s="18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8"/>
      <c r="L99" s="8"/>
      <c r="M99" s="5"/>
      <c r="N99" s="18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8"/>
      <c r="L100" s="8"/>
      <c r="M100" s="5"/>
      <c r="N100" s="18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8"/>
      <c r="L101" s="8"/>
      <c r="M101" s="5"/>
      <c r="N101" s="18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8"/>
      <c r="L102" s="8"/>
      <c r="M102" s="5"/>
      <c r="N102" s="18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8"/>
      <c r="L103" s="8"/>
      <c r="M103" s="5"/>
      <c r="N103" s="18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8"/>
      <c r="L104" s="8"/>
      <c r="M104" s="5"/>
      <c r="N104" s="18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8"/>
      <c r="L105" s="8"/>
      <c r="M105" s="5"/>
      <c r="N105" s="18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8"/>
      <c r="L106" s="8"/>
      <c r="M106" s="5"/>
      <c r="N106" s="18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8"/>
      <c r="L107" s="8"/>
      <c r="M107" s="5"/>
      <c r="N107" s="18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8"/>
      <c r="L108" s="8"/>
      <c r="M108" s="5"/>
      <c r="N108" s="18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8"/>
      <c r="L109" s="8"/>
      <c r="M109" s="5"/>
      <c r="N109" s="18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8"/>
      <c r="L110" s="8"/>
      <c r="M110" s="5"/>
      <c r="N110" s="18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8"/>
      <c r="L111" s="8"/>
      <c r="M111" s="5"/>
      <c r="N111" s="18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8"/>
      <c r="L112" s="8"/>
      <c r="M112" s="5"/>
      <c r="N112" s="18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8"/>
      <c r="L113" s="8"/>
      <c r="M113" s="5"/>
      <c r="N113" s="18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8"/>
      <c r="L114" s="8"/>
      <c r="M114" s="5"/>
      <c r="N114" s="18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8"/>
      <c r="L115" s="8"/>
      <c r="M115" s="5"/>
      <c r="N115" s="18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8"/>
      <c r="L116" s="8"/>
      <c r="M116" s="5"/>
      <c r="N116" s="18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8"/>
      <c r="L117" s="8"/>
      <c r="M117" s="5"/>
      <c r="N117" s="18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8"/>
      <c r="L118" s="8"/>
      <c r="M118" s="5"/>
      <c r="N118" s="18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8"/>
      <c r="L119" s="8"/>
      <c r="M119" s="5"/>
      <c r="N119" s="18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8"/>
      <c r="L120" s="8"/>
      <c r="M120" s="5"/>
      <c r="N120" s="18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8"/>
      <c r="L121" s="8"/>
      <c r="M121" s="5"/>
      <c r="N121" s="18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8"/>
      <c r="L122" s="8"/>
      <c r="M122" s="5"/>
      <c r="N122" s="18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8"/>
      <c r="L123" s="8"/>
      <c r="M123" s="5"/>
      <c r="N123" s="18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8"/>
      <c r="L124" s="8"/>
      <c r="M124" s="5"/>
      <c r="N124" s="18"/>
      <c r="O124" s="9" t="str">
        <f>IF(AND(N124&lt;&gt;"",F124&lt;&gt;"",H124&lt;&gt;"",D124&lt;&gt;""), N124/(F124*H124*VLOOKUP(D124,Multipliers!A:B,2,FALSE)), "")</f>
        <v/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8"/>
      <c r="L125" s="8"/>
      <c r="M125" s="5"/>
      <c r="N125" s="18"/>
      <c r="O125" s="9" t="str">
        <f>IF(AND(N125&lt;&gt;"",F125&lt;&gt;"",H125&lt;&gt;"",D125&lt;&gt;""), N125/(F125*H125*VLOOKUP(D125,Multipliers!A:B,2,FALSE)), "")</f>
        <v/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8"/>
      <c r="L126" s="8"/>
      <c r="M126" s="5"/>
      <c r="N126" s="18"/>
      <c r="O126" s="9" t="str">
        <f>IF(AND(N126&lt;&gt;"",F126&lt;&gt;"",H126&lt;&gt;"",D126&lt;&gt;""), N126/(F126*H126*VLOOKUP(D126,Multipliers!A:B,2,FALSE)), "")</f>
        <v/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8"/>
      <c r="L127" s="8"/>
      <c r="M127" s="5"/>
      <c r="N127" s="18"/>
      <c r="O127" s="9" t="str">
        <f>IF(AND(N127&lt;&gt;"",F127&lt;&gt;"",H127&lt;&gt;"",D127&lt;&gt;""), N127/(F127*H127*VLOOKUP(D127,Multipliers!A:B,2,FALSE)), "")</f>
        <v/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8"/>
      <c r="L128" s="8"/>
      <c r="M128" s="5"/>
      <c r="N128" s="18"/>
      <c r="O128" s="9" t="str">
        <f>IF(AND(N128&lt;&gt;"",F128&lt;&gt;"",H128&lt;&gt;"",D128&lt;&gt;""), N128/(F128*H128*VLOOKUP(D128,Multipliers!A:B,2,FALSE)), "")</f>
        <v/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8"/>
      <c r="L129" s="8"/>
      <c r="M129" s="5"/>
      <c r="N129" s="18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8"/>
      <c r="L130" s="8"/>
      <c r="M130" s="5"/>
      <c r="N130" s="18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8"/>
      <c r="L131" s="8"/>
      <c r="M131" s="5"/>
      <c r="N131" s="18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8"/>
      <c r="L132" s="8"/>
      <c r="M132" s="5"/>
      <c r="N132" s="18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8"/>
      <c r="L133" s="8"/>
      <c r="M133" s="5"/>
      <c r="N133" s="18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8"/>
      <c r="L134" s="8"/>
      <c r="M134" s="5"/>
      <c r="N134" s="18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8"/>
      <c r="L135" s="8"/>
      <c r="M135" s="5"/>
      <c r="N135" s="18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8"/>
      <c r="L136" s="8"/>
      <c r="M136" s="5"/>
      <c r="N136" s="18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8"/>
      <c r="L137" s="8"/>
      <c r="M137" s="5"/>
      <c r="N137" s="18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8"/>
      <c r="L138" s="8"/>
      <c r="M138" s="5"/>
      <c r="N138" s="18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8"/>
      <c r="L139" s="8"/>
      <c r="M139" s="5"/>
      <c r="N139" s="18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8"/>
      <c r="L140" s="8"/>
      <c r="M140" s="5"/>
      <c r="N140" s="18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8"/>
      <c r="L141" s="8"/>
      <c r="M141" s="5"/>
      <c r="N141" s="18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8"/>
      <c r="L142" s="8"/>
      <c r="M142" s="5"/>
      <c r="N142" s="18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8"/>
      <c r="L143" s="8"/>
      <c r="M143" s="5"/>
      <c r="N143" s="18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8"/>
      <c r="L144" s="8"/>
      <c r="M144" s="5"/>
      <c r="N144" s="18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8"/>
      <c r="L145" s="8"/>
      <c r="M145" s="5"/>
      <c r="N145" s="18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8"/>
      <c r="L146" s="8"/>
      <c r="M146" s="5"/>
      <c r="N146" s="18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8"/>
      <c r="L147" s="8"/>
      <c r="M147" s="5"/>
      <c r="N147" s="18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8"/>
      <c r="L148" s="8"/>
      <c r="M148" s="5"/>
      <c r="N148" s="18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8"/>
      <c r="L149" s="8"/>
      <c r="M149" s="5"/>
      <c r="N149" s="18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8"/>
      <c r="L150" s="8"/>
      <c r="M150" s="5"/>
      <c r="N150" s="18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8"/>
      <c r="L151" s="8"/>
      <c r="M151" s="5"/>
      <c r="N151" s="18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8"/>
      <c r="L152" s="8"/>
      <c r="M152" s="5"/>
      <c r="N152" s="18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8"/>
      <c r="L153" s="8"/>
      <c r="M153" s="5"/>
      <c r="N153" s="18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8"/>
      <c r="L154" s="8"/>
      <c r="M154" s="5"/>
      <c r="N154" s="18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8"/>
      <c r="L155" s="8"/>
      <c r="M155" s="5"/>
      <c r="N155" s="18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8"/>
      <c r="L156" s="8"/>
      <c r="M156" s="5"/>
      <c r="N156" s="18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8"/>
      <c r="L157" s="8"/>
      <c r="M157" s="5"/>
      <c r="N157" s="18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8"/>
      <c r="L158" s="8"/>
      <c r="M158" s="5"/>
      <c r="N158" s="18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8"/>
      <c r="L159" s="8"/>
      <c r="M159" s="5"/>
      <c r="N159" s="18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8"/>
      <c r="L160" s="8"/>
      <c r="M160" s="5"/>
      <c r="N160" s="18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8"/>
      <c r="L161" s="8"/>
      <c r="M161" s="5"/>
      <c r="N161" s="18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8"/>
      <c r="L162" s="8"/>
      <c r="M162" s="5"/>
      <c r="N162" s="18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8"/>
      <c r="L163" s="8"/>
      <c r="M163" s="5"/>
      <c r="N163" s="18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8"/>
      <c r="L164" s="8"/>
      <c r="M164" s="5"/>
      <c r="N164" s="18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8"/>
      <c r="L165" s="8"/>
      <c r="M165" s="5"/>
      <c r="N165" s="18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8"/>
      <c r="L166" s="8"/>
      <c r="M166" s="5"/>
      <c r="N166" s="18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8"/>
      <c r="L167" s="8"/>
      <c r="M167" s="5"/>
      <c r="N167" s="18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8"/>
      <c r="L168" s="8"/>
      <c r="M168" s="5"/>
      <c r="N168" s="18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8"/>
      <c r="L169" s="8"/>
      <c r="M169" s="5"/>
      <c r="N169" s="18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8"/>
      <c r="L170" s="8"/>
      <c r="M170" s="5"/>
      <c r="N170" s="18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8"/>
      <c r="L171" s="8"/>
      <c r="M171" s="5"/>
      <c r="N171" s="18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8"/>
      <c r="L172" s="8"/>
      <c r="M172" s="5"/>
      <c r="N172" s="18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8"/>
      <c r="L173" s="8"/>
      <c r="M173" s="5"/>
      <c r="N173" s="18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8"/>
      <c r="L174" s="8"/>
      <c r="M174" s="5"/>
      <c r="N174" s="18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8"/>
      <c r="L175" s="8"/>
      <c r="M175" s="5"/>
      <c r="N175" s="18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8"/>
      <c r="L176" s="8"/>
      <c r="M176" s="5"/>
      <c r="N176" s="18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8"/>
      <c r="L177" s="8"/>
      <c r="M177" s="5"/>
      <c r="N177" s="18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8"/>
      <c r="L178" s="8"/>
      <c r="M178" s="5"/>
      <c r="N178" s="18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8"/>
      <c r="L179" s="8"/>
      <c r="M179" s="5"/>
      <c r="N179" s="18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8"/>
      <c r="L180" s="8"/>
      <c r="M180" s="5"/>
      <c r="N180" s="18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8"/>
      <c r="L181" s="8"/>
      <c r="M181" s="5"/>
      <c r="N181" s="18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8"/>
      <c r="L182" s="8"/>
      <c r="M182" s="5"/>
      <c r="N182" s="18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8"/>
      <c r="L183" s="8"/>
      <c r="M183" s="5"/>
      <c r="N183" s="18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8"/>
      <c r="L184" s="8"/>
      <c r="M184" s="5"/>
      <c r="N184" s="18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8"/>
      <c r="L185" s="8"/>
      <c r="M185" s="5"/>
      <c r="N185" s="18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8"/>
      <c r="L186" s="8"/>
      <c r="M186" s="5"/>
      <c r="N186" s="18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8"/>
      <c r="L187" s="8"/>
      <c r="M187" s="5"/>
      <c r="N187" s="18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8"/>
      <c r="L188" s="8"/>
      <c r="M188" s="5"/>
      <c r="N188" s="18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8"/>
      <c r="L189" s="8"/>
      <c r="M189" s="5"/>
      <c r="N189" s="18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8"/>
      <c r="L190" s="8"/>
      <c r="M190" s="5"/>
      <c r="N190" s="18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8"/>
      <c r="L191" s="8"/>
      <c r="M191" s="5"/>
      <c r="N191" s="18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8"/>
      <c r="L192" s="8"/>
      <c r="M192" s="5"/>
      <c r="N192" s="18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8"/>
      <c r="L193" s="8"/>
      <c r="M193" s="5"/>
      <c r="N193" s="18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8"/>
      <c r="L194" s="8"/>
      <c r="M194" s="5"/>
      <c r="N194" s="18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8"/>
      <c r="L195" s="8"/>
      <c r="M195" s="5"/>
      <c r="N195" s="18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8"/>
      <c r="L196" s="8"/>
      <c r="M196" s="5"/>
      <c r="N196" s="18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8"/>
      <c r="L197" s="8"/>
      <c r="M197" s="5"/>
      <c r="N197" s="18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8"/>
      <c r="L198" s="8"/>
      <c r="M198" s="5"/>
      <c r="N198" s="18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8"/>
      <c r="L199" s="8"/>
      <c r="M199" s="5"/>
      <c r="N199" s="18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8"/>
      <c r="L200" s="8"/>
      <c r="M200" s="5"/>
      <c r="N200" s="18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8"/>
      <c r="L201" s="8"/>
      <c r="M201" s="5"/>
      <c r="N201" s="18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8"/>
      <c r="L202" s="8"/>
      <c r="M202" s="5"/>
      <c r="N202" s="18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8"/>
      <c r="L203" s="8"/>
      <c r="M203" s="5"/>
      <c r="N203" s="18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8"/>
      <c r="L204" s="8"/>
      <c r="M204" s="5"/>
      <c r="N204" s="18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8"/>
      <c r="L205" s="8"/>
      <c r="M205" s="5"/>
      <c r="N205" s="18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8"/>
      <c r="L206" s="8"/>
      <c r="M206" s="5"/>
      <c r="N206" s="18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8"/>
      <c r="L207" s="8"/>
      <c r="M207" s="5"/>
      <c r="N207" s="18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8"/>
      <c r="L208" s="8"/>
      <c r="M208" s="5"/>
      <c r="N208" s="18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8"/>
      <c r="L209" s="8"/>
      <c r="M209" s="5"/>
      <c r="N209" s="18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8"/>
      <c r="L210" s="8"/>
      <c r="M210" s="5"/>
      <c r="N210" s="18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8"/>
      <c r="L211" s="8"/>
      <c r="M211" s="5"/>
      <c r="N211" s="18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8"/>
      <c r="L212" s="8"/>
      <c r="M212" s="5"/>
      <c r="N212" s="18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8"/>
      <c r="L213" s="8"/>
      <c r="M213" s="5"/>
      <c r="N213" s="18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8"/>
      <c r="L214" s="8"/>
      <c r="M214" s="5"/>
      <c r="N214" s="18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8"/>
      <c r="L215" s="8"/>
      <c r="M215" s="5"/>
      <c r="N215" s="18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8"/>
      <c r="L216" s="8"/>
      <c r="M216" s="5"/>
      <c r="N216" s="18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8"/>
      <c r="L217" s="8"/>
      <c r="M217" s="5"/>
      <c r="N217" s="18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8"/>
      <c r="L218" s="8"/>
      <c r="M218" s="5"/>
      <c r="N218" s="18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8"/>
      <c r="L219" s="8"/>
      <c r="M219" s="5"/>
      <c r="N219" s="18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8"/>
      <c r="L220" s="8"/>
      <c r="M220" s="5"/>
      <c r="N220" s="18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8"/>
      <c r="L221" s="8"/>
      <c r="M221" s="5"/>
      <c r="N221" s="18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8"/>
      <c r="L222" s="8"/>
      <c r="M222" s="5"/>
      <c r="N222" s="18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8"/>
      <c r="L223" s="8"/>
      <c r="M223" s="5"/>
      <c r="N223" s="18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8"/>
      <c r="L224" s="8"/>
      <c r="M224" s="5"/>
      <c r="N224" s="18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8"/>
      <c r="L225" s="8"/>
      <c r="M225" s="5"/>
      <c r="N225" s="18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8"/>
      <c r="L226" s="8"/>
      <c r="M226" s="5"/>
      <c r="N226" s="18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8"/>
      <c r="L227" s="8"/>
      <c r="M227" s="5"/>
      <c r="N227" s="18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8"/>
      <c r="L228" s="8"/>
      <c r="M228" s="5"/>
      <c r="N228" s="18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8"/>
      <c r="L229" s="8"/>
      <c r="M229" s="5"/>
      <c r="N229" s="1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8"/>
      <c r="L230" s="8"/>
      <c r="M230" s="5"/>
      <c r="N230" s="18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8"/>
      <c r="L231" s="8"/>
      <c r="M231" s="5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8"/>
      <c r="L232" s="8"/>
      <c r="M232" s="5"/>
      <c r="N232" s="18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8"/>
      <c r="L233" s="8"/>
      <c r="M233" s="5"/>
      <c r="N233" s="18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8"/>
      <c r="L234" s="8"/>
      <c r="M234" s="5"/>
      <c r="N234" s="18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8"/>
      <c r="L235" s="8"/>
      <c r="M235" s="5"/>
      <c r="N235" s="1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8"/>
      <c r="L236" s="8"/>
      <c r="M236" s="5"/>
      <c r="N236" s="18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8"/>
      <c r="L237" s="8"/>
      <c r="M237" s="5"/>
      <c r="N237" s="18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8"/>
      <c r="L238" s="8"/>
      <c r="M238" s="5"/>
      <c r="N238" s="18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8"/>
      <c r="L239" s="8"/>
      <c r="M239" s="5"/>
      <c r="N239" s="18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8"/>
      <c r="L240" s="8"/>
      <c r="M240" s="5"/>
      <c r="N240" s="18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8"/>
      <c r="L241" s="8"/>
      <c r="M241" s="5"/>
      <c r="N241" s="18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8"/>
      <c r="L242" s="8"/>
      <c r="M242" s="5"/>
      <c r="N242" s="18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8"/>
      <c r="L243" s="8"/>
      <c r="M243" s="5"/>
      <c r="N243" s="1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8"/>
      <c r="L244" s="8"/>
      <c r="M244" s="5"/>
      <c r="N244" s="1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8"/>
      <c r="L245" s="8"/>
      <c r="M245" s="5"/>
      <c r="N245" s="1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8"/>
      <c r="L246" s="8"/>
      <c r="M246" s="5"/>
      <c r="N246" s="1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8"/>
      <c r="L247" s="8"/>
      <c r="M247" s="5"/>
      <c r="N247" s="1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8"/>
      <c r="L248" s="8"/>
      <c r="M248" s="5"/>
      <c r="N248" s="1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8"/>
      <c r="L249" s="8"/>
      <c r="M249" s="5"/>
      <c r="N249" s="1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8"/>
      <c r="L250" s="8"/>
      <c r="M250" s="5"/>
      <c r="N250" s="1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8"/>
      <c r="L251" s="8"/>
      <c r="M251" s="5"/>
      <c r="N251" s="1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8"/>
      <c r="L252" s="8"/>
      <c r="M252" s="5"/>
      <c r="N252" s="1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8"/>
      <c r="L253" s="8"/>
      <c r="M253" s="5"/>
      <c r="N253" s="1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8"/>
      <c r="L254" s="8"/>
      <c r="M254" s="5"/>
      <c r="N254" s="1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8"/>
      <c r="L255" s="8"/>
      <c r="M255" s="5"/>
      <c r="N255" s="1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8"/>
      <c r="L256" s="8"/>
      <c r="M256" s="5"/>
      <c r="N256" s="1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8"/>
      <c r="L257" s="8"/>
      <c r="M257" s="5"/>
      <c r="N257" s="1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8"/>
      <c r="L258" s="8"/>
      <c r="M258" s="5"/>
      <c r="N258" s="1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8"/>
      <c r="L259" s="8"/>
      <c r="M259" s="5"/>
      <c r="N259" s="1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8"/>
      <c r="L260" s="8"/>
      <c r="M260" s="5"/>
      <c r="N260" s="1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8"/>
      <c r="L261" s="8"/>
      <c r="M261" s="5"/>
      <c r="N261" s="1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8"/>
      <c r="L262" s="8"/>
      <c r="M262" s="5"/>
      <c r="N262" s="1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8"/>
      <c r="L263" s="8"/>
      <c r="M263" s="5"/>
      <c r="N263" s="1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8"/>
      <c r="L264" s="8"/>
      <c r="M264" s="5"/>
      <c r="N264" s="1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8"/>
      <c r="L265" s="8"/>
      <c r="M265" s="5"/>
      <c r="N265" s="1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8"/>
      <c r="L266" s="8"/>
      <c r="M266" s="5"/>
      <c r="N266" s="1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8"/>
      <c r="L267" s="8"/>
      <c r="M267" s="5"/>
      <c r="N267" s="1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8"/>
      <c r="L268" s="8"/>
      <c r="M268" s="5"/>
      <c r="N268" s="1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8"/>
      <c r="L269" s="8"/>
      <c r="M269" s="5"/>
      <c r="N269" s="1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8"/>
      <c r="L270" s="8"/>
      <c r="M270" s="5"/>
      <c r="N270" s="1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8"/>
      <c r="L271" s="8"/>
      <c r="M271" s="5"/>
      <c r="N271" s="1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8"/>
      <c r="L272" s="8"/>
      <c r="M272" s="5"/>
      <c r="N272" s="1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8"/>
      <c r="L273" s="8"/>
      <c r="M273" s="5"/>
      <c r="N273" s="1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8"/>
      <c r="L274" s="8"/>
      <c r="M274" s="5"/>
      <c r="N274" s="1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8"/>
      <c r="L275" s="8"/>
      <c r="M275" s="5"/>
      <c r="N275" s="1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8"/>
      <c r="L276" s="8"/>
      <c r="M276" s="5"/>
      <c r="N276" s="1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8"/>
      <c r="L277" s="8"/>
      <c r="M277" s="5"/>
      <c r="N277" s="1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8"/>
      <c r="L278" s="8"/>
      <c r="M278" s="5"/>
      <c r="N278" s="1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8"/>
      <c r="L279" s="8"/>
      <c r="M279" s="5"/>
      <c r="N279" s="1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8"/>
      <c r="L280" s="8"/>
      <c r="M280" s="5"/>
      <c r="N280" s="1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8"/>
      <c r="L281" s="8"/>
      <c r="M281" s="5"/>
      <c r="N281" s="1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8"/>
      <c r="L282" s="8"/>
      <c r="M282" s="5"/>
      <c r="N282" s="1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8"/>
      <c r="L283" s="8"/>
      <c r="M283" s="5"/>
      <c r="N283" s="1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8"/>
      <c r="L284" s="8"/>
      <c r="M284" s="5"/>
      <c r="N284" s="1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8"/>
      <c r="L285" s="8"/>
      <c r="M285" s="5"/>
      <c r="N285" s="1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8"/>
      <c r="L286" s="8"/>
      <c r="M286" s="5"/>
      <c r="N286" s="1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8"/>
      <c r="L287" s="8"/>
      <c r="M287" s="5"/>
      <c r="N287" s="1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8"/>
      <c r="L288" s="8"/>
      <c r="M288" s="5"/>
      <c r="N288" s="1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5"/>
      <c r="N289" s="1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8"/>
      <c r="L290" s="8"/>
      <c r="M290" s="5"/>
      <c r="N290" s="1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5"/>
      <c r="N291" s="1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8"/>
      <c r="L292" s="8"/>
      <c r="M292" s="5"/>
      <c r="N292" s="1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5"/>
      <c r="N293" s="1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8"/>
      <c r="L294" s="8"/>
      <c r="M294" s="5"/>
      <c r="N294" s="1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8"/>
      <c r="L295" s="8"/>
      <c r="M295" s="5"/>
      <c r="N295" s="1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8"/>
      <c r="L296" s="8"/>
      <c r="M296" s="5"/>
      <c r="N296" s="1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8"/>
      <c r="L297" s="8"/>
      <c r="M297" s="5"/>
      <c r="N297" s="1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8"/>
      <c r="L298" s="8"/>
      <c r="M298" s="5"/>
      <c r="N298" s="1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8"/>
      <c r="L299" s="8"/>
      <c r="M299" s="5"/>
      <c r="N299" s="1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8"/>
      <c r="L300" s="8"/>
      <c r="M300" s="5"/>
      <c r="N300" s="1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8"/>
      <c r="L301" s="8"/>
      <c r="M301" s="5"/>
      <c r="N301" s="1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8"/>
      <c r="L302" s="8"/>
      <c r="M302" s="5"/>
      <c r="N302" s="1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8"/>
      <c r="L303" s="8"/>
      <c r="M303" s="5"/>
      <c r="N303" s="1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8"/>
      <c r="L304" s="8"/>
      <c r="M304" s="5"/>
      <c r="N304" s="1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8"/>
      <c r="L305" s="8"/>
      <c r="M305" s="5"/>
      <c r="N305" s="1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8"/>
      <c r="L306" s="8"/>
      <c r="M306" s="5"/>
      <c r="N306" s="1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8"/>
      <c r="L307" s="8"/>
      <c r="M307" s="5"/>
      <c r="N307" s="1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8"/>
      <c r="L308" s="8"/>
      <c r="M308" s="5"/>
      <c r="N308" s="1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8"/>
      <c r="L309" s="8"/>
      <c r="M309" s="5"/>
      <c r="N309" s="1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8"/>
      <c r="L310" s="8"/>
      <c r="M310" s="5"/>
      <c r="N310" s="1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8"/>
      <c r="L311" s="8"/>
      <c r="M311" s="5"/>
      <c r="N311" s="1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8"/>
      <c r="L312" s="8"/>
      <c r="M312" s="5"/>
      <c r="N312" s="1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8"/>
      <c r="L313" s="8"/>
      <c r="M313" s="5"/>
      <c r="N313" s="1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8"/>
      <c r="L314" s="8"/>
      <c r="M314" s="5"/>
      <c r="N314" s="1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8"/>
      <c r="L315" s="8"/>
      <c r="M315" s="5"/>
      <c r="N315" s="1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8"/>
      <c r="L316" s="8"/>
      <c r="M316" s="5"/>
      <c r="N316" s="1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8"/>
      <c r="L317" s="8"/>
      <c r="M317" s="5"/>
      <c r="N317" s="1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8"/>
      <c r="L318" s="8"/>
      <c r="M318" s="5"/>
      <c r="N318" s="1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8"/>
      <c r="L319" s="8"/>
      <c r="M319" s="5"/>
      <c r="N319" s="1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8"/>
      <c r="L320" s="8"/>
      <c r="M320" s="5"/>
      <c r="N320" s="1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8"/>
      <c r="L321" s="8"/>
      <c r="M321" s="5"/>
      <c r="N321" s="1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8"/>
      <c r="L322" s="8"/>
      <c r="M322" s="5"/>
      <c r="N322" s="1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8"/>
      <c r="L323" s="8"/>
      <c r="M323" s="5"/>
      <c r="N323" s="1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8"/>
      <c r="L324" s="8"/>
      <c r="M324" s="5"/>
      <c r="N324" s="1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8"/>
      <c r="L325" s="8"/>
      <c r="M325" s="5"/>
      <c r="N325" s="1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8"/>
      <c r="L326" s="8"/>
      <c r="M326" s="5"/>
      <c r="N326" s="1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8"/>
      <c r="L327" s="8"/>
      <c r="M327" s="5"/>
      <c r="N327" s="1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8"/>
      <c r="L328" s="8"/>
      <c r="M328" s="5"/>
      <c r="N328" s="1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8"/>
      <c r="L329" s="8"/>
      <c r="M329" s="5"/>
      <c r="N329" s="1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8"/>
      <c r="L330" s="8"/>
      <c r="M330" s="5"/>
      <c r="N330" s="1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8"/>
      <c r="L331" s="8"/>
      <c r="M331" s="5"/>
      <c r="N331" s="1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8"/>
      <c r="L332" s="8"/>
      <c r="M332" s="5"/>
      <c r="N332" s="1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8"/>
      <c r="L333" s="8"/>
      <c r="M333" s="5"/>
      <c r="N333" s="1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8"/>
      <c r="L334" s="8"/>
      <c r="M334" s="5"/>
      <c r="N334" s="1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8"/>
      <c r="L335" s="8"/>
      <c r="M335" s="5"/>
      <c r="N335" s="1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8"/>
      <c r="L336" s="8"/>
      <c r="M336" s="5"/>
      <c r="N336" s="1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8"/>
      <c r="L337" s="8"/>
      <c r="M337" s="5"/>
      <c r="N337" s="1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8"/>
      <c r="L338" s="8"/>
      <c r="M338" s="5"/>
      <c r="N338" s="1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8"/>
      <c r="L339" s="8"/>
      <c r="M339" s="5"/>
      <c r="N339" s="1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8"/>
      <c r="L340" s="8"/>
      <c r="M340" s="5"/>
      <c r="N340" s="1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8"/>
      <c r="L341" s="8"/>
      <c r="M341" s="5"/>
      <c r="N341" s="1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8"/>
      <c r="L342" s="8"/>
      <c r="M342" s="5"/>
      <c r="N342" s="1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8"/>
      <c r="L343" s="8"/>
      <c r="M343" s="5"/>
      <c r="N343" s="1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8"/>
      <c r="L344" s="8"/>
      <c r="M344" s="5"/>
      <c r="N344" s="1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8"/>
      <c r="L345" s="8"/>
      <c r="M345" s="5"/>
      <c r="N345" s="1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8"/>
      <c r="L346" s="8"/>
      <c r="M346" s="5"/>
      <c r="N346" s="1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8"/>
      <c r="L347" s="8"/>
      <c r="M347" s="5"/>
      <c r="N347" s="1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8"/>
      <c r="L348" s="8"/>
      <c r="M348" s="5"/>
      <c r="N348" s="1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8"/>
      <c r="L349" s="8"/>
      <c r="M349" s="5"/>
      <c r="N349" s="1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8"/>
      <c r="L350" s="8"/>
      <c r="M350" s="5"/>
      <c r="N350" s="1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8"/>
      <c r="L351" s="8"/>
      <c r="M351" s="5"/>
      <c r="N351" s="1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8"/>
      <c r="L352" s="8"/>
      <c r="M352" s="5"/>
      <c r="N352" s="1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8"/>
      <c r="L353" s="8"/>
      <c r="M353" s="5"/>
      <c r="N353" s="1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8"/>
      <c r="L354" s="8"/>
      <c r="M354" s="5"/>
      <c r="N354" s="1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8"/>
      <c r="L355" s="8"/>
      <c r="M355" s="5"/>
      <c r="N355" s="1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8"/>
      <c r="L356" s="8"/>
      <c r="M356" s="5"/>
      <c r="N356" s="1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8"/>
      <c r="L357" s="8"/>
      <c r="M357" s="5"/>
      <c r="N357" s="1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8"/>
      <c r="L358" s="8"/>
      <c r="M358" s="5"/>
      <c r="N358" s="1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8"/>
      <c r="L359" s="8"/>
      <c r="M359" s="5"/>
      <c r="N359" s="1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8"/>
      <c r="L360" s="8"/>
      <c r="M360" s="5"/>
      <c r="N360" s="1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8"/>
      <c r="L361" s="8"/>
      <c r="M361" s="5"/>
      <c r="N361" s="1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8"/>
      <c r="L362" s="8"/>
      <c r="M362" s="5"/>
      <c r="N362" s="1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8"/>
      <c r="L363" s="8"/>
      <c r="M363" s="5"/>
      <c r="N363" s="1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8"/>
      <c r="L364" s="8"/>
      <c r="M364" s="5"/>
      <c r="N364" s="1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8"/>
      <c r="L365" s="8"/>
      <c r="M365" s="5"/>
      <c r="N365" s="1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8"/>
      <c r="L366" s="8"/>
      <c r="M366" s="5"/>
      <c r="N366" s="1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8"/>
      <c r="L367" s="8"/>
      <c r="M367" s="5"/>
      <c r="N367" s="1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8"/>
      <c r="L368" s="8"/>
      <c r="M368" s="5"/>
      <c r="N368" s="1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8"/>
      <c r="L369" s="8"/>
      <c r="M369" s="5"/>
      <c r="N369" s="1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8"/>
      <c r="L370" s="8"/>
      <c r="M370" s="5"/>
      <c r="N370" s="1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8"/>
      <c r="L371" s="8"/>
      <c r="M371" s="5"/>
      <c r="N371" s="1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8"/>
      <c r="L372" s="8"/>
      <c r="M372" s="5"/>
      <c r="N372" s="1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8"/>
      <c r="L373" s="8"/>
      <c r="M373" s="5"/>
      <c r="N373" s="1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8"/>
      <c r="L374" s="8"/>
      <c r="M374" s="5"/>
      <c r="N374" s="1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8"/>
      <c r="L375" s="8"/>
      <c r="M375" s="5"/>
      <c r="N375" s="1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8"/>
      <c r="L376" s="8"/>
      <c r="M376" s="5"/>
      <c r="N376" s="1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8"/>
      <c r="L377" s="8"/>
      <c r="M377" s="5"/>
      <c r="N377" s="1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8"/>
      <c r="L378" s="8"/>
      <c r="M378" s="5"/>
      <c r="N378" s="1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8"/>
      <c r="L379" s="8"/>
      <c r="M379" s="5"/>
      <c r="N379" s="1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8"/>
      <c r="L380" s="8"/>
      <c r="M380" s="5"/>
      <c r="N380" s="1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8"/>
      <c r="L381" s="8"/>
      <c r="M381" s="5"/>
      <c r="N381" s="1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8"/>
      <c r="L382" s="8"/>
      <c r="M382" s="5"/>
      <c r="N382" s="1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8"/>
      <c r="L383" s="8"/>
      <c r="M383" s="5"/>
      <c r="N383" s="1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8"/>
      <c r="L384" s="8"/>
      <c r="M384" s="5"/>
      <c r="N384" s="1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8"/>
      <c r="L385" s="8"/>
      <c r="M385" s="5"/>
      <c r="N385" s="1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8"/>
      <c r="L386" s="8"/>
      <c r="M386" s="5"/>
      <c r="N386" s="1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8"/>
      <c r="L387" s="8"/>
      <c r="M387" s="5"/>
      <c r="N387" s="1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8"/>
      <c r="L388" s="8"/>
      <c r="M388" s="5"/>
      <c r="N388" s="1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8"/>
      <c r="L389" s="8"/>
      <c r="M389" s="5"/>
      <c r="N389" s="1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8"/>
      <c r="L390" s="8"/>
      <c r="M390" s="5"/>
      <c r="N390" s="1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8"/>
      <c r="L391" s="8"/>
      <c r="M391" s="5"/>
      <c r="N391" s="1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8"/>
      <c r="L392" s="8"/>
      <c r="M392" s="5"/>
      <c r="N392" s="1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8"/>
      <c r="L393" s="8"/>
      <c r="M393" s="5"/>
      <c r="N393" s="1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8"/>
      <c r="L394" s="8"/>
      <c r="M394" s="5"/>
      <c r="N394" s="1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8"/>
      <c r="L395" s="8"/>
      <c r="M395" s="5"/>
      <c r="N395" s="1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8"/>
      <c r="L396" s="8"/>
      <c r="M396" s="5"/>
      <c r="N396" s="1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8"/>
      <c r="L397" s="8"/>
      <c r="M397" s="5"/>
      <c r="N397" s="1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8"/>
      <c r="L398" s="8"/>
      <c r="M398" s="5"/>
      <c r="N398" s="1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8"/>
      <c r="L399" s="8"/>
      <c r="M399" s="5"/>
      <c r="N399" s="1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8"/>
      <c r="L400" s="8"/>
      <c r="M400" s="5"/>
      <c r="N400" s="1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8"/>
      <c r="L401" s="8"/>
      <c r="M401" s="5"/>
      <c r="N401" s="1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8"/>
      <c r="L402" s="8"/>
      <c r="M402" s="5"/>
      <c r="N402" s="1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8"/>
      <c r="L403" s="8"/>
      <c r="M403" s="5"/>
      <c r="N403" s="1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8"/>
      <c r="L404" s="8"/>
      <c r="M404" s="5"/>
      <c r="N404" s="1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8"/>
      <c r="L405" s="8"/>
      <c r="M405" s="5"/>
      <c r="N405" s="1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8"/>
      <c r="L406" s="8"/>
      <c r="M406" s="5"/>
      <c r="N406" s="1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8"/>
      <c r="L407" s="8"/>
      <c r="M407" s="5"/>
      <c r="N407" s="1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8"/>
      <c r="L408" s="8"/>
      <c r="M408" s="5"/>
      <c r="N408" s="1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8"/>
      <c r="L409" s="8"/>
      <c r="M409" s="5"/>
      <c r="N409" s="1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8"/>
      <c r="L410" s="8"/>
      <c r="M410" s="5"/>
      <c r="N410" s="1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8"/>
      <c r="L411" s="8"/>
      <c r="M411" s="5"/>
      <c r="N411" s="1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8"/>
      <c r="L412" s="8"/>
      <c r="M412" s="5"/>
      <c r="N412" s="1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8"/>
      <c r="L413" s="8"/>
      <c r="M413" s="5"/>
      <c r="N413" s="1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8"/>
      <c r="L414" s="8"/>
      <c r="M414" s="5"/>
      <c r="N414" s="1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8"/>
      <c r="L415" s="8"/>
      <c r="M415" s="5"/>
      <c r="N415" s="1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8"/>
      <c r="L416" s="8"/>
      <c r="M416" s="5"/>
      <c r="N416" s="1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8"/>
      <c r="L417" s="8"/>
      <c r="M417" s="5"/>
      <c r="N417" s="1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8"/>
      <c r="L418" s="8"/>
      <c r="M418" s="5"/>
      <c r="N418" s="1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8"/>
      <c r="L419" s="8"/>
      <c r="M419" s="5"/>
      <c r="N419" s="1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8"/>
      <c r="L420" s="8"/>
      <c r="M420" s="5"/>
      <c r="N420" s="1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8"/>
      <c r="L421" s="8"/>
      <c r="M421" s="5"/>
      <c r="N421" s="1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8"/>
      <c r="L422" s="8"/>
      <c r="M422" s="5"/>
      <c r="N422" s="1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8"/>
      <c r="L423" s="8"/>
      <c r="M423" s="5"/>
      <c r="N423" s="1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8"/>
      <c r="L424" s="8"/>
      <c r="M424" s="5"/>
      <c r="N424" s="1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8"/>
      <c r="L425" s="8"/>
      <c r="M425" s="5"/>
      <c r="N425" s="1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8"/>
      <c r="L426" s="8"/>
      <c r="M426" s="5"/>
      <c r="N426" s="1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8"/>
      <c r="L427" s="8"/>
      <c r="M427" s="5"/>
      <c r="N427" s="1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8"/>
      <c r="L428" s="8"/>
      <c r="M428" s="5"/>
      <c r="N428" s="1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8"/>
      <c r="L429" s="8"/>
      <c r="M429" s="5"/>
      <c r="N429" s="1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8"/>
      <c r="L430" s="8"/>
      <c r="M430" s="5"/>
      <c r="N430" s="1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8"/>
      <c r="L431" s="8"/>
      <c r="M431" s="5"/>
      <c r="N431" s="1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8"/>
      <c r="L432" s="8"/>
      <c r="M432" s="5"/>
      <c r="N432" s="1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8"/>
      <c r="L433" s="8"/>
      <c r="M433" s="5"/>
      <c r="N433" s="1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8"/>
      <c r="L434" s="8"/>
      <c r="M434" s="5"/>
      <c r="N434" s="1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8"/>
      <c r="L435" s="8"/>
      <c r="M435" s="5"/>
      <c r="N435" s="1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8"/>
      <c r="L436" s="8"/>
      <c r="M436" s="5"/>
      <c r="N436" s="1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8"/>
      <c r="L437" s="8"/>
      <c r="M437" s="5"/>
      <c r="N437" s="1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8"/>
      <c r="L438" s="8"/>
      <c r="M438" s="5"/>
      <c r="N438" s="1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8"/>
      <c r="L439" s="8"/>
      <c r="M439" s="5"/>
      <c r="N439" s="1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8"/>
      <c r="L440" s="8"/>
      <c r="M440" s="5"/>
      <c r="N440" s="1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8"/>
      <c r="L441" s="8"/>
      <c r="M441" s="5"/>
      <c r="N441" s="1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8"/>
      <c r="L442" s="8"/>
      <c r="M442" s="5"/>
      <c r="N442" s="1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8"/>
      <c r="L443" s="8"/>
      <c r="M443" s="5"/>
      <c r="N443" s="1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8"/>
      <c r="L444" s="8"/>
      <c r="M444" s="5"/>
      <c r="N444" s="1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8"/>
      <c r="L445" s="8"/>
      <c r="M445" s="5"/>
      <c r="N445" s="1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8"/>
      <c r="L446" s="8"/>
      <c r="M446" s="5"/>
      <c r="N446" s="1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8"/>
      <c r="L447" s="8"/>
      <c r="M447" s="5"/>
      <c r="N447" s="1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8"/>
      <c r="L448" s="8"/>
      <c r="M448" s="5"/>
      <c r="N448" s="1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8"/>
      <c r="L449" s="8"/>
      <c r="M449" s="5"/>
      <c r="N449" s="1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8"/>
      <c r="L450" s="8"/>
      <c r="M450" s="5"/>
      <c r="N450" s="1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8"/>
      <c r="L451" s="8"/>
      <c r="M451" s="5"/>
      <c r="N451" s="1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8"/>
      <c r="L452" s="8"/>
      <c r="M452" s="5"/>
      <c r="N452" s="1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8"/>
      <c r="L453" s="8"/>
      <c r="M453" s="5"/>
      <c r="N453" s="1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8"/>
      <c r="L454" s="8"/>
      <c r="M454" s="5"/>
      <c r="N454" s="1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8"/>
      <c r="L455" s="8"/>
      <c r="M455" s="5"/>
      <c r="N455" s="1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8"/>
      <c r="L456" s="8"/>
      <c r="M456" s="5"/>
      <c r="N456" s="1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8"/>
      <c r="L457" s="8"/>
      <c r="M457" s="5"/>
      <c r="N457" s="1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8"/>
      <c r="L458" s="8"/>
      <c r="M458" s="5"/>
      <c r="N458" s="1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8"/>
      <c r="L459" s="8"/>
      <c r="M459" s="5"/>
      <c r="N459" s="1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8"/>
      <c r="L460" s="8"/>
      <c r="M460" s="5"/>
      <c r="N460" s="1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8"/>
      <c r="L461" s="8"/>
      <c r="M461" s="5"/>
      <c r="N461" s="1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8"/>
      <c r="L462" s="8"/>
      <c r="M462" s="5"/>
      <c r="N462" s="1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8"/>
      <c r="L463" s="8"/>
      <c r="M463" s="5"/>
      <c r="N463" s="1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8"/>
      <c r="L464" s="8"/>
      <c r="M464" s="5"/>
      <c r="N464" s="1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8"/>
      <c r="L465" s="8"/>
      <c r="M465" s="5"/>
      <c r="N465" s="1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8"/>
      <c r="L466" s="8"/>
      <c r="M466" s="5"/>
      <c r="N466" s="1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8"/>
      <c r="L467" s="8"/>
      <c r="M467" s="5"/>
      <c r="N467" s="1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8"/>
      <c r="L468" s="8"/>
      <c r="M468" s="5"/>
      <c r="N468" s="1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8"/>
      <c r="L469" s="8"/>
      <c r="M469" s="5"/>
      <c r="N469" s="1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8"/>
      <c r="L470" s="8"/>
      <c r="M470" s="5"/>
      <c r="N470" s="1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8"/>
      <c r="L471" s="8"/>
      <c r="M471" s="5"/>
      <c r="N471" s="1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8"/>
      <c r="L472" s="8"/>
      <c r="M472" s="5"/>
      <c r="N472" s="1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8"/>
      <c r="L473" s="8"/>
      <c r="M473" s="5"/>
      <c r="N473" s="1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8"/>
      <c r="L474" s="8"/>
      <c r="M474" s="5"/>
      <c r="N474" s="1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8"/>
      <c r="L475" s="8"/>
      <c r="M475" s="5"/>
      <c r="N475" s="1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8"/>
      <c r="L476" s="8"/>
      <c r="M476" s="5"/>
      <c r="N476" s="1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8"/>
      <c r="L477" s="8"/>
      <c r="M477" s="5"/>
      <c r="N477" s="1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8"/>
      <c r="L478" s="8"/>
      <c r="M478" s="5"/>
      <c r="N478" s="1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8"/>
      <c r="L479" s="8"/>
      <c r="M479" s="5"/>
      <c r="N479" s="1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8"/>
      <c r="L480" s="8"/>
      <c r="M480" s="5"/>
      <c r="N480" s="1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8"/>
      <c r="L481" s="8"/>
      <c r="M481" s="5"/>
      <c r="N481" s="1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8"/>
      <c r="L482" s="8"/>
      <c r="M482" s="5"/>
      <c r="N482" s="1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8"/>
      <c r="L483" s="8"/>
      <c r="M483" s="5"/>
      <c r="N483" s="1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8"/>
      <c r="L484" s="8"/>
      <c r="M484" s="5"/>
      <c r="N484" s="1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8"/>
      <c r="L485" s="8"/>
      <c r="M485" s="5"/>
      <c r="N485" s="1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8"/>
      <c r="L486" s="8"/>
      <c r="M486" s="5"/>
      <c r="N486" s="1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8"/>
      <c r="L487" s="8"/>
      <c r="M487" s="5"/>
      <c r="N487" s="1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8"/>
      <c r="L488" s="8"/>
      <c r="M488" s="5"/>
      <c r="N488" s="1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8"/>
      <c r="L489" s="8"/>
      <c r="M489" s="5"/>
      <c r="N489" s="1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8"/>
      <c r="L490" s="8"/>
      <c r="M490" s="5"/>
      <c r="N490" s="1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8"/>
      <c r="L491" s="8"/>
      <c r="M491" s="5"/>
      <c r="N491" s="1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8"/>
      <c r="L492" s="8"/>
      <c r="M492" s="5"/>
      <c r="N492" s="1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8"/>
      <c r="L493" s="8"/>
      <c r="M493" s="5"/>
      <c r="N493" s="1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8"/>
      <c r="L494" s="8"/>
      <c r="M494" s="5"/>
      <c r="N494" s="1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8"/>
      <c r="L495" s="8"/>
      <c r="M495" s="5"/>
      <c r="N495" s="1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8"/>
      <c r="L496" s="8"/>
      <c r="M496" s="5"/>
      <c r="N496" s="1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8"/>
      <c r="L497" s="8"/>
      <c r="M497" s="5"/>
      <c r="N497" s="1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8"/>
      <c r="L498" s="8"/>
      <c r="M498" s="5"/>
      <c r="N498" s="1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8"/>
      <c r="L499" s="8"/>
      <c r="M499" s="5"/>
      <c r="N499" s="1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8"/>
      <c r="L500" s="8"/>
      <c r="M500" s="5"/>
      <c r="N500" s="1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8"/>
      <c r="L501" s="8"/>
      <c r="M501" s="5"/>
      <c r="N501" s="1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8"/>
      <c r="L502" s="8"/>
      <c r="M502" s="5"/>
      <c r="N502" s="1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8"/>
      <c r="L503" s="8"/>
      <c r="M503" s="5"/>
      <c r="N503" s="1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8"/>
      <c r="L504" s="8"/>
      <c r="M504" s="5"/>
      <c r="N504" s="1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8"/>
      <c r="L505" s="8"/>
      <c r="M505" s="5"/>
      <c r="N505" s="1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8"/>
      <c r="L506" s="8"/>
      <c r="M506" s="5"/>
      <c r="N506" s="1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8"/>
      <c r="L507" s="8"/>
      <c r="M507" s="5"/>
      <c r="N507" s="1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8"/>
      <c r="L508" s="8"/>
      <c r="M508" s="5"/>
      <c r="N508" s="1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8"/>
      <c r="L509" s="8"/>
      <c r="M509" s="5"/>
      <c r="N509" s="1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8"/>
      <c r="L510" s="8"/>
      <c r="M510" s="5"/>
      <c r="N510" s="1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8"/>
      <c r="L511" s="8"/>
      <c r="M511" s="5"/>
      <c r="N511" s="1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8"/>
      <c r="L512" s="8"/>
      <c r="M512" s="5"/>
      <c r="N512" s="1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8"/>
      <c r="L513" s="8"/>
      <c r="M513" s="5"/>
      <c r="N513" s="1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8"/>
      <c r="L514" s="8"/>
      <c r="M514" s="5"/>
      <c r="N514" s="1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8"/>
      <c r="L515" s="8"/>
      <c r="M515" s="5"/>
      <c r="N515" s="1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8"/>
      <c r="L516" s="8"/>
      <c r="M516" s="5"/>
      <c r="N516" s="1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8"/>
      <c r="L517" s="8"/>
      <c r="M517" s="5"/>
      <c r="N517" s="1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8"/>
      <c r="L518" s="8"/>
      <c r="M518" s="5"/>
      <c r="N518" s="1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8"/>
      <c r="L519" s="8"/>
      <c r="M519" s="5"/>
      <c r="N519" s="1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8"/>
      <c r="L520" s="8"/>
      <c r="M520" s="5"/>
      <c r="N520" s="1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8"/>
      <c r="L521" s="8"/>
      <c r="M521" s="5"/>
      <c r="N521" s="1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8"/>
      <c r="L522" s="8"/>
      <c r="M522" s="5"/>
      <c r="N522" s="1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8"/>
      <c r="L523" s="8"/>
      <c r="M523" s="5"/>
      <c r="N523" s="1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8"/>
      <c r="L524" s="8"/>
      <c r="M524" s="5"/>
      <c r="N524" s="1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8"/>
      <c r="L525" s="8"/>
      <c r="M525" s="5"/>
      <c r="N525" s="1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8"/>
      <c r="L526" s="8"/>
      <c r="M526" s="5"/>
      <c r="N526" s="1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8"/>
      <c r="L527" s="8"/>
      <c r="M527" s="5"/>
      <c r="N527" s="1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8"/>
      <c r="L528" s="8"/>
      <c r="M528" s="5"/>
      <c r="N528" s="1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8"/>
      <c r="L529" s="8"/>
      <c r="M529" s="5"/>
      <c r="N529" s="1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8"/>
      <c r="L530" s="8"/>
      <c r="M530" s="5"/>
      <c r="N530" s="1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8"/>
      <c r="L531" s="8"/>
      <c r="M531" s="5"/>
      <c r="N531" s="1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8"/>
      <c r="L532" s="8"/>
      <c r="M532" s="5"/>
      <c r="N532" s="1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8"/>
      <c r="L533" s="8"/>
      <c r="M533" s="5"/>
      <c r="N533" s="1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8"/>
      <c r="L534" s="8"/>
      <c r="M534" s="5"/>
      <c r="N534" s="1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8"/>
      <c r="L535" s="8"/>
      <c r="M535" s="5"/>
      <c r="N535" s="1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8"/>
      <c r="L536" s="8"/>
      <c r="M536" s="5"/>
      <c r="N536" s="1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8"/>
      <c r="L537" s="8"/>
      <c r="M537" s="5"/>
      <c r="N537" s="1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8"/>
      <c r="L538" s="8"/>
      <c r="M538" s="5"/>
      <c r="N538" s="1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8"/>
      <c r="L539" s="8"/>
      <c r="M539" s="5"/>
      <c r="N539" s="1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8"/>
      <c r="L540" s="8"/>
      <c r="M540" s="5"/>
      <c r="N540" s="1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8"/>
      <c r="L541" s="8"/>
      <c r="M541" s="5"/>
      <c r="N541" s="1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8"/>
      <c r="L542" s="8"/>
      <c r="M542" s="5"/>
      <c r="N542" s="1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8"/>
      <c r="L543" s="8"/>
      <c r="M543" s="5"/>
      <c r="N543" s="1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8"/>
      <c r="L544" s="8"/>
      <c r="M544" s="5"/>
      <c r="N544" s="1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8"/>
      <c r="L545" s="8"/>
      <c r="M545" s="5"/>
      <c r="N545" s="1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8"/>
      <c r="L546" s="8"/>
      <c r="M546" s="5"/>
      <c r="N546" s="1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8"/>
      <c r="L547" s="8"/>
      <c r="M547" s="5"/>
      <c r="N547" s="1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8"/>
      <c r="L548" s="8"/>
      <c r="M548" s="5"/>
      <c r="N548" s="1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8"/>
      <c r="L549" s="8"/>
      <c r="M549" s="5"/>
      <c r="N549" s="1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8"/>
      <c r="L550" s="8"/>
      <c r="M550" s="5"/>
      <c r="N550" s="1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8"/>
      <c r="L551" s="8"/>
      <c r="M551" s="5"/>
      <c r="N551" s="1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8"/>
      <c r="L552" s="8"/>
      <c r="M552" s="5"/>
      <c r="N552" s="1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8"/>
      <c r="L553" s="8"/>
      <c r="M553" s="5"/>
      <c r="N553" s="1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8"/>
      <c r="L554" s="8"/>
      <c r="M554" s="5"/>
      <c r="N554" s="1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8"/>
      <c r="L555" s="8"/>
      <c r="M555" s="5"/>
      <c r="N555" s="1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8"/>
      <c r="L556" s="8"/>
      <c r="M556" s="5"/>
      <c r="N556" s="1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8"/>
      <c r="L557" s="8"/>
      <c r="M557" s="5"/>
      <c r="N557" s="1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8"/>
      <c r="L558" s="8"/>
      <c r="M558" s="5"/>
      <c r="N558" s="1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8"/>
      <c r="L559" s="8"/>
      <c r="M559" s="5"/>
      <c r="N559" s="1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8"/>
      <c r="L560" s="8"/>
      <c r="M560" s="5"/>
      <c r="N560" s="1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8"/>
      <c r="L561" s="8"/>
      <c r="M561" s="5"/>
      <c r="N561" s="1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8"/>
      <c r="L562" s="8"/>
      <c r="M562" s="5"/>
      <c r="N562" s="1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8"/>
      <c r="L563" s="8"/>
      <c r="M563" s="5"/>
      <c r="N563" s="1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8"/>
      <c r="L564" s="8"/>
      <c r="M564" s="5"/>
      <c r="N564" s="1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8"/>
      <c r="L565" s="8"/>
      <c r="M565" s="5"/>
      <c r="N565" s="1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8"/>
      <c r="L566" s="8"/>
      <c r="M566" s="5"/>
      <c r="N566" s="1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8"/>
      <c r="L567" s="8"/>
      <c r="M567" s="5"/>
      <c r="N567" s="1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8"/>
      <c r="L568" s="8"/>
      <c r="M568" s="5"/>
      <c r="N568" s="1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8"/>
      <c r="L569" s="8"/>
      <c r="M569" s="5"/>
      <c r="N569" s="1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8"/>
      <c r="L570" s="8"/>
      <c r="M570" s="5"/>
      <c r="N570" s="1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8"/>
      <c r="L571" s="8"/>
      <c r="M571" s="5"/>
      <c r="N571" s="1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8"/>
      <c r="L572" s="8"/>
      <c r="M572" s="5"/>
      <c r="N572" s="1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8"/>
      <c r="L573" s="8"/>
      <c r="M573" s="5"/>
      <c r="N573" s="1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8"/>
      <c r="L574" s="8"/>
      <c r="M574" s="5"/>
      <c r="N574" s="1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8"/>
      <c r="L575" s="8"/>
      <c r="M575" s="5"/>
      <c r="N575" s="1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8"/>
      <c r="L576" s="8"/>
      <c r="M576" s="5"/>
      <c r="N576" s="1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8"/>
      <c r="L577" s="8"/>
      <c r="M577" s="5"/>
      <c r="N577" s="1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8"/>
      <c r="L578" s="8"/>
      <c r="M578" s="5"/>
      <c r="N578" s="1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8"/>
      <c r="L579" s="8"/>
      <c r="M579" s="5"/>
      <c r="N579" s="1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8"/>
      <c r="L580" s="8"/>
      <c r="M580" s="5"/>
      <c r="N580" s="1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8"/>
      <c r="L581" s="8"/>
      <c r="M581" s="5"/>
      <c r="N581" s="1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8"/>
      <c r="L582" s="8"/>
      <c r="M582" s="5"/>
      <c r="N582" s="1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8"/>
      <c r="L583" s="8"/>
      <c r="M583" s="5"/>
      <c r="N583" s="1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8"/>
      <c r="L584" s="8"/>
      <c r="M584" s="5"/>
      <c r="N584" s="1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8"/>
      <c r="L585" s="8"/>
      <c r="M585" s="5"/>
      <c r="N585" s="1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8"/>
      <c r="L586" s="8"/>
      <c r="M586" s="5"/>
      <c r="N586" s="1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8"/>
      <c r="L587" s="8"/>
      <c r="M587" s="5"/>
      <c r="N587" s="1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8"/>
      <c r="L588" s="8"/>
      <c r="M588" s="5"/>
      <c r="N588" s="1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8"/>
      <c r="L589" s="8"/>
      <c r="M589" s="5"/>
      <c r="N589" s="1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8"/>
      <c r="L590" s="8"/>
      <c r="M590" s="5"/>
      <c r="N590" s="1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8"/>
      <c r="L591" s="8"/>
      <c r="M591" s="5"/>
      <c r="N591" s="1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8"/>
      <c r="L592" s="8"/>
      <c r="M592" s="5"/>
      <c r="N592" s="1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8"/>
      <c r="L593" s="8"/>
      <c r="M593" s="5"/>
      <c r="N593" s="1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8"/>
      <c r="L594" s="8"/>
      <c r="M594" s="5"/>
      <c r="N594" s="1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8"/>
      <c r="L595" s="8"/>
      <c r="M595" s="5"/>
      <c r="N595" s="1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8"/>
      <c r="L596" s="8"/>
      <c r="M596" s="5"/>
      <c r="N596" s="1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8"/>
      <c r="L597" s="8"/>
      <c r="M597" s="5"/>
      <c r="N597" s="1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8"/>
      <c r="L598" s="8"/>
      <c r="M598" s="5"/>
      <c r="N598" s="1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8"/>
      <c r="L599" s="8"/>
      <c r="M599" s="5"/>
      <c r="N599" s="1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8"/>
      <c r="L600" s="8"/>
      <c r="M600" s="5"/>
      <c r="N600" s="1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8"/>
      <c r="L601" s="8"/>
      <c r="M601" s="5"/>
      <c r="N601" s="1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8"/>
      <c r="L602" s="8"/>
      <c r="M602" s="5"/>
      <c r="N602" s="1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8"/>
      <c r="L603" s="8"/>
      <c r="M603" s="5"/>
      <c r="N603" s="1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8"/>
      <c r="L604" s="8"/>
      <c r="M604" s="5"/>
      <c r="N604" s="1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8"/>
      <c r="L605" s="8"/>
      <c r="M605" s="5"/>
      <c r="N605" s="1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8"/>
      <c r="L606" s="8"/>
      <c r="M606" s="5"/>
      <c r="N606" s="1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8"/>
      <c r="L607" s="8"/>
      <c r="M607" s="5"/>
      <c r="N607" s="1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8"/>
      <c r="L608" s="8"/>
      <c r="M608" s="5"/>
      <c r="N608" s="1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8"/>
      <c r="L609" s="8"/>
      <c r="M609" s="5"/>
      <c r="N609" s="1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8"/>
      <c r="L610" s="8"/>
      <c r="M610" s="5"/>
      <c r="N610" s="1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8"/>
      <c r="L611" s="8"/>
      <c r="M611" s="5"/>
      <c r="N611" s="1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8"/>
      <c r="L612" s="8"/>
      <c r="M612" s="5"/>
      <c r="N612" s="1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8"/>
      <c r="L613" s="8"/>
      <c r="M613" s="5"/>
      <c r="N613" s="1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8"/>
      <c r="L614" s="8"/>
      <c r="M614" s="5"/>
      <c r="N614" s="1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8"/>
      <c r="L615" s="8"/>
      <c r="M615" s="5"/>
      <c r="N615" s="1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8"/>
      <c r="L616" s="8"/>
      <c r="M616" s="5"/>
      <c r="N616" s="1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8"/>
      <c r="L617" s="8"/>
      <c r="M617" s="5"/>
      <c r="N617" s="1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8"/>
      <c r="L618" s="8"/>
      <c r="M618" s="5"/>
      <c r="N618" s="1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8"/>
      <c r="L619" s="8"/>
      <c r="M619" s="5"/>
      <c r="N619" s="1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8"/>
      <c r="L620" s="8"/>
      <c r="M620" s="5"/>
      <c r="N620" s="1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8"/>
      <c r="L621" s="8"/>
      <c r="M621" s="5"/>
      <c r="N621" s="1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8"/>
      <c r="L622" s="8"/>
      <c r="M622" s="5"/>
      <c r="N622" s="1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8"/>
      <c r="L623" s="8"/>
      <c r="M623" s="5"/>
      <c r="N623" s="1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8"/>
      <c r="L624" s="8"/>
      <c r="M624" s="5"/>
      <c r="N624" s="1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8"/>
      <c r="L625" s="8"/>
      <c r="M625" s="5"/>
      <c r="N625" s="1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8"/>
      <c r="L626" s="8"/>
      <c r="M626" s="5"/>
      <c r="N626" s="1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8"/>
      <c r="L627" s="8"/>
      <c r="M627" s="5"/>
      <c r="N627" s="1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8"/>
      <c r="L628" s="8"/>
      <c r="M628" s="5"/>
      <c r="N628" s="1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8"/>
      <c r="L629" s="8"/>
      <c r="M629" s="5"/>
      <c r="N629" s="1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8"/>
      <c r="L630" s="8"/>
      <c r="M630" s="5"/>
      <c r="N630" s="1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8"/>
      <c r="L631" s="8"/>
      <c r="M631" s="5"/>
      <c r="N631" s="1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8"/>
      <c r="L632" s="8"/>
      <c r="M632" s="5"/>
      <c r="N632" s="1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8"/>
      <c r="L633" s="8"/>
      <c r="M633" s="5"/>
      <c r="N633" s="1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8"/>
      <c r="L634" s="8"/>
      <c r="M634" s="5"/>
      <c r="N634" s="1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8"/>
      <c r="L635" s="8"/>
      <c r="M635" s="5"/>
      <c r="N635" s="1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8"/>
      <c r="L636" s="8"/>
      <c r="M636" s="5"/>
      <c r="N636" s="1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8"/>
      <c r="L637" s="8"/>
      <c r="M637" s="5"/>
      <c r="N637" s="1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8"/>
      <c r="L638" s="8"/>
      <c r="M638" s="5"/>
      <c r="N638" s="1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8"/>
      <c r="L639" s="8"/>
      <c r="M639" s="5"/>
      <c r="N639" s="1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8"/>
      <c r="L640" s="8"/>
      <c r="M640" s="5"/>
      <c r="N640" s="1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8"/>
      <c r="L641" s="8"/>
      <c r="M641" s="5"/>
      <c r="N641" s="1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8"/>
      <c r="L642" s="8"/>
      <c r="M642" s="5"/>
      <c r="N642" s="1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8"/>
      <c r="L643" s="8"/>
      <c r="M643" s="5"/>
      <c r="N643" s="1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8"/>
      <c r="L644" s="8"/>
      <c r="M644" s="5"/>
      <c r="N644" s="1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8"/>
      <c r="L645" s="8"/>
      <c r="M645" s="5"/>
      <c r="N645" s="1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8"/>
      <c r="L646" s="8"/>
      <c r="M646" s="5"/>
      <c r="N646" s="1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8"/>
      <c r="L647" s="8"/>
      <c r="M647" s="5"/>
      <c r="N647" s="1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8"/>
      <c r="L648" s="8"/>
      <c r="M648" s="5"/>
      <c r="N648" s="1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8"/>
      <c r="L649" s="8"/>
      <c r="M649" s="5"/>
      <c r="N649" s="1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8"/>
      <c r="L650" s="8"/>
      <c r="M650" s="5"/>
      <c r="N650" s="1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8"/>
      <c r="L651" s="8"/>
      <c r="M651" s="5"/>
      <c r="N651" s="1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8"/>
      <c r="L652" s="8"/>
      <c r="M652" s="5"/>
      <c r="N652" s="1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8"/>
      <c r="L653" s="8"/>
      <c r="M653" s="5"/>
      <c r="N653" s="1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8"/>
      <c r="L654" s="8"/>
      <c r="M654" s="5"/>
      <c r="N654" s="1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8"/>
      <c r="L655" s="8"/>
      <c r="M655" s="5"/>
      <c r="N655" s="1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8"/>
      <c r="L656" s="8"/>
      <c r="M656" s="5"/>
      <c r="N656" s="1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8"/>
      <c r="L657" s="8"/>
      <c r="M657" s="5"/>
      <c r="N657" s="1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8"/>
      <c r="L658" s="8"/>
      <c r="M658" s="5"/>
      <c r="N658" s="1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8"/>
      <c r="L659" s="8"/>
      <c r="M659" s="5"/>
      <c r="N659" s="1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8"/>
      <c r="L660" s="8"/>
      <c r="M660" s="5"/>
      <c r="N660" s="1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8"/>
      <c r="L661" s="8"/>
      <c r="M661" s="5"/>
      <c r="N661" s="1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8"/>
      <c r="L662" s="8"/>
      <c r="M662" s="5"/>
      <c r="N662" s="1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8"/>
      <c r="L663" s="8"/>
      <c r="M663" s="5"/>
      <c r="N663" s="1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8"/>
      <c r="L664" s="8"/>
      <c r="M664" s="5"/>
      <c r="N664" s="1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8"/>
      <c r="L665" s="8"/>
      <c r="M665" s="5"/>
      <c r="N665" s="1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8"/>
      <c r="L666" s="8"/>
      <c r="M666" s="5"/>
      <c r="N666" s="1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8"/>
      <c r="L667" s="8"/>
      <c r="M667" s="5"/>
      <c r="N667" s="1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8"/>
      <c r="L668" s="8"/>
      <c r="M668" s="5"/>
      <c r="N668" s="1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8"/>
      <c r="L669" s="8"/>
      <c r="M669" s="5"/>
      <c r="N669" s="1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8"/>
      <c r="L670" s="8"/>
      <c r="M670" s="5"/>
      <c r="N670" s="1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8"/>
      <c r="L671" s="8"/>
      <c r="M671" s="5"/>
      <c r="N671" s="1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8"/>
      <c r="L672" s="8"/>
      <c r="M672" s="5"/>
      <c r="N672" s="1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8"/>
      <c r="L673" s="8"/>
      <c r="M673" s="5"/>
      <c r="N673" s="1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8"/>
      <c r="L674" s="8"/>
      <c r="M674" s="5"/>
      <c r="N674" s="1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8"/>
      <c r="L675" s="8"/>
      <c r="M675" s="5"/>
      <c r="N675" s="1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8"/>
      <c r="L676" s="8"/>
      <c r="M676" s="5"/>
      <c r="N676" s="1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8"/>
      <c r="L677" s="8"/>
      <c r="M677" s="5"/>
      <c r="N677" s="1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8"/>
      <c r="L678" s="8"/>
      <c r="M678" s="5"/>
      <c r="N678" s="1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8"/>
      <c r="L679" s="8"/>
      <c r="M679" s="5"/>
      <c r="N679" s="1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8"/>
      <c r="L680" s="8"/>
      <c r="M680" s="5"/>
      <c r="N680" s="1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8"/>
      <c r="L681" s="8"/>
      <c r="M681" s="5"/>
      <c r="N681" s="1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8"/>
      <c r="L682" s="8"/>
      <c r="M682" s="5"/>
      <c r="N682" s="1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8"/>
      <c r="L683" s="8"/>
      <c r="M683" s="5"/>
      <c r="N683" s="1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8"/>
      <c r="L684" s="8"/>
      <c r="M684" s="5"/>
      <c r="N684" s="1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8"/>
      <c r="L685" s="8"/>
      <c r="M685" s="5"/>
      <c r="N685" s="1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8"/>
      <c r="L686" s="8"/>
      <c r="M686" s="5"/>
      <c r="N686" s="1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8"/>
      <c r="L687" s="8"/>
      <c r="M687" s="5"/>
      <c r="N687" s="1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8"/>
      <c r="L688" s="8"/>
      <c r="M688" s="5"/>
      <c r="N688" s="1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8"/>
      <c r="L689" s="8"/>
      <c r="M689" s="5"/>
      <c r="N689" s="1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8"/>
      <c r="L690" s="8"/>
      <c r="M690" s="5"/>
      <c r="N690" s="1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8"/>
      <c r="L691" s="8"/>
      <c r="M691" s="5"/>
      <c r="N691" s="1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8"/>
      <c r="L692" s="8"/>
      <c r="M692" s="5"/>
      <c r="N692" s="1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8"/>
      <c r="L693" s="8"/>
      <c r="M693" s="5"/>
      <c r="N693" s="1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8"/>
      <c r="L694" s="8"/>
      <c r="M694" s="5"/>
      <c r="N694" s="1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8"/>
      <c r="L695" s="8"/>
      <c r="M695" s="5"/>
      <c r="N695" s="1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8"/>
      <c r="L696" s="8"/>
      <c r="M696" s="5"/>
      <c r="N696" s="1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8"/>
      <c r="L697" s="8"/>
      <c r="M697" s="5"/>
      <c r="N697" s="1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8"/>
      <c r="L698" s="8"/>
      <c r="M698" s="5"/>
      <c r="N698" s="1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8"/>
      <c r="L699" s="8"/>
      <c r="M699" s="5"/>
      <c r="N699" s="1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8"/>
      <c r="L700" s="8"/>
      <c r="M700" s="5"/>
      <c r="N700" s="1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8"/>
      <c r="L701" s="8"/>
      <c r="M701" s="5"/>
      <c r="N701" s="1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8"/>
      <c r="L702" s="8"/>
      <c r="M702" s="5"/>
      <c r="N702" s="1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8"/>
      <c r="L703" s="8"/>
      <c r="M703" s="5"/>
      <c r="N703" s="1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8"/>
      <c r="L704" s="8"/>
      <c r="M704" s="5"/>
      <c r="N704" s="1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8"/>
      <c r="L705" s="8"/>
      <c r="M705" s="5"/>
      <c r="N705" s="1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8"/>
      <c r="L706" s="8"/>
      <c r="M706" s="5"/>
      <c r="N706" s="1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8"/>
      <c r="L707" s="8"/>
      <c r="M707" s="5"/>
      <c r="N707" s="1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8"/>
      <c r="L708" s="8"/>
      <c r="M708" s="5"/>
      <c r="N708" s="1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8"/>
      <c r="L709" s="8"/>
      <c r="M709" s="5"/>
      <c r="N709" s="1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8"/>
      <c r="L710" s="8"/>
      <c r="M710" s="5"/>
      <c r="N710" s="1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8"/>
      <c r="L711" s="8"/>
      <c r="M711" s="5"/>
      <c r="N711" s="1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8"/>
      <c r="L712" s="8"/>
      <c r="M712" s="5"/>
      <c r="N712" s="1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8"/>
      <c r="L713" s="8"/>
      <c r="M713" s="5"/>
      <c r="N713" s="1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8"/>
      <c r="L714" s="8"/>
      <c r="M714" s="5"/>
      <c r="N714" s="1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8"/>
      <c r="L715" s="8"/>
      <c r="M715" s="5"/>
      <c r="N715" s="1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8"/>
      <c r="L716" s="8"/>
      <c r="M716" s="5"/>
      <c r="N716" s="1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8"/>
      <c r="L717" s="8"/>
      <c r="M717" s="5"/>
      <c r="N717" s="1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8"/>
      <c r="L718" s="8"/>
      <c r="M718" s="5"/>
      <c r="N718" s="1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8"/>
      <c r="L719" s="8"/>
      <c r="M719" s="5"/>
      <c r="N719" s="1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8"/>
      <c r="L720" s="8"/>
      <c r="M720" s="5"/>
      <c r="N720" s="1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8"/>
      <c r="L721" s="8"/>
      <c r="M721" s="5"/>
      <c r="N721" s="1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8"/>
      <c r="L722" s="8"/>
      <c r="M722" s="5"/>
      <c r="N722" s="1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8"/>
      <c r="L723" s="8"/>
      <c r="M723" s="5"/>
      <c r="N723" s="1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8"/>
      <c r="L724" s="8"/>
      <c r="M724" s="5"/>
      <c r="N724" s="1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8"/>
      <c r="L725" s="8"/>
      <c r="M725" s="5"/>
      <c r="N725" s="1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8"/>
      <c r="L726" s="8"/>
      <c r="M726" s="5"/>
      <c r="N726" s="1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8"/>
      <c r="L727" s="8"/>
      <c r="M727" s="5"/>
      <c r="N727" s="1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8"/>
      <c r="L728" s="8"/>
      <c r="M728" s="5"/>
      <c r="N728" s="1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8"/>
      <c r="L729" s="8"/>
      <c r="M729" s="5"/>
      <c r="N729" s="1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8"/>
      <c r="L730" s="8"/>
      <c r="M730" s="5"/>
      <c r="N730" s="1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8"/>
      <c r="L731" s="8"/>
      <c r="M731" s="5"/>
      <c r="N731" s="1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8"/>
      <c r="L732" s="8"/>
      <c r="M732" s="5"/>
      <c r="N732" s="1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8"/>
      <c r="L733" s="8"/>
      <c r="M733" s="5"/>
      <c r="N733" s="1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8"/>
      <c r="L734" s="8"/>
      <c r="M734" s="5"/>
      <c r="N734" s="1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8"/>
      <c r="L735" s="8"/>
      <c r="M735" s="5"/>
      <c r="N735" s="1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8"/>
      <c r="L736" s="8"/>
      <c r="M736" s="5"/>
      <c r="N736" s="1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8"/>
      <c r="L737" s="8"/>
      <c r="M737" s="5"/>
      <c r="N737" s="1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8"/>
      <c r="L738" s="8"/>
      <c r="M738" s="5"/>
      <c r="N738" s="1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8"/>
      <c r="L739" s="8"/>
      <c r="M739" s="5"/>
      <c r="N739" s="1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8"/>
      <c r="L740" s="8"/>
      <c r="M740" s="5"/>
      <c r="N740" s="1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8"/>
      <c r="L741" s="8"/>
      <c r="M741" s="5"/>
      <c r="N741" s="1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8"/>
      <c r="L742" s="8"/>
      <c r="M742" s="5"/>
      <c r="N742" s="1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8"/>
      <c r="L743" s="8"/>
      <c r="M743" s="5"/>
      <c r="N743" s="1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8"/>
      <c r="L744" s="8"/>
      <c r="M744" s="5"/>
      <c r="N744" s="1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8"/>
      <c r="L745" s="8"/>
      <c r="M745" s="5"/>
      <c r="N745" s="1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8"/>
      <c r="L746" s="8"/>
      <c r="M746" s="5"/>
      <c r="N746" s="1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8"/>
      <c r="L747" s="8"/>
      <c r="M747" s="5"/>
      <c r="N747" s="1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8"/>
      <c r="L748" s="8"/>
      <c r="M748" s="5"/>
      <c r="N748" s="1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8"/>
      <c r="L749" s="8"/>
      <c r="M749" s="5"/>
      <c r="N749" s="1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8"/>
      <c r="L750" s="8"/>
      <c r="M750" s="5"/>
      <c r="N750" s="1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8"/>
      <c r="L751" s="8"/>
      <c r="M751" s="5"/>
      <c r="N751" s="1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8"/>
      <c r="L752" s="8"/>
      <c r="M752" s="5"/>
      <c r="N752" s="1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8"/>
      <c r="L753" s="8"/>
      <c r="M753" s="5"/>
      <c r="N753" s="1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8"/>
      <c r="L754" s="8"/>
      <c r="M754" s="5"/>
      <c r="N754" s="1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8"/>
      <c r="L755" s="8"/>
      <c r="M755" s="5"/>
      <c r="N755" s="1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8"/>
      <c r="L756" s="8"/>
      <c r="M756" s="5"/>
      <c r="N756" s="1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8"/>
      <c r="L757" s="8"/>
      <c r="M757" s="5"/>
      <c r="N757" s="1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8"/>
      <c r="L758" s="8"/>
      <c r="M758" s="5"/>
      <c r="N758" s="1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8"/>
      <c r="L759" s="8"/>
      <c r="M759" s="5"/>
      <c r="N759" s="1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8"/>
      <c r="L760" s="8"/>
      <c r="M760" s="5"/>
      <c r="N760" s="1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8"/>
      <c r="L761" s="8"/>
      <c r="M761" s="5"/>
      <c r="N761" s="1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8"/>
      <c r="L762" s="8"/>
      <c r="M762" s="5"/>
      <c r="N762" s="1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8"/>
      <c r="L763" s="8"/>
      <c r="M763" s="5"/>
      <c r="N763" s="1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8"/>
      <c r="L764" s="8"/>
      <c r="M764" s="5"/>
      <c r="N764" s="1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8"/>
      <c r="L765" s="8"/>
      <c r="M765" s="5"/>
      <c r="N765" s="1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8"/>
      <c r="L766" s="8"/>
      <c r="M766" s="5"/>
      <c r="N766" s="1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8"/>
      <c r="L767" s="8"/>
      <c r="M767" s="5"/>
      <c r="N767" s="1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8"/>
      <c r="L768" s="8"/>
      <c r="M768" s="5"/>
      <c r="N768" s="1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8"/>
      <c r="L769" s="8"/>
      <c r="M769" s="5"/>
      <c r="N769" s="1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8"/>
      <c r="L770" s="8"/>
      <c r="M770" s="5"/>
      <c r="N770" s="1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8"/>
      <c r="L771" s="8"/>
      <c r="M771" s="5"/>
      <c r="N771" s="1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8"/>
      <c r="L772" s="8"/>
      <c r="M772" s="5"/>
      <c r="N772" s="1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8"/>
      <c r="L773" s="8"/>
      <c r="M773" s="5"/>
      <c r="N773" s="1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8"/>
      <c r="L774" s="8"/>
      <c r="M774" s="5"/>
      <c r="N774" s="1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8"/>
      <c r="L775" s="8"/>
      <c r="M775" s="5"/>
      <c r="N775" s="1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8"/>
      <c r="L776" s="8"/>
      <c r="M776" s="5"/>
      <c r="N776" s="1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8"/>
      <c r="L777" s="8"/>
      <c r="M777" s="5"/>
      <c r="N777" s="1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8"/>
      <c r="L778" s="8"/>
      <c r="M778" s="5"/>
      <c r="N778" s="1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8"/>
      <c r="L779" s="8"/>
      <c r="M779" s="5"/>
      <c r="N779" s="1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8"/>
      <c r="L780" s="8"/>
      <c r="M780" s="5"/>
      <c r="N780" s="1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8"/>
      <c r="L781" s="8"/>
      <c r="M781" s="5"/>
      <c r="N781" s="1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8"/>
      <c r="L782" s="8"/>
      <c r="M782" s="5"/>
      <c r="N782" s="1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8"/>
      <c r="L783" s="8"/>
      <c r="M783" s="5"/>
      <c r="N783" s="1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8"/>
      <c r="L784" s="8"/>
      <c r="M784" s="5"/>
      <c r="N784" s="1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8"/>
      <c r="L785" s="8"/>
      <c r="M785" s="5"/>
      <c r="N785" s="1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8"/>
      <c r="L786" s="8"/>
      <c r="M786" s="5"/>
      <c r="N786" s="1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8"/>
      <c r="L787" s="8"/>
      <c r="M787" s="5"/>
      <c r="N787" s="1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8"/>
      <c r="L788" s="8"/>
      <c r="M788" s="5"/>
      <c r="N788" s="1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8"/>
      <c r="L789" s="8"/>
      <c r="M789" s="5"/>
      <c r="N789" s="1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8"/>
      <c r="L790" s="8"/>
      <c r="M790" s="5"/>
      <c r="N790" s="1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8"/>
      <c r="L791" s="8"/>
      <c r="M791" s="5"/>
      <c r="N791" s="1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8"/>
      <c r="L792" s="8"/>
      <c r="M792" s="5"/>
      <c r="N792" s="1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8"/>
      <c r="L793" s="8"/>
      <c r="M793" s="5"/>
      <c r="N793" s="1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8"/>
      <c r="L794" s="8"/>
      <c r="M794" s="5"/>
      <c r="N794" s="1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8"/>
      <c r="L795" s="8"/>
      <c r="M795" s="5"/>
      <c r="N795" s="1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8"/>
      <c r="L796" s="8"/>
      <c r="M796" s="5"/>
      <c r="N796" s="1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8"/>
      <c r="L797" s="8"/>
      <c r="M797" s="5"/>
      <c r="N797" s="1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8"/>
      <c r="L798" s="8"/>
      <c r="M798" s="5"/>
      <c r="N798" s="1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8"/>
      <c r="L799" s="8"/>
      <c r="M799" s="5"/>
      <c r="N799" s="1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8"/>
      <c r="L800" s="8"/>
      <c r="M800" s="5"/>
      <c r="N800" s="1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8"/>
      <c r="L801" s="8"/>
      <c r="M801" s="5"/>
      <c r="N801" s="1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8"/>
      <c r="L802" s="8"/>
      <c r="M802" s="5"/>
      <c r="N802" s="1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8"/>
      <c r="L803" s="8"/>
      <c r="M803" s="5"/>
      <c r="N803" s="1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8"/>
      <c r="L804" s="8"/>
      <c r="M804" s="5"/>
      <c r="N804" s="1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8"/>
      <c r="L805" s="8"/>
      <c r="M805" s="5"/>
      <c r="N805" s="1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8"/>
      <c r="L806" s="8"/>
      <c r="M806" s="5"/>
      <c r="N806" s="1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8"/>
      <c r="L807" s="8"/>
      <c r="M807" s="5"/>
      <c r="N807" s="1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8"/>
      <c r="L808" s="8"/>
      <c r="M808" s="5"/>
      <c r="N808" s="1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8"/>
      <c r="L809" s="8"/>
      <c r="M809" s="5"/>
      <c r="N809" s="1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8"/>
      <c r="L810" s="8"/>
      <c r="M810" s="5"/>
      <c r="N810" s="1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8"/>
      <c r="L811" s="8"/>
      <c r="M811" s="5"/>
      <c r="N811" s="1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8"/>
      <c r="L812" s="8"/>
      <c r="M812" s="5"/>
      <c r="N812" s="1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8"/>
      <c r="L813" s="8"/>
      <c r="M813" s="5"/>
      <c r="N813" s="1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8"/>
      <c r="L814" s="8"/>
      <c r="M814" s="5"/>
      <c r="N814" s="1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8"/>
      <c r="L815" s="8"/>
      <c r="M815" s="5"/>
      <c r="N815" s="1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8"/>
      <c r="L816" s="8"/>
      <c r="M816" s="5"/>
      <c r="N816" s="1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8"/>
      <c r="L817" s="8"/>
      <c r="M817" s="5"/>
      <c r="N817" s="1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8"/>
      <c r="L818" s="8"/>
      <c r="M818" s="5"/>
      <c r="N818" s="1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8"/>
      <c r="L819" s="8"/>
      <c r="M819" s="5"/>
      <c r="N819" s="1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8"/>
      <c r="L820" s="8"/>
      <c r="M820" s="5"/>
      <c r="N820" s="1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8"/>
      <c r="L821" s="8"/>
      <c r="M821" s="5"/>
      <c r="N821" s="1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8"/>
      <c r="L822" s="8"/>
      <c r="M822" s="5"/>
      <c r="N822" s="1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8"/>
      <c r="L823" s="8"/>
      <c r="M823" s="5"/>
      <c r="N823" s="1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8"/>
      <c r="L824" s="8"/>
      <c r="M824" s="5"/>
      <c r="N824" s="1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8"/>
      <c r="L825" s="8"/>
      <c r="M825" s="5"/>
      <c r="N825" s="1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8"/>
      <c r="L826" s="8"/>
      <c r="M826" s="5"/>
      <c r="N826" s="1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8"/>
      <c r="L827" s="8"/>
      <c r="M827" s="5"/>
      <c r="N827" s="1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8"/>
      <c r="L828" s="8"/>
      <c r="M828" s="5"/>
      <c r="N828" s="1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8"/>
      <c r="L829" s="8"/>
      <c r="M829" s="5"/>
      <c r="N829" s="1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8"/>
      <c r="L830" s="8"/>
      <c r="M830" s="5"/>
      <c r="N830" s="1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8"/>
      <c r="L831" s="8"/>
      <c r="M831" s="5"/>
      <c r="N831" s="1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8"/>
      <c r="L832" s="8"/>
      <c r="M832" s="5"/>
      <c r="N832" s="1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8"/>
      <c r="L833" s="8"/>
      <c r="M833" s="5"/>
      <c r="N833" s="1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8"/>
      <c r="L834" s="8"/>
      <c r="M834" s="5"/>
      <c r="N834" s="1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8"/>
      <c r="L835" s="8"/>
      <c r="M835" s="5"/>
      <c r="N835" s="1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8"/>
      <c r="L836" s="8"/>
      <c r="M836" s="5"/>
      <c r="N836" s="1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8"/>
      <c r="L837" s="8"/>
      <c r="M837" s="5"/>
      <c r="N837" s="1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8"/>
      <c r="L838" s="8"/>
      <c r="M838" s="5"/>
      <c r="N838" s="1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8"/>
      <c r="L839" s="8"/>
      <c r="M839" s="5"/>
      <c r="N839" s="1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8"/>
      <c r="L840" s="8"/>
      <c r="M840" s="5"/>
      <c r="N840" s="1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8"/>
      <c r="L841" s="8"/>
      <c r="M841" s="5"/>
      <c r="N841" s="1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8"/>
      <c r="L842" s="8"/>
      <c r="M842" s="5"/>
      <c r="N842" s="1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8"/>
      <c r="L843" s="8"/>
      <c r="M843" s="5"/>
      <c r="N843" s="1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8"/>
      <c r="L844" s="8"/>
      <c r="M844" s="5"/>
      <c r="N844" s="1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8"/>
      <c r="L845" s="8"/>
      <c r="M845" s="5"/>
      <c r="N845" s="1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8"/>
      <c r="L846" s="8"/>
      <c r="M846" s="5"/>
      <c r="N846" s="1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8"/>
      <c r="L847" s="8"/>
      <c r="M847" s="5"/>
      <c r="N847" s="1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8"/>
      <c r="L848" s="8"/>
      <c r="M848" s="5"/>
      <c r="N848" s="1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8"/>
      <c r="L849" s="8"/>
      <c r="M849" s="5"/>
      <c r="N849" s="1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8"/>
      <c r="L850" s="8"/>
      <c r="M850" s="5"/>
      <c r="N850" s="1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8"/>
      <c r="L851" s="8"/>
      <c r="M851" s="5"/>
      <c r="N851" s="1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8"/>
      <c r="L852" s="8"/>
      <c r="M852" s="5"/>
      <c r="N852" s="1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8"/>
      <c r="L853" s="8"/>
      <c r="M853" s="5"/>
      <c r="N853" s="1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8"/>
      <c r="L854" s="8"/>
      <c r="M854" s="5"/>
      <c r="N854" s="1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8"/>
      <c r="L855" s="8"/>
      <c r="M855" s="5"/>
      <c r="N855" s="1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8"/>
      <c r="L856" s="8"/>
      <c r="M856" s="5"/>
      <c r="N856" s="1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8"/>
      <c r="L857" s="8"/>
      <c r="M857" s="5"/>
      <c r="N857" s="1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8"/>
      <c r="L858" s="8"/>
      <c r="M858" s="5"/>
      <c r="N858" s="1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8"/>
      <c r="L859" s="8"/>
      <c r="M859" s="5"/>
      <c r="N859" s="1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8"/>
      <c r="L860" s="8"/>
      <c r="M860" s="5"/>
      <c r="N860" s="1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8"/>
      <c r="L861" s="8"/>
      <c r="M861" s="5"/>
      <c r="N861" s="1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8"/>
      <c r="L862" s="8"/>
      <c r="M862" s="5"/>
      <c r="N862" s="1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8"/>
      <c r="L863" s="8"/>
      <c r="M863" s="5"/>
      <c r="N863" s="1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8"/>
      <c r="L864" s="8"/>
      <c r="M864" s="5"/>
      <c r="N864" s="1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8"/>
      <c r="L865" s="8"/>
      <c r="M865" s="5"/>
      <c r="N865" s="1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8"/>
      <c r="L866" s="8"/>
      <c r="M866" s="5"/>
      <c r="N866" s="1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8"/>
      <c r="L867" s="8"/>
      <c r="M867" s="5"/>
      <c r="N867" s="1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8"/>
      <c r="L868" s="8"/>
      <c r="M868" s="5"/>
      <c r="N868" s="1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8"/>
      <c r="L869" s="8"/>
      <c r="M869" s="5"/>
      <c r="N869" s="1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8"/>
      <c r="L870" s="8"/>
      <c r="M870" s="5"/>
      <c r="N870" s="1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8"/>
      <c r="L871" s="8"/>
      <c r="M871" s="5"/>
      <c r="N871" s="1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8"/>
      <c r="L872" s="8"/>
      <c r="M872" s="5"/>
      <c r="N872" s="1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8"/>
      <c r="L873" s="8"/>
      <c r="M873" s="5"/>
      <c r="N873" s="1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8"/>
      <c r="L874" s="8"/>
      <c r="M874" s="5"/>
      <c r="N874" s="1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8"/>
      <c r="L875" s="8"/>
      <c r="M875" s="5"/>
      <c r="N875" s="1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8"/>
      <c r="L876" s="8"/>
      <c r="M876" s="5"/>
      <c r="N876" s="1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8"/>
      <c r="L877" s="8"/>
      <c r="M877" s="5"/>
      <c r="N877" s="1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8"/>
      <c r="L878" s="8"/>
      <c r="M878" s="5"/>
      <c r="N878" s="1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8"/>
      <c r="L879" s="8"/>
      <c r="M879" s="5"/>
      <c r="N879" s="1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8"/>
      <c r="L880" s="8"/>
      <c r="M880" s="5"/>
      <c r="N880" s="1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8"/>
      <c r="L881" s="8"/>
      <c r="M881" s="5"/>
      <c r="N881" s="1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8"/>
      <c r="L882" s="8"/>
      <c r="M882" s="5"/>
      <c r="N882" s="1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8"/>
      <c r="L883" s="8"/>
      <c r="M883" s="5"/>
      <c r="N883" s="1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8"/>
      <c r="L884" s="8"/>
      <c r="M884" s="5"/>
      <c r="N884" s="1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8"/>
      <c r="L885" s="8"/>
      <c r="M885" s="5"/>
      <c r="N885" s="1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8"/>
      <c r="L886" s="8"/>
      <c r="M886" s="5"/>
      <c r="N886" s="1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8"/>
      <c r="L887" s="8"/>
      <c r="M887" s="5"/>
      <c r="N887" s="1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8"/>
      <c r="L888" s="8"/>
      <c r="M888" s="5"/>
      <c r="N888" s="1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8"/>
      <c r="L889" s="8"/>
      <c r="M889" s="5"/>
      <c r="N889" s="1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8"/>
      <c r="L890" s="8"/>
      <c r="M890" s="5"/>
      <c r="N890" s="1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8"/>
      <c r="L891" s="8"/>
      <c r="M891" s="5"/>
      <c r="N891" s="1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8"/>
      <c r="L892" s="8"/>
      <c r="M892" s="5"/>
      <c r="N892" s="1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8"/>
      <c r="L893" s="8"/>
      <c r="M893" s="5"/>
      <c r="N893" s="1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8"/>
      <c r="L894" s="8"/>
      <c r="M894" s="5"/>
      <c r="N894" s="1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8"/>
      <c r="L895" s="8"/>
      <c r="M895" s="5"/>
      <c r="N895" s="1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8"/>
      <c r="L896" s="8"/>
      <c r="M896" s="5"/>
      <c r="N896" s="1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8"/>
      <c r="L897" s="8"/>
      <c r="M897" s="5"/>
      <c r="N897" s="1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8"/>
      <c r="L898" s="8"/>
      <c r="M898" s="5"/>
      <c r="N898" s="1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8"/>
      <c r="L899" s="8"/>
      <c r="M899" s="5"/>
      <c r="N899" s="1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8"/>
      <c r="L900" s="8"/>
      <c r="M900" s="5"/>
      <c r="N900" s="1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8"/>
      <c r="L901" s="8"/>
      <c r="M901" s="5"/>
      <c r="N901" s="1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8"/>
      <c r="L902" s="8"/>
      <c r="M902" s="5"/>
      <c r="N902" s="1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8"/>
      <c r="L903" s="8"/>
      <c r="M903" s="5"/>
      <c r="N903" s="1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8"/>
      <c r="L904" s="8"/>
      <c r="M904" s="5"/>
      <c r="N904" s="1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8"/>
      <c r="L905" s="8"/>
      <c r="M905" s="5"/>
      <c r="N905" s="1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8"/>
      <c r="L906" s="8"/>
      <c r="M906" s="5"/>
      <c r="N906" s="1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8"/>
      <c r="L907" s="8"/>
      <c r="M907" s="5"/>
      <c r="N907" s="1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8"/>
      <c r="L908" s="8"/>
      <c r="M908" s="5"/>
      <c r="N908" s="1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8"/>
      <c r="L909" s="8"/>
      <c r="M909" s="5"/>
      <c r="N909" s="1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8"/>
      <c r="L910" s="8"/>
      <c r="M910" s="5"/>
      <c r="N910" s="1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8"/>
      <c r="L911" s="8"/>
      <c r="M911" s="5"/>
      <c r="N911" s="1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8"/>
      <c r="L912" s="8"/>
      <c r="M912" s="5"/>
      <c r="N912" s="1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8"/>
      <c r="L913" s="8"/>
      <c r="M913" s="5"/>
      <c r="N913" s="1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8"/>
      <c r="L914" s="8"/>
      <c r="M914" s="5"/>
      <c r="N914" s="1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8"/>
      <c r="L915" s="8"/>
      <c r="M915" s="5"/>
      <c r="N915" s="1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8"/>
      <c r="L916" s="8"/>
      <c r="M916" s="5"/>
      <c r="N916" s="1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8"/>
      <c r="L917" s="8"/>
      <c r="M917" s="5"/>
      <c r="N917" s="1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8"/>
      <c r="L918" s="8"/>
      <c r="M918" s="5"/>
      <c r="N918" s="1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8"/>
      <c r="L919" s="8"/>
      <c r="M919" s="5"/>
      <c r="N919" s="1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8"/>
      <c r="L920" s="8"/>
      <c r="M920" s="5"/>
      <c r="N920" s="1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8"/>
      <c r="L921" s="8"/>
      <c r="M921" s="5"/>
      <c r="N921" s="1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8"/>
      <c r="L922" s="8"/>
      <c r="M922" s="5"/>
      <c r="N922" s="1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8"/>
      <c r="L923" s="8"/>
      <c r="M923" s="5"/>
      <c r="N923" s="1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8"/>
      <c r="L924" s="8"/>
      <c r="M924" s="5"/>
      <c r="N924" s="1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8"/>
      <c r="L925" s="8"/>
      <c r="M925" s="5"/>
      <c r="N925" s="1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8"/>
      <c r="L926" s="8"/>
      <c r="M926" s="5"/>
      <c r="N926" s="1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8"/>
      <c r="L927" s="8"/>
      <c r="M927" s="5"/>
      <c r="N927" s="1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8"/>
      <c r="L928" s="8"/>
      <c r="M928" s="5"/>
      <c r="N928" s="1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8"/>
      <c r="L929" s="8"/>
      <c r="M929" s="5"/>
      <c r="N929" s="1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8"/>
      <c r="L930" s="8"/>
      <c r="M930" s="5"/>
      <c r="N930" s="1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8"/>
      <c r="L931" s="8"/>
      <c r="M931" s="5"/>
      <c r="N931" s="1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8"/>
      <c r="L932" s="8"/>
      <c r="M932" s="5"/>
      <c r="N932" s="1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8"/>
      <c r="L933" s="8"/>
      <c r="M933" s="5"/>
      <c r="N933" s="1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8"/>
      <c r="L934" s="8"/>
      <c r="M934" s="5"/>
      <c r="N934" s="1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8"/>
      <c r="L935" s="8"/>
      <c r="M935" s="5"/>
      <c r="N935" s="1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8"/>
      <c r="L936" s="8"/>
      <c r="M936" s="5"/>
      <c r="N936" s="1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8"/>
      <c r="L937" s="8"/>
      <c r="M937" s="5"/>
      <c r="N937" s="1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8"/>
      <c r="L938" s="8"/>
      <c r="M938" s="5"/>
      <c r="N938" s="1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8"/>
      <c r="L939" s="8"/>
      <c r="M939" s="5"/>
      <c r="N939" s="1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8"/>
      <c r="L940" s="8"/>
      <c r="M940" s="5"/>
      <c r="N940" s="1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8"/>
      <c r="L941" s="8"/>
      <c r="M941" s="5"/>
      <c r="N941" s="1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8"/>
      <c r="L942" s="8"/>
      <c r="M942" s="5"/>
      <c r="N942" s="1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8"/>
      <c r="L943" s="8"/>
      <c r="M943" s="5"/>
      <c r="N943" s="1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8"/>
      <c r="L944" s="8"/>
      <c r="M944" s="5"/>
      <c r="N944" s="1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8"/>
      <c r="L945" s="8"/>
      <c r="M945" s="5"/>
      <c r="N945" s="1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8"/>
      <c r="L946" s="8"/>
      <c r="M946" s="5"/>
      <c r="N946" s="1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8"/>
      <c r="L947" s="8"/>
      <c r="M947" s="5"/>
      <c r="N947" s="1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8"/>
      <c r="L948" s="8"/>
      <c r="M948" s="5"/>
      <c r="N948" s="1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8"/>
      <c r="L949" s="8"/>
      <c r="M949" s="5"/>
      <c r="N949" s="1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8"/>
      <c r="L950" s="8"/>
      <c r="M950" s="5"/>
      <c r="N950" s="1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8"/>
      <c r="L951" s="8"/>
      <c r="M951" s="5"/>
      <c r="N951" s="1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8"/>
      <c r="L952" s="8"/>
      <c r="M952" s="5"/>
      <c r="N952" s="1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8"/>
      <c r="L953" s="8"/>
      <c r="M953" s="5"/>
      <c r="N953" s="1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8"/>
      <c r="L954" s="8"/>
      <c r="M954" s="5"/>
      <c r="N954" s="1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8"/>
      <c r="L955" s="8"/>
      <c r="M955" s="5"/>
      <c r="N955" s="1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8"/>
      <c r="L956" s="8"/>
      <c r="M956" s="5"/>
      <c r="N956" s="1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8"/>
      <c r="L957" s="8"/>
      <c r="M957" s="5"/>
      <c r="N957" s="1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8"/>
      <c r="L958" s="8"/>
      <c r="M958" s="5"/>
      <c r="N958" s="1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8"/>
      <c r="L959" s="8"/>
      <c r="M959" s="5"/>
      <c r="N959" s="1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8"/>
      <c r="L960" s="8"/>
      <c r="M960" s="5"/>
      <c r="N960" s="1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8"/>
      <c r="L961" s="8"/>
      <c r="M961" s="5"/>
      <c r="N961" s="1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8"/>
      <c r="L962" s="8"/>
      <c r="M962" s="5"/>
      <c r="N962" s="1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8"/>
      <c r="L963" s="8"/>
      <c r="M963" s="5"/>
      <c r="N963" s="1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8"/>
      <c r="L964" s="8"/>
      <c r="M964" s="5"/>
      <c r="N964" s="1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8"/>
      <c r="L965" s="8"/>
      <c r="M965" s="5"/>
      <c r="N965" s="1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8"/>
      <c r="L966" s="8"/>
      <c r="M966" s="5"/>
      <c r="N966" s="1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8"/>
      <c r="L967" s="8"/>
      <c r="M967" s="5"/>
      <c r="N967" s="1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8"/>
      <c r="L968" s="8"/>
      <c r="M968" s="5"/>
      <c r="N968" s="1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8"/>
      <c r="L969" s="8"/>
      <c r="M969" s="5"/>
      <c r="N969" s="1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8"/>
      <c r="L970" s="8"/>
      <c r="M970" s="5"/>
      <c r="N970" s="1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8"/>
      <c r="L971" s="8"/>
      <c r="M971" s="5"/>
      <c r="N971" s="1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8"/>
      <c r="L972" s="8"/>
      <c r="M972" s="5"/>
      <c r="N972" s="1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8"/>
      <c r="L973" s="8"/>
      <c r="M973" s="5"/>
      <c r="N973" s="1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8"/>
      <c r="L974" s="8"/>
      <c r="M974" s="5"/>
      <c r="N974" s="1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8"/>
      <c r="L975" s="8"/>
      <c r="M975" s="5"/>
      <c r="N975" s="1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8"/>
      <c r="L976" s="8"/>
      <c r="M976" s="5"/>
      <c r="N976" s="1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8"/>
      <c r="L977" s="8"/>
      <c r="M977" s="5"/>
      <c r="N977" s="1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8"/>
      <c r="L978" s="8"/>
      <c r="M978" s="5"/>
      <c r="N978" s="1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8"/>
      <c r="L979" s="8"/>
      <c r="M979" s="5"/>
      <c r="N979" s="1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8"/>
      <c r="L980" s="8"/>
      <c r="M980" s="5"/>
      <c r="N980" s="1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8"/>
      <c r="L981" s="8"/>
      <c r="M981" s="5"/>
      <c r="N981" s="1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8"/>
      <c r="L982" s="8"/>
      <c r="M982" s="5"/>
      <c r="N982" s="1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8"/>
      <c r="L983" s="8"/>
      <c r="M983" s="5"/>
      <c r="N983" s="1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8"/>
      <c r="L984" s="8"/>
      <c r="M984" s="5"/>
      <c r="N984" s="1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8"/>
      <c r="L985" s="8"/>
      <c r="M985" s="5"/>
      <c r="N985" s="1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8"/>
      <c r="L986" s="8"/>
      <c r="M986" s="5"/>
      <c r="N986" s="1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8"/>
      <c r="L987" s="8"/>
      <c r="M987" s="5"/>
      <c r="N987" s="1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8"/>
      <c r="L988" s="8"/>
      <c r="M988" s="5"/>
      <c r="N988" s="1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8"/>
      <c r="L989" s="8"/>
      <c r="M989" s="5"/>
      <c r="N989" s="1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8"/>
      <c r="L990" s="8"/>
      <c r="M990" s="5"/>
      <c r="N990" s="1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8"/>
      <c r="L991" s="8"/>
      <c r="M991" s="5"/>
      <c r="N991" s="1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8"/>
      <c r="L992" s="8"/>
      <c r="M992" s="5"/>
      <c r="N992" s="1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8"/>
      <c r="L993" s="8"/>
      <c r="M993" s="5"/>
      <c r="N993" s="1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8"/>
      <c r="L994" s="8"/>
      <c r="M994" s="5"/>
      <c r="N994" s="1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8"/>
      <c r="L995" s="8"/>
      <c r="M995" s="5"/>
      <c r="N995" s="1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8"/>
      <c r="L996" s="8"/>
      <c r="M996" s="5"/>
      <c r="N996" s="1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8"/>
      <c r="L997" s="8"/>
      <c r="M997" s="5"/>
      <c r="N997" s="1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8"/>
      <c r="L998" s="8"/>
      <c r="M998" s="5"/>
      <c r="N998" s="1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8"/>
      <c r="L999" s="8"/>
      <c r="M999" s="5"/>
      <c r="N999" s="1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8"/>
      <c r="L1000" s="8"/>
      <c r="M1000" s="5"/>
      <c r="N1000" s="1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 count="4">
    <dataValidation type="date" allowBlank="1" sqref="B2:B1000" xr:uid="{00000000-0002-0000-0000-000000000000}">
      <formula1>1/1/2020</formula1>
      <formula2>12/31/2030</formula2>
    </dataValidation>
    <dataValidation type="list" allowBlank="1" sqref="M2:M1000" xr:uid="{00000000-0002-0000-0000-000001000000}">
      <formula1>"Win,Loss"</formula1>
    </dataValidation>
    <dataValidation type="list" allowBlank="1" sqref="D2:D1000" xr:uid="{00000000-0002-0000-0000-000002000000}">
      <formula1>"ES,MES,NQ,MNQ,YM,RTY,GC,MGC,CL,MCL,QM"</formula1>
    </dataValidation>
    <dataValidation type="list" allowBlank="1" sqref="E2:E1000" xr:uid="{00000000-0002-0000-0000-000003000000}">
      <formula1>"Long,Short"</formula1>
    </dataValidation>
  </dataValidations>
  <hyperlinks>
    <hyperlink ref="T3" r:id="rId1" xr:uid="{00000000-0004-0000-0000-000000000000}"/>
    <hyperlink ref="U3" r:id="rId2" xr:uid="{00000000-0004-0000-0000-000001000000}"/>
  </hyperlinks>
  <pageMargins left="0.75" right="0.75" top="1" bottom="1" header="0" footer="0"/>
  <pageSetup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s="3" t="s">
        <v>33</v>
      </c>
      <c r="B2" s="3">
        <v>50</v>
      </c>
    </row>
    <row r="3" spans="1:2" x14ac:dyDescent="0.25">
      <c r="A3" s="3" t="s">
        <v>34</v>
      </c>
      <c r="B3" s="3">
        <v>5</v>
      </c>
    </row>
    <row r="4" spans="1:2" x14ac:dyDescent="0.25">
      <c r="A4" s="3" t="s">
        <v>35</v>
      </c>
      <c r="B4" s="3">
        <v>20</v>
      </c>
    </row>
    <row r="5" spans="1:2" x14ac:dyDescent="0.25">
      <c r="A5" s="3" t="s">
        <v>21</v>
      </c>
      <c r="B5" s="3">
        <v>2</v>
      </c>
    </row>
    <row r="6" spans="1:2" x14ac:dyDescent="0.25">
      <c r="A6" s="3" t="s">
        <v>36</v>
      </c>
      <c r="B6" s="3">
        <v>5</v>
      </c>
    </row>
    <row r="7" spans="1:2" x14ac:dyDescent="0.25">
      <c r="A7" s="3" t="s">
        <v>37</v>
      </c>
      <c r="B7" s="3">
        <v>50</v>
      </c>
    </row>
    <row r="8" spans="1:2" x14ac:dyDescent="0.25">
      <c r="A8" s="3" t="s">
        <v>38</v>
      </c>
      <c r="B8" s="3">
        <v>100</v>
      </c>
    </row>
    <row r="9" spans="1:2" x14ac:dyDescent="0.25">
      <c r="A9" s="3" t="s">
        <v>26</v>
      </c>
      <c r="B9" s="3">
        <v>10</v>
      </c>
    </row>
    <row r="10" spans="1:2" x14ac:dyDescent="0.25">
      <c r="A10" s="3" t="s">
        <v>39</v>
      </c>
      <c r="B10" s="3">
        <v>1000</v>
      </c>
    </row>
    <row r="11" spans="1:2" x14ac:dyDescent="0.25">
      <c r="A11" s="3" t="s">
        <v>40</v>
      </c>
      <c r="B11" s="3">
        <v>100</v>
      </c>
    </row>
    <row r="12" spans="1:2" x14ac:dyDescent="0.25">
      <c r="A12" s="3" t="s">
        <v>41</v>
      </c>
      <c r="B12" s="3">
        <v>500</v>
      </c>
    </row>
    <row r="13" spans="1:2" x14ac:dyDescent="0.25">
      <c r="A13" t="s">
        <v>42</v>
      </c>
      <c r="B13">
        <v>0.5</v>
      </c>
    </row>
    <row r="14" spans="1:2" x14ac:dyDescent="0.25">
      <c r="A14" t="s">
        <v>43</v>
      </c>
      <c r="B14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defaultRowHeight="15" x14ac:dyDescent="0.25"/>
  <cols>
    <col min="1" max="1" width="30" customWidth="1"/>
    <col min="2" max="7" width="14" customWidth="1"/>
  </cols>
  <sheetData>
    <row r="1" spans="1:2" ht="17.25" x14ac:dyDescent="0.3">
      <c r="A1" s="14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>
        <v>51</v>
      </c>
    </row>
    <row r="5" spans="1:2" x14ac:dyDescent="0.25">
      <c r="A5" t="s">
        <v>50</v>
      </c>
      <c r="B5" t="s">
        <v>51</v>
      </c>
    </row>
    <row r="6" spans="1:2" x14ac:dyDescent="0.25">
      <c r="A6" t="s">
        <v>52</v>
      </c>
      <c r="B6">
        <v>1492.5</v>
      </c>
    </row>
    <row r="7" spans="1:2" x14ac:dyDescent="0.25">
      <c r="A7" t="s">
        <v>53</v>
      </c>
      <c r="B7">
        <v>1.25</v>
      </c>
    </row>
    <row r="8" spans="1:2" x14ac:dyDescent="0.25">
      <c r="A8" t="s">
        <v>54</v>
      </c>
      <c r="B8">
        <v>29.26</v>
      </c>
    </row>
    <row r="9" spans="1:2" x14ac:dyDescent="0.25">
      <c r="A9" t="s">
        <v>55</v>
      </c>
      <c r="B9">
        <v>272.77999999999997</v>
      </c>
    </row>
    <row r="10" spans="1:2" x14ac:dyDescent="0.25">
      <c r="A10" t="s">
        <v>56</v>
      </c>
      <c r="B10">
        <v>-244.69</v>
      </c>
    </row>
    <row r="11" spans="1:2" x14ac:dyDescent="0.25">
      <c r="A11" t="s">
        <v>57</v>
      </c>
      <c r="B11">
        <v>1.45</v>
      </c>
    </row>
    <row r="12" spans="1:2" x14ac:dyDescent="0.25">
      <c r="A12" t="s">
        <v>58</v>
      </c>
      <c r="B12">
        <v>0</v>
      </c>
    </row>
    <row r="13" spans="1:2" x14ac:dyDescent="0.25">
      <c r="A13" t="s">
        <v>59</v>
      </c>
      <c r="B13">
        <v>-1750</v>
      </c>
    </row>
    <row r="14" spans="1:2" x14ac:dyDescent="0.25">
      <c r="A14" t="s">
        <v>60</v>
      </c>
      <c r="B14">
        <v>4</v>
      </c>
    </row>
    <row r="15" spans="1:2" x14ac:dyDescent="0.25">
      <c r="A15" t="s">
        <v>61</v>
      </c>
      <c r="B15">
        <v>4</v>
      </c>
    </row>
    <row r="17" spans="1:5" ht="17.25" x14ac:dyDescent="0.3">
      <c r="A17" s="14" t="s">
        <v>62</v>
      </c>
    </row>
    <row r="18" spans="1:5" x14ac:dyDescent="0.25">
      <c r="A18" s="15" t="s">
        <v>63</v>
      </c>
      <c r="B18" s="15" t="s">
        <v>49</v>
      </c>
      <c r="C18" s="15" t="s">
        <v>64</v>
      </c>
      <c r="D18" s="15" t="s">
        <v>52</v>
      </c>
      <c r="E18" s="15" t="s">
        <v>65</v>
      </c>
    </row>
    <row r="19" spans="1:5" x14ac:dyDescent="0.25">
      <c r="A19" t="s">
        <v>66</v>
      </c>
      <c r="B19">
        <v>48</v>
      </c>
      <c r="C19" t="s">
        <v>67</v>
      </c>
      <c r="D19">
        <v>1279.5</v>
      </c>
      <c r="E19">
        <v>26.66</v>
      </c>
    </row>
    <row r="20" spans="1:5" x14ac:dyDescent="0.25">
      <c r="A20" t="s">
        <v>23</v>
      </c>
      <c r="B20">
        <v>3</v>
      </c>
      <c r="C20" t="s">
        <v>68</v>
      </c>
      <c r="D20">
        <v>213</v>
      </c>
      <c r="E20">
        <v>71</v>
      </c>
    </row>
    <row r="22" spans="1:5" ht="17.25" x14ac:dyDescent="0.3">
      <c r="A22" s="14" t="s">
        <v>69</v>
      </c>
    </row>
    <row r="23" spans="1:5" x14ac:dyDescent="0.25">
      <c r="A23" s="15" t="s">
        <v>70</v>
      </c>
      <c r="B23" s="15" t="s">
        <v>49</v>
      </c>
      <c r="C23" s="15" t="s">
        <v>64</v>
      </c>
      <c r="D23" s="15" t="s">
        <v>52</v>
      </c>
      <c r="E23" s="15" t="s">
        <v>65</v>
      </c>
    </row>
    <row r="24" spans="1:5" x14ac:dyDescent="0.25">
      <c r="A24" t="s">
        <v>26</v>
      </c>
      <c r="B24">
        <v>30</v>
      </c>
      <c r="C24" t="s">
        <v>71</v>
      </c>
      <c r="D24">
        <v>1001</v>
      </c>
      <c r="E24">
        <v>33.369999999999997</v>
      </c>
    </row>
    <row r="25" spans="1:5" x14ac:dyDescent="0.25">
      <c r="A25" t="s">
        <v>21</v>
      </c>
      <c r="B25">
        <v>21</v>
      </c>
      <c r="C25" t="s">
        <v>72</v>
      </c>
      <c r="D25">
        <v>491.5</v>
      </c>
      <c r="E25">
        <v>23.4</v>
      </c>
    </row>
    <row r="27" spans="1:5" ht="17.25" x14ac:dyDescent="0.3">
      <c r="A27" s="14" t="s">
        <v>73</v>
      </c>
    </row>
    <row r="28" spans="1:5" x14ac:dyDescent="0.25">
      <c r="A28" s="15" t="s">
        <v>4</v>
      </c>
      <c r="B28" s="15" t="s">
        <v>49</v>
      </c>
      <c r="C28" s="15" t="s">
        <v>64</v>
      </c>
      <c r="D28" s="15" t="s">
        <v>52</v>
      </c>
      <c r="E28" s="15" t="s">
        <v>65</v>
      </c>
    </row>
    <row r="29" spans="1:5" x14ac:dyDescent="0.25">
      <c r="A29" t="s">
        <v>22</v>
      </c>
      <c r="B29">
        <v>31</v>
      </c>
      <c r="C29" t="s">
        <v>74</v>
      </c>
      <c r="D29">
        <v>2443</v>
      </c>
      <c r="E29">
        <v>78.81</v>
      </c>
    </row>
    <row r="30" spans="1:5" x14ac:dyDescent="0.25">
      <c r="A30" t="s">
        <v>29</v>
      </c>
      <c r="B30">
        <v>20</v>
      </c>
      <c r="C30" t="s">
        <v>75</v>
      </c>
      <c r="D30">
        <v>-950.5</v>
      </c>
      <c r="E30">
        <v>-47.53</v>
      </c>
    </row>
    <row r="32" spans="1:5" ht="17.25" x14ac:dyDescent="0.3">
      <c r="A32" s="14" t="s">
        <v>76</v>
      </c>
    </row>
    <row r="33" spans="1:5" x14ac:dyDescent="0.25">
      <c r="A33" s="15" t="s">
        <v>77</v>
      </c>
      <c r="B33" s="15" t="s">
        <v>49</v>
      </c>
      <c r="C33" s="15" t="s">
        <v>64</v>
      </c>
      <c r="D33" s="15" t="s">
        <v>52</v>
      </c>
      <c r="E33" s="15" t="s">
        <v>65</v>
      </c>
    </row>
    <row r="34" spans="1:5" x14ac:dyDescent="0.25">
      <c r="A34" t="s">
        <v>78</v>
      </c>
      <c r="B34">
        <v>1</v>
      </c>
      <c r="C34" t="s">
        <v>79</v>
      </c>
      <c r="D34">
        <v>-57</v>
      </c>
      <c r="E34">
        <v>-57</v>
      </c>
    </row>
    <row r="35" spans="1:5" x14ac:dyDescent="0.25">
      <c r="A35" t="s">
        <v>80</v>
      </c>
      <c r="B35">
        <v>11</v>
      </c>
      <c r="C35" t="s">
        <v>81</v>
      </c>
      <c r="D35">
        <v>1866.5</v>
      </c>
      <c r="E35">
        <v>169.68</v>
      </c>
    </row>
    <row r="36" spans="1:5" x14ac:dyDescent="0.25">
      <c r="A36" t="s">
        <v>82</v>
      </c>
      <c r="B36">
        <v>8</v>
      </c>
      <c r="C36" t="s">
        <v>83</v>
      </c>
      <c r="D36">
        <v>-212.5</v>
      </c>
      <c r="E36">
        <v>-26.56</v>
      </c>
    </row>
    <row r="37" spans="1:5" x14ac:dyDescent="0.25">
      <c r="A37" t="s">
        <v>84</v>
      </c>
      <c r="B37">
        <v>6</v>
      </c>
      <c r="C37" t="s">
        <v>75</v>
      </c>
      <c r="D37">
        <v>94.5</v>
      </c>
      <c r="E37">
        <v>15.75</v>
      </c>
    </row>
    <row r="38" spans="1:5" x14ac:dyDescent="0.25">
      <c r="A38" t="s">
        <v>85</v>
      </c>
      <c r="B38">
        <v>4</v>
      </c>
      <c r="C38" t="s">
        <v>86</v>
      </c>
      <c r="D38">
        <v>151</v>
      </c>
      <c r="E38">
        <v>37.75</v>
      </c>
    </row>
    <row r="39" spans="1:5" x14ac:dyDescent="0.25">
      <c r="A39" t="s">
        <v>87</v>
      </c>
      <c r="B39">
        <v>2</v>
      </c>
      <c r="C39" t="s">
        <v>79</v>
      </c>
      <c r="D39">
        <v>-402</v>
      </c>
      <c r="E39">
        <v>-201</v>
      </c>
    </row>
    <row r="40" spans="1:5" x14ac:dyDescent="0.25">
      <c r="A40" t="s">
        <v>88</v>
      </c>
      <c r="B40">
        <v>1</v>
      </c>
      <c r="C40" t="s">
        <v>79</v>
      </c>
      <c r="D40">
        <v>-120</v>
      </c>
      <c r="E40">
        <v>-120</v>
      </c>
    </row>
    <row r="41" spans="1:5" x14ac:dyDescent="0.25">
      <c r="A41" t="s">
        <v>89</v>
      </c>
      <c r="B41">
        <v>6</v>
      </c>
      <c r="C41" t="s">
        <v>75</v>
      </c>
      <c r="D41">
        <v>-1552</v>
      </c>
      <c r="E41">
        <v>-258.67</v>
      </c>
    </row>
    <row r="42" spans="1:5" x14ac:dyDescent="0.25">
      <c r="A42" t="s">
        <v>90</v>
      </c>
      <c r="B42">
        <v>3</v>
      </c>
      <c r="C42" t="s">
        <v>68</v>
      </c>
      <c r="D42">
        <v>538</v>
      </c>
      <c r="E42">
        <v>179.33</v>
      </c>
    </row>
    <row r="43" spans="1:5" x14ac:dyDescent="0.25">
      <c r="A43" t="s">
        <v>91</v>
      </c>
      <c r="B43">
        <v>1</v>
      </c>
      <c r="C43" t="s">
        <v>86</v>
      </c>
      <c r="D43">
        <v>190</v>
      </c>
      <c r="E43">
        <v>190</v>
      </c>
    </row>
    <row r="44" spans="1:5" x14ac:dyDescent="0.25">
      <c r="A44" t="s">
        <v>92</v>
      </c>
      <c r="B44">
        <v>4</v>
      </c>
      <c r="C44" t="s">
        <v>93</v>
      </c>
      <c r="D44">
        <v>1836</v>
      </c>
      <c r="E44">
        <v>459</v>
      </c>
    </row>
    <row r="45" spans="1:5" x14ac:dyDescent="0.25">
      <c r="A45" t="s">
        <v>94</v>
      </c>
      <c r="B45">
        <v>4</v>
      </c>
      <c r="C45" t="s">
        <v>93</v>
      </c>
      <c r="D45">
        <v>-840</v>
      </c>
      <c r="E45">
        <v>-210</v>
      </c>
    </row>
    <row r="47" spans="1:5" ht="17.25" x14ac:dyDescent="0.3">
      <c r="A47" s="14" t="s">
        <v>95</v>
      </c>
    </row>
    <row r="48" spans="1:5" x14ac:dyDescent="0.25">
      <c r="A48" s="15" t="s">
        <v>96</v>
      </c>
      <c r="B48" s="15" t="s">
        <v>49</v>
      </c>
      <c r="C48" s="15" t="s">
        <v>64</v>
      </c>
      <c r="D48" s="15" t="s">
        <v>52</v>
      </c>
      <c r="E48" s="15" t="s">
        <v>65</v>
      </c>
    </row>
    <row r="49" spans="1:5" x14ac:dyDescent="0.25">
      <c r="A49" t="s">
        <v>97</v>
      </c>
      <c r="B49">
        <v>7</v>
      </c>
      <c r="C49" t="s">
        <v>98</v>
      </c>
      <c r="D49">
        <v>973</v>
      </c>
      <c r="E49">
        <v>139</v>
      </c>
    </row>
    <row r="50" spans="1:5" x14ac:dyDescent="0.25">
      <c r="A50" t="s">
        <v>99</v>
      </c>
      <c r="B50">
        <v>7</v>
      </c>
      <c r="C50" t="s">
        <v>100</v>
      </c>
      <c r="D50">
        <v>648</v>
      </c>
      <c r="E50">
        <v>92.57</v>
      </c>
    </row>
    <row r="51" spans="1:5" x14ac:dyDescent="0.25">
      <c r="A51" t="s">
        <v>101</v>
      </c>
      <c r="B51">
        <v>3</v>
      </c>
      <c r="C51" t="s">
        <v>68</v>
      </c>
      <c r="D51">
        <v>213</v>
      </c>
      <c r="E51">
        <v>71</v>
      </c>
    </row>
    <row r="52" spans="1:5" x14ac:dyDescent="0.25">
      <c r="A52" t="s">
        <v>102</v>
      </c>
      <c r="B52">
        <v>5</v>
      </c>
      <c r="C52" t="s">
        <v>103</v>
      </c>
      <c r="D52">
        <v>163</v>
      </c>
      <c r="E52">
        <v>32.6</v>
      </c>
    </row>
    <row r="53" spans="1:5" x14ac:dyDescent="0.25">
      <c r="A53" t="s">
        <v>104</v>
      </c>
      <c r="B53">
        <v>16</v>
      </c>
      <c r="C53" t="s">
        <v>105</v>
      </c>
      <c r="D53">
        <v>-250.5</v>
      </c>
      <c r="E53">
        <v>-15.66</v>
      </c>
    </row>
    <row r="54" spans="1:5" x14ac:dyDescent="0.25">
      <c r="A54" t="s">
        <v>106</v>
      </c>
      <c r="B54">
        <v>13</v>
      </c>
      <c r="C54" t="s">
        <v>107</v>
      </c>
      <c r="D54">
        <v>-254</v>
      </c>
      <c r="E54">
        <v>-19.54</v>
      </c>
    </row>
    <row r="56" spans="1:5" ht="17.25" x14ac:dyDescent="0.3">
      <c r="A56" s="14" t="s">
        <v>108</v>
      </c>
    </row>
    <row r="57" spans="1:5" x14ac:dyDescent="0.25">
      <c r="A57" t="s">
        <v>109</v>
      </c>
      <c r="B57" t="s">
        <v>110</v>
      </c>
    </row>
    <row r="58" spans="1:5" x14ac:dyDescent="0.25">
      <c r="A58" t="s">
        <v>109</v>
      </c>
      <c r="B58" t="s">
        <v>111</v>
      </c>
    </row>
    <row r="59" spans="1:5" x14ac:dyDescent="0.25">
      <c r="A59" t="s">
        <v>112</v>
      </c>
      <c r="B59" t="s">
        <v>113</v>
      </c>
    </row>
    <row r="60" spans="1:5" x14ac:dyDescent="0.25">
      <c r="A60" t="s">
        <v>112</v>
      </c>
      <c r="B60" t="s">
        <v>114</v>
      </c>
    </row>
    <row r="61" spans="1:5" x14ac:dyDescent="0.25">
      <c r="A61" t="s">
        <v>112</v>
      </c>
      <c r="B61" t="s">
        <v>115</v>
      </c>
    </row>
    <row r="62" spans="1:5" x14ac:dyDescent="0.25">
      <c r="A62" t="s">
        <v>112</v>
      </c>
      <c r="B62" t="s">
        <v>116</v>
      </c>
    </row>
    <row r="63" spans="1:5" x14ac:dyDescent="0.25">
      <c r="A63" t="s">
        <v>112</v>
      </c>
      <c r="B63" t="s">
        <v>117</v>
      </c>
    </row>
    <row r="64" spans="1:5" x14ac:dyDescent="0.25">
      <c r="A64" t="s">
        <v>112</v>
      </c>
      <c r="B64" t="s">
        <v>118</v>
      </c>
    </row>
    <row r="65" spans="1:2" x14ac:dyDescent="0.25">
      <c r="A65" t="s">
        <v>112</v>
      </c>
      <c r="B65" t="s">
        <v>119</v>
      </c>
    </row>
    <row r="66" spans="1:2" x14ac:dyDescent="0.25">
      <c r="A66" t="s">
        <v>112</v>
      </c>
      <c r="B66" t="s">
        <v>120</v>
      </c>
    </row>
    <row r="67" spans="1:2" x14ac:dyDescent="0.25">
      <c r="A67" t="s">
        <v>121</v>
      </c>
      <c r="B67" t="s">
        <v>122</v>
      </c>
    </row>
    <row r="68" spans="1:2" x14ac:dyDescent="0.25">
      <c r="A68" t="s">
        <v>121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128</v>
      </c>
      <c r="B72" t="s">
        <v>130</v>
      </c>
    </row>
    <row r="73" spans="1:2" x14ac:dyDescent="0.25">
      <c r="A73" t="s">
        <v>128</v>
      </c>
      <c r="B73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14" t="s">
        <v>132</v>
      </c>
    </row>
    <row r="3" spans="1:1" x14ac:dyDescent="0.25">
      <c r="A3" s="16" t="s">
        <v>133</v>
      </c>
    </row>
    <row r="4" spans="1:1" ht="60" x14ac:dyDescent="0.25">
      <c r="A4" s="16" t="s">
        <v>134</v>
      </c>
    </row>
    <row r="5" spans="1:1" x14ac:dyDescent="0.25">
      <c r="A5" s="16"/>
    </row>
    <row r="6" spans="1:1" x14ac:dyDescent="0.25">
      <c r="A6" s="16" t="s">
        <v>135</v>
      </c>
    </row>
    <row r="7" spans="1:1" x14ac:dyDescent="0.25">
      <c r="A7" s="16" t="s">
        <v>136</v>
      </c>
    </row>
    <row r="8" spans="1:1" x14ac:dyDescent="0.25">
      <c r="A8" s="16" t="s">
        <v>137</v>
      </c>
    </row>
    <row r="9" spans="1:1" x14ac:dyDescent="0.25">
      <c r="A9" s="16" t="s">
        <v>138</v>
      </c>
    </row>
    <row r="10" spans="1:1" x14ac:dyDescent="0.25">
      <c r="A10" s="16" t="s">
        <v>139</v>
      </c>
    </row>
    <row r="11" spans="1:1" x14ac:dyDescent="0.25">
      <c r="A11" s="16"/>
    </row>
    <row r="12" spans="1:1" x14ac:dyDescent="0.25">
      <c r="A12" s="16" t="s">
        <v>140</v>
      </c>
    </row>
    <row r="13" spans="1:1" ht="30" x14ac:dyDescent="0.25">
      <c r="A13" s="16" t="s">
        <v>141</v>
      </c>
    </row>
    <row r="14" spans="1:1" ht="30" x14ac:dyDescent="0.25">
      <c r="A14" s="16" t="s">
        <v>142</v>
      </c>
    </row>
    <row r="15" spans="1:1" ht="45" x14ac:dyDescent="0.25">
      <c r="A15" s="16" t="s">
        <v>143</v>
      </c>
    </row>
    <row r="16" spans="1:1" ht="30" x14ac:dyDescent="0.25">
      <c r="A16" s="16" t="s">
        <v>144</v>
      </c>
    </row>
    <row r="17" spans="1:1" ht="30" x14ac:dyDescent="0.25">
      <c r="A17" s="16" t="s">
        <v>145</v>
      </c>
    </row>
    <row r="18" spans="1:1" x14ac:dyDescent="0.25">
      <c r="A18" s="16"/>
    </row>
    <row r="19" spans="1:1" x14ac:dyDescent="0.25">
      <c r="A19" s="16" t="s">
        <v>146</v>
      </c>
    </row>
    <row r="20" spans="1:1" ht="30" x14ac:dyDescent="0.25">
      <c r="A20" s="16" t="s">
        <v>147</v>
      </c>
    </row>
    <row r="21" spans="1:1" ht="30" x14ac:dyDescent="0.25">
      <c r="A21" s="16" t="s">
        <v>148</v>
      </c>
    </row>
    <row r="22" spans="1:1" x14ac:dyDescent="0.25">
      <c r="A22" s="16"/>
    </row>
    <row r="23" spans="1:1" x14ac:dyDescent="0.25">
      <c r="A23" s="16" t="s">
        <v>149</v>
      </c>
    </row>
    <row r="24" spans="1:1" ht="30" x14ac:dyDescent="0.25">
      <c r="A24" s="16" t="s">
        <v>150</v>
      </c>
    </row>
    <row r="25" spans="1:1" x14ac:dyDescent="0.25">
      <c r="A25" s="16" t="s">
        <v>151</v>
      </c>
    </row>
    <row r="26" spans="1:1" ht="30" x14ac:dyDescent="0.25">
      <c r="A26" s="16" t="s">
        <v>152</v>
      </c>
    </row>
    <row r="27" spans="1:1" x14ac:dyDescent="0.25">
      <c r="A27" s="16"/>
    </row>
    <row r="28" spans="1:1" x14ac:dyDescent="0.25">
      <c r="A28" s="16" t="s">
        <v>153</v>
      </c>
    </row>
    <row r="29" spans="1:1" ht="30" x14ac:dyDescent="0.25">
      <c r="A29" s="16" t="s">
        <v>154</v>
      </c>
    </row>
    <row r="30" spans="1:1" ht="30" x14ac:dyDescent="0.25">
      <c r="A30" s="16" t="s">
        <v>155</v>
      </c>
    </row>
    <row r="31" spans="1:1" ht="30" x14ac:dyDescent="0.25">
      <c r="A31" s="16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Tracker - Eval</vt:lpstr>
      <vt:lpstr>Multipliers</vt:lpstr>
      <vt:lpstr>Analysis</vt:lpstr>
      <vt:lpstr>AI 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2026-08-17T16:33:06Z</dcterms:created>
  <dcterms:modified xsi:type="dcterms:W3CDTF">2026-08-24T03:45:20Z</dcterms:modified>
</cp:coreProperties>
</file>